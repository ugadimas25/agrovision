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ca5c39d9fd7cbdd5/Documents/NIAGA BUMI LESTARI/KLI/"/>
    </mc:Choice>
  </mc:AlternateContent>
  <xr:revisionPtr revIDLastSave="0" documentId="14_{2E0DD471-92FA-4B03-AAE8-2E52885CFC7A}" xr6:coauthVersionLast="47" xr6:coauthVersionMax="47" xr10:uidLastSave="{00000000-0000-0000-0000-000000000000}"/>
  <bookViews>
    <workbookView xWindow="-98" yWindow="-98" windowWidth="21795" windowHeight="12975" activeTab="3" xr2:uid="{00000000-000D-0000-FFFF-FFFF00000000}"/>
  </bookViews>
  <sheets>
    <sheet name="00_Cover" sheetId="1" r:id="rId1"/>
    <sheet name="Panduan_Per_Sheet" sheetId="19" r:id="rId2"/>
    <sheet name="01_Dashboard" sheetId="2" r:id="rId3"/>
    <sheet name="02_Assumptions" sheetId="3" r:id="rId4"/>
    <sheet name="03_Land_Screening" sheetId="4" r:id="rId5"/>
    <sheet name="04_Planting_Design" sheetId="5" r:id="rId6"/>
    <sheet name="05_Workplan_Labor" sheetId="6" r:id="rId7"/>
    <sheet name="06_Equipment_Tools" sheetId="7" r:id="rId8"/>
    <sheet name="07_Agri_Inputs" sheetId="8" r:id="rId9"/>
    <sheet name="08_CAPEX_RAB" sheetId="9" r:id="rId10"/>
    <sheet name="09_OPEX_10Y" sheetId="10" r:id="rId11"/>
    <sheet name="10_Production_Revenue" sheetId="11" r:id="rId12"/>
    <sheet name="11_Cash_Flow" sheetId="12" r:id="rId13"/>
    <sheet name="12_Scenario_1v4" sheetId="13" r:id="rId14"/>
    <sheet name="13_Sensitivity" sheetId="14" r:id="rId15"/>
    <sheet name="14_Certification_ESG" sheetId="15" r:id="rId16"/>
    <sheet name="15_Checks" sheetId="16" r:id="rId17"/>
    <sheet name="16_Sources" sheetId="17" r:id="rId18"/>
    <sheet name="17_Model_Fleksibel" sheetId="18" r:id="rId19"/>
    <sheet name="20_Operasi_Efisien" sheetId="20" r:id="rId20"/>
    <sheet name="21_Pendapatan_Tambahan" sheetId="21" r:id="rId21"/>
    <sheet name="19_Optimasi_10Tahun" sheetId="22" r:id="rId22"/>
    <sheet name="22_Sumber_Optimasi" sheetId="23" r:id="rId23"/>
    <sheet name="23_Audit_Formula" sheetId="24" r:id="rId24"/>
    <sheet name="24_Audit_Tahunan" sheetId="25" r:id="rId25"/>
    <sheet name="25_Peta_Penggerak" sheetId="26" r:id="rId2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26" l="1"/>
  <c r="D6" i="26"/>
  <c r="D5" i="26"/>
  <c r="H12" i="25"/>
  <c r="B23" i="24"/>
  <c r="D23" i="24" s="1"/>
  <c r="F23" i="24" s="1"/>
  <c r="F22" i="24"/>
  <c r="D22" i="24"/>
  <c r="B22" i="24"/>
  <c r="C20" i="24"/>
  <c r="L23" i="22"/>
  <c r="K23" i="22"/>
  <c r="J23" i="22"/>
  <c r="I23" i="22"/>
  <c r="H23" i="22"/>
  <c r="G23" i="22"/>
  <c r="F23" i="22"/>
  <c r="E23" i="22"/>
  <c r="D23" i="22"/>
  <c r="C23" i="22"/>
  <c r="K20" i="22"/>
  <c r="J12" i="25" s="1"/>
  <c r="J14" i="25" s="1"/>
  <c r="I20" i="22"/>
  <c r="H20" i="22"/>
  <c r="G12" i="25" s="1"/>
  <c r="G14" i="25" s="1"/>
  <c r="B82" i="21"/>
  <c r="K62" i="21"/>
  <c r="K65" i="21" s="1"/>
  <c r="J62" i="21"/>
  <c r="J65" i="21" s="1"/>
  <c r="I62" i="21"/>
  <c r="I65" i="21" s="1"/>
  <c r="H62" i="21"/>
  <c r="H65" i="21" s="1"/>
  <c r="G62" i="21"/>
  <c r="G65" i="21" s="1"/>
  <c r="F62" i="21"/>
  <c r="F65" i="21" s="1"/>
  <c r="E62" i="21"/>
  <c r="E65" i="21" s="1"/>
  <c r="K61" i="21"/>
  <c r="J61" i="21"/>
  <c r="I61" i="21"/>
  <c r="H61" i="21"/>
  <c r="G61" i="21"/>
  <c r="F61" i="21"/>
  <c r="E61" i="21"/>
  <c r="D61" i="21"/>
  <c r="C61" i="21"/>
  <c r="B61" i="21"/>
  <c r="E59" i="21"/>
  <c r="E60" i="21" s="1"/>
  <c r="D59" i="21"/>
  <c r="D60" i="21" s="1"/>
  <c r="C59" i="21"/>
  <c r="C60" i="21" s="1"/>
  <c r="B59" i="21"/>
  <c r="B60" i="21" s="1"/>
  <c r="K51" i="21"/>
  <c r="K53" i="21" s="1"/>
  <c r="J51" i="21"/>
  <c r="I51" i="21"/>
  <c r="I53" i="21" s="1"/>
  <c r="H51" i="21"/>
  <c r="G51" i="21"/>
  <c r="G53" i="21" s="1"/>
  <c r="F51" i="21"/>
  <c r="F53" i="21" s="1"/>
  <c r="E51" i="21"/>
  <c r="E52" i="21" s="1"/>
  <c r="D51" i="21"/>
  <c r="D53" i="21" s="1"/>
  <c r="C51" i="21"/>
  <c r="C53" i="21" s="1"/>
  <c r="B51" i="21"/>
  <c r="B20" i="24" s="1"/>
  <c r="L66" i="20"/>
  <c r="L20" i="22" s="1"/>
  <c r="K12" i="25" s="1"/>
  <c r="K66" i="20"/>
  <c r="I66" i="20"/>
  <c r="H66" i="20"/>
  <c r="F66" i="20"/>
  <c r="F20" i="22" s="1"/>
  <c r="E12" i="25" s="1"/>
  <c r="E66" i="20"/>
  <c r="E20" i="22" s="1"/>
  <c r="D12" i="25" s="1"/>
  <c r="D14" i="25" s="1"/>
  <c r="D66" i="20"/>
  <c r="D20" i="22" s="1"/>
  <c r="C12" i="25" s="1"/>
  <c r="C66" i="20"/>
  <c r="C20" i="22" s="1"/>
  <c r="B12" i="25" s="1"/>
  <c r="B56" i="20"/>
  <c r="L55" i="20"/>
  <c r="K55" i="20"/>
  <c r="J55" i="20"/>
  <c r="I55" i="20"/>
  <c r="H55" i="20"/>
  <c r="H56" i="20" s="1"/>
  <c r="G55" i="20"/>
  <c r="F55" i="20"/>
  <c r="E55" i="20"/>
  <c r="D55" i="20"/>
  <c r="C55" i="20"/>
  <c r="L54" i="20"/>
  <c r="K54" i="20"/>
  <c r="J54" i="20"/>
  <c r="I54" i="20"/>
  <c r="H53" i="20"/>
  <c r="G52" i="20"/>
  <c r="L51" i="20"/>
  <c r="K51" i="20"/>
  <c r="J51" i="20"/>
  <c r="I51" i="20"/>
  <c r="H51" i="20"/>
  <c r="G51" i="20"/>
  <c r="F51" i="20"/>
  <c r="E51" i="20"/>
  <c r="D51" i="20"/>
  <c r="C51" i="20"/>
  <c r="L50" i="20"/>
  <c r="K50" i="20"/>
  <c r="J50" i="20"/>
  <c r="I50" i="20"/>
  <c r="H50" i="20"/>
  <c r="G50" i="20"/>
  <c r="F50" i="20"/>
  <c r="E50" i="20"/>
  <c r="D50" i="20"/>
  <c r="C50" i="20"/>
  <c r="L49" i="20"/>
  <c r="K49" i="20"/>
  <c r="J49" i="20"/>
  <c r="I49" i="20"/>
  <c r="H49" i="20"/>
  <c r="G49" i="20"/>
  <c r="F49" i="20"/>
  <c r="E49" i="20"/>
  <c r="D49" i="20"/>
  <c r="C49" i="20"/>
  <c r="L48" i="20"/>
  <c r="K48" i="20"/>
  <c r="J48" i="20"/>
  <c r="I48" i="20"/>
  <c r="H48" i="20"/>
  <c r="G48" i="20"/>
  <c r="F48" i="20"/>
  <c r="E48" i="20"/>
  <c r="D48" i="20"/>
  <c r="C48" i="20"/>
  <c r="L47" i="20"/>
  <c r="K47" i="20"/>
  <c r="J47" i="20"/>
  <c r="I47" i="20"/>
  <c r="H47" i="20"/>
  <c r="G47" i="20"/>
  <c r="F47" i="20"/>
  <c r="E47" i="20"/>
  <c r="D47" i="20"/>
  <c r="C47" i="20"/>
  <c r="K37" i="20"/>
  <c r="J37" i="20"/>
  <c r="I37" i="20"/>
  <c r="H37" i="20"/>
  <c r="G37" i="20"/>
  <c r="F37" i="20"/>
  <c r="E37" i="20"/>
  <c r="D37" i="20"/>
  <c r="C37" i="20"/>
  <c r="B37" i="20"/>
  <c r="D18" i="20"/>
  <c r="G18" i="20" s="1"/>
  <c r="D17" i="20"/>
  <c r="G17" i="20" s="1"/>
  <c r="D16" i="20"/>
  <c r="G16" i="20" s="1"/>
  <c r="D14" i="20"/>
  <c r="G14" i="20" s="1"/>
  <c r="O8" i="20"/>
  <c r="N8" i="20"/>
  <c r="M8" i="20"/>
  <c r="L8" i="20"/>
  <c r="K8" i="20"/>
  <c r="J8" i="20"/>
  <c r="I8" i="20"/>
  <c r="H8" i="20"/>
  <c r="G8" i="20"/>
  <c r="F8" i="20"/>
  <c r="O7" i="20"/>
  <c r="N7" i="20"/>
  <c r="M7" i="20"/>
  <c r="L7" i="20"/>
  <c r="K7" i="20"/>
  <c r="J7" i="20"/>
  <c r="I7" i="20"/>
  <c r="H7" i="20"/>
  <c r="G7" i="20"/>
  <c r="F7" i="20"/>
  <c r="E7" i="20"/>
  <c r="O6" i="20"/>
  <c r="N6" i="20"/>
  <c r="M6" i="20"/>
  <c r="L6" i="20"/>
  <c r="K6" i="20"/>
  <c r="J6" i="20"/>
  <c r="I6" i="20"/>
  <c r="H6" i="20"/>
  <c r="G6" i="20"/>
  <c r="F6" i="20"/>
  <c r="E6" i="20"/>
  <c r="Q114" i="18"/>
  <c r="P114" i="18"/>
  <c r="O114" i="18"/>
  <c r="N114" i="18"/>
  <c r="M114" i="18"/>
  <c r="L114" i="18"/>
  <c r="K114" i="18"/>
  <c r="J114" i="18"/>
  <c r="I114" i="18"/>
  <c r="H114" i="18"/>
  <c r="Q113" i="18"/>
  <c r="P113" i="18"/>
  <c r="O113" i="18"/>
  <c r="N113" i="18"/>
  <c r="M113" i="18"/>
  <c r="L113" i="18"/>
  <c r="K113" i="18"/>
  <c r="J113" i="18"/>
  <c r="I113" i="18"/>
  <c r="H113" i="18"/>
  <c r="Q112" i="18"/>
  <c r="P112" i="18"/>
  <c r="O112" i="18"/>
  <c r="N112" i="18"/>
  <c r="M112" i="18"/>
  <c r="L112" i="18"/>
  <c r="K112" i="18"/>
  <c r="J112" i="18"/>
  <c r="I112" i="18"/>
  <c r="H112" i="18"/>
  <c r="Q111" i="18"/>
  <c r="P111" i="18"/>
  <c r="O111" i="18"/>
  <c r="N111" i="18"/>
  <c r="M111" i="18"/>
  <c r="L111" i="18"/>
  <c r="K111" i="18"/>
  <c r="J111" i="18"/>
  <c r="I111" i="18"/>
  <c r="H111" i="18"/>
  <c r="Q110" i="18"/>
  <c r="P110" i="18"/>
  <c r="O110" i="18"/>
  <c r="N110" i="18"/>
  <c r="M110" i="18"/>
  <c r="L110" i="18"/>
  <c r="K110" i="18"/>
  <c r="J110" i="18"/>
  <c r="I110" i="18"/>
  <c r="H110" i="18"/>
  <c r="Q109" i="18"/>
  <c r="P109" i="18"/>
  <c r="O109" i="18"/>
  <c r="N109" i="18"/>
  <c r="M109" i="18"/>
  <c r="L109" i="18"/>
  <c r="K109" i="18"/>
  <c r="J109" i="18"/>
  <c r="I109" i="18"/>
  <c r="H109" i="18"/>
  <c r="Q108" i="18"/>
  <c r="P108" i="18"/>
  <c r="O108" i="18"/>
  <c r="N108" i="18"/>
  <c r="M108" i="18"/>
  <c r="L108" i="18"/>
  <c r="K108" i="18"/>
  <c r="J108" i="18"/>
  <c r="I108" i="18"/>
  <c r="H108" i="18"/>
  <c r="Q107" i="18"/>
  <c r="P107" i="18"/>
  <c r="O107" i="18"/>
  <c r="N107" i="18"/>
  <c r="M107" i="18"/>
  <c r="L107" i="18"/>
  <c r="K107" i="18"/>
  <c r="J107" i="18"/>
  <c r="I107" i="18"/>
  <c r="H107" i="18"/>
  <c r="Q106" i="18"/>
  <c r="P106" i="18"/>
  <c r="O106" i="18"/>
  <c r="N106" i="18"/>
  <c r="M106" i="18"/>
  <c r="L106" i="18"/>
  <c r="K106" i="18"/>
  <c r="J106" i="18"/>
  <c r="I106" i="18"/>
  <c r="H106" i="18"/>
  <c r="Q105" i="18"/>
  <c r="P105" i="18"/>
  <c r="O105" i="18"/>
  <c r="N105" i="18"/>
  <c r="M105" i="18"/>
  <c r="L105" i="18"/>
  <c r="K105" i="18"/>
  <c r="J105" i="18"/>
  <c r="I105" i="18"/>
  <c r="H105" i="18"/>
  <c r="Q98" i="18"/>
  <c r="P98" i="18"/>
  <c r="O98" i="18"/>
  <c r="N98" i="18"/>
  <c r="M98" i="18"/>
  <c r="L98" i="18"/>
  <c r="K98" i="18"/>
  <c r="J98" i="18"/>
  <c r="I98" i="18"/>
  <c r="H98" i="18"/>
  <c r="Q97" i="18"/>
  <c r="P97" i="18"/>
  <c r="O97" i="18"/>
  <c r="N97" i="18"/>
  <c r="M97" i="18"/>
  <c r="L97" i="18"/>
  <c r="K97" i="18"/>
  <c r="J97" i="18"/>
  <c r="I97" i="18"/>
  <c r="H97" i="18"/>
  <c r="Q96" i="18"/>
  <c r="P96" i="18"/>
  <c r="O96" i="18"/>
  <c r="N96" i="18"/>
  <c r="M96" i="18"/>
  <c r="L96" i="18"/>
  <c r="K96" i="18"/>
  <c r="J96" i="18"/>
  <c r="I96" i="18"/>
  <c r="H96" i="18"/>
  <c r="Q95" i="18"/>
  <c r="P95" i="18"/>
  <c r="O95" i="18"/>
  <c r="N95" i="18"/>
  <c r="M95" i="18"/>
  <c r="L95" i="18"/>
  <c r="K95" i="18"/>
  <c r="J95" i="18"/>
  <c r="I95" i="18"/>
  <c r="H95" i="18"/>
  <c r="Q94" i="18"/>
  <c r="P94" i="18"/>
  <c r="O94" i="18"/>
  <c r="N94" i="18"/>
  <c r="M94" i="18"/>
  <c r="L94" i="18"/>
  <c r="K94" i="18"/>
  <c r="J94" i="18"/>
  <c r="I94" i="18"/>
  <c r="H94" i="18"/>
  <c r="Q93" i="18"/>
  <c r="P93" i="18"/>
  <c r="O93" i="18"/>
  <c r="N93" i="18"/>
  <c r="M93" i="18"/>
  <c r="L93" i="18"/>
  <c r="K93" i="18"/>
  <c r="J93" i="18"/>
  <c r="I93" i="18"/>
  <c r="H93" i="18"/>
  <c r="Q92" i="18"/>
  <c r="P92" i="18"/>
  <c r="O92" i="18"/>
  <c r="N92" i="18"/>
  <c r="M92" i="18"/>
  <c r="L92" i="18"/>
  <c r="K92" i="18"/>
  <c r="J92" i="18"/>
  <c r="I92" i="18"/>
  <c r="H92" i="18"/>
  <c r="Q91" i="18"/>
  <c r="P91" i="18"/>
  <c r="O91" i="18"/>
  <c r="N91" i="18"/>
  <c r="M91" i="18"/>
  <c r="L91" i="18"/>
  <c r="K91" i="18"/>
  <c r="J91" i="18"/>
  <c r="I91" i="18"/>
  <c r="H91" i="18"/>
  <c r="Q90" i="18"/>
  <c r="P90" i="18"/>
  <c r="O90" i="18"/>
  <c r="N90" i="18"/>
  <c r="M90" i="18"/>
  <c r="L90" i="18"/>
  <c r="K90" i="18"/>
  <c r="J90" i="18"/>
  <c r="I90" i="18"/>
  <c r="H90" i="18"/>
  <c r="Q89" i="18"/>
  <c r="P89" i="18"/>
  <c r="O89" i="18"/>
  <c r="N89" i="18"/>
  <c r="M89" i="18"/>
  <c r="L89" i="18"/>
  <c r="K89" i="18"/>
  <c r="J89" i="18"/>
  <c r="I89" i="18"/>
  <c r="H89" i="18"/>
  <c r="H82" i="18"/>
  <c r="J82" i="18" s="1"/>
  <c r="G82" i="18"/>
  <c r="I82" i="18" s="1"/>
  <c r="H81" i="18"/>
  <c r="J81" i="18" s="1"/>
  <c r="G81" i="18"/>
  <c r="I81" i="18" s="1"/>
  <c r="H80" i="18"/>
  <c r="J80" i="18" s="1"/>
  <c r="G80" i="18"/>
  <c r="I80" i="18" s="1"/>
  <c r="H79" i="18"/>
  <c r="J79" i="18" s="1"/>
  <c r="G79" i="18"/>
  <c r="I79" i="18" s="1"/>
  <c r="H78" i="18"/>
  <c r="J78" i="18" s="1"/>
  <c r="G78" i="18"/>
  <c r="I78" i="18" s="1"/>
  <c r="H77" i="18"/>
  <c r="J77" i="18" s="1"/>
  <c r="G77" i="18"/>
  <c r="I77" i="18" s="1"/>
  <c r="H76" i="18"/>
  <c r="J76" i="18" s="1"/>
  <c r="G76" i="18"/>
  <c r="I76" i="18" s="1"/>
  <c r="H75" i="18"/>
  <c r="J75" i="18" s="1"/>
  <c r="G75" i="18"/>
  <c r="I75" i="18" s="1"/>
  <c r="H74" i="18"/>
  <c r="J74" i="18" s="1"/>
  <c r="G74" i="18"/>
  <c r="I74" i="18" s="1"/>
  <c r="H73" i="18"/>
  <c r="J73" i="18" s="1"/>
  <c r="G73" i="18"/>
  <c r="I73" i="18" s="1"/>
  <c r="B66" i="18"/>
  <c r="A66" i="18"/>
  <c r="B65" i="18"/>
  <c r="A65" i="18"/>
  <c r="B64" i="18"/>
  <c r="A64" i="18"/>
  <c r="B63" i="18"/>
  <c r="A63" i="18"/>
  <c r="B62" i="18"/>
  <c r="A62" i="18"/>
  <c r="B61" i="18"/>
  <c r="A61" i="18"/>
  <c r="B60" i="18"/>
  <c r="A60" i="18"/>
  <c r="B59" i="18"/>
  <c r="A59" i="18"/>
  <c r="A58" i="18"/>
  <c r="B57" i="18"/>
  <c r="A57" i="18"/>
  <c r="B49" i="18"/>
  <c r="A49" i="18"/>
  <c r="B48" i="18"/>
  <c r="A48" i="18"/>
  <c r="B47" i="18"/>
  <c r="A47" i="18"/>
  <c r="B46" i="18"/>
  <c r="A46" i="18"/>
  <c r="B45" i="18"/>
  <c r="A45" i="18"/>
  <c r="B44" i="18"/>
  <c r="A44" i="18"/>
  <c r="B43" i="18"/>
  <c r="A43" i="18"/>
  <c r="B42" i="18"/>
  <c r="A42" i="18"/>
  <c r="B40" i="18"/>
  <c r="A40" i="18"/>
  <c r="B32" i="18"/>
  <c r="A32" i="18"/>
  <c r="B31" i="18"/>
  <c r="A31" i="18"/>
  <c r="B30" i="18"/>
  <c r="A30" i="18"/>
  <c r="B29" i="18"/>
  <c r="A29" i="18"/>
  <c r="B28" i="18"/>
  <c r="A28" i="18"/>
  <c r="B27" i="18"/>
  <c r="A27" i="18"/>
  <c r="B26" i="18"/>
  <c r="A26" i="18"/>
  <c r="B25" i="18"/>
  <c r="A25" i="18"/>
  <c r="B23" i="18"/>
  <c r="A23" i="18"/>
  <c r="H7" i="18"/>
  <c r="D7" i="18"/>
  <c r="A7" i="18"/>
  <c r="A6" i="18"/>
  <c r="F29" i="16"/>
  <c r="D29" i="16"/>
  <c r="B29" i="16"/>
  <c r="F28" i="16"/>
  <c r="B28" i="16"/>
  <c r="D28" i="16" s="1"/>
  <c r="B11" i="16"/>
  <c r="D11" i="16" s="1"/>
  <c r="F11" i="16" s="1"/>
  <c r="D10" i="16"/>
  <c r="F10" i="16" s="1"/>
  <c r="C10" i="16"/>
  <c r="B10" i="16"/>
  <c r="B9" i="16"/>
  <c r="D9" i="16" s="1"/>
  <c r="F9" i="16" s="1"/>
  <c r="C5" i="16"/>
  <c r="C15" i="15"/>
  <c r="B57" i="20" s="1"/>
  <c r="B58" i="20" s="1"/>
  <c r="M14" i="15"/>
  <c r="L14" i="15"/>
  <c r="K14" i="15"/>
  <c r="J14" i="15"/>
  <c r="I14" i="15"/>
  <c r="H14" i="15"/>
  <c r="G14" i="15"/>
  <c r="F14" i="15"/>
  <c r="E14" i="15"/>
  <c r="D14" i="15"/>
  <c r="M13" i="15"/>
  <c r="L13" i="15"/>
  <c r="K13" i="15"/>
  <c r="J13" i="15"/>
  <c r="I13" i="15"/>
  <c r="H13" i="15"/>
  <c r="G13" i="15"/>
  <c r="F13" i="15"/>
  <c r="E13" i="15"/>
  <c r="D13" i="15"/>
  <c r="M12" i="15"/>
  <c r="L12" i="15"/>
  <c r="K12" i="15"/>
  <c r="J12" i="15"/>
  <c r="I12" i="15"/>
  <c r="H12" i="15"/>
  <c r="G12" i="15"/>
  <c r="F12" i="15"/>
  <c r="E12" i="15"/>
  <c r="D12" i="15"/>
  <c r="M11" i="15"/>
  <c r="L11" i="15"/>
  <c r="K11" i="15"/>
  <c r="J11" i="15"/>
  <c r="I11" i="15"/>
  <c r="H11" i="15"/>
  <c r="G11" i="15"/>
  <c r="F11" i="15"/>
  <c r="E11" i="15"/>
  <c r="D11" i="15"/>
  <c r="M10" i="15"/>
  <c r="L10" i="15"/>
  <c r="K10" i="15"/>
  <c r="J10" i="15"/>
  <c r="I10" i="15"/>
  <c r="H10" i="15"/>
  <c r="G10" i="15"/>
  <c r="F10" i="15"/>
  <c r="E10" i="15"/>
  <c r="D10" i="15"/>
  <c r="M9" i="15"/>
  <c r="L9" i="15"/>
  <c r="K9" i="15"/>
  <c r="J9" i="15"/>
  <c r="I9" i="15"/>
  <c r="H9" i="15"/>
  <c r="G9" i="15"/>
  <c r="F9" i="15"/>
  <c r="E9" i="15"/>
  <c r="D9" i="15"/>
  <c r="M8" i="15"/>
  <c r="L8" i="15"/>
  <c r="K8" i="15"/>
  <c r="J8" i="15"/>
  <c r="I8" i="15"/>
  <c r="H8" i="15"/>
  <c r="G8" i="15"/>
  <c r="F8" i="15"/>
  <c r="E8" i="15"/>
  <c r="D8" i="15"/>
  <c r="M7" i="15"/>
  <c r="L7" i="15"/>
  <c r="K7" i="15"/>
  <c r="J7" i="15"/>
  <c r="I7" i="15"/>
  <c r="H7" i="15"/>
  <c r="G7" i="15"/>
  <c r="F7" i="15"/>
  <c r="E7" i="15"/>
  <c r="D7" i="15"/>
  <c r="M6" i="15"/>
  <c r="L6" i="15"/>
  <c r="K6" i="15"/>
  <c r="J6" i="15"/>
  <c r="I6" i="15"/>
  <c r="H6" i="15"/>
  <c r="G6" i="15"/>
  <c r="G15" i="15" s="1"/>
  <c r="E13" i="10" s="1"/>
  <c r="F57" i="20" s="1"/>
  <c r="F6" i="15"/>
  <c r="E6" i="15"/>
  <c r="D6" i="15"/>
  <c r="M5" i="15"/>
  <c r="L5" i="15"/>
  <c r="K5" i="15"/>
  <c r="J5" i="15"/>
  <c r="I5" i="15"/>
  <c r="I15" i="15" s="1"/>
  <c r="G13" i="10" s="1"/>
  <c r="H57" i="20" s="1"/>
  <c r="H5" i="15"/>
  <c r="G5" i="15"/>
  <c r="F5" i="15"/>
  <c r="E5" i="15"/>
  <c r="D5" i="15"/>
  <c r="L10" i="12"/>
  <c r="K10" i="12"/>
  <c r="J10" i="12"/>
  <c r="I10" i="12"/>
  <c r="H10" i="12"/>
  <c r="G10" i="12"/>
  <c r="F10" i="12"/>
  <c r="E10" i="12"/>
  <c r="D10" i="12"/>
  <c r="C10" i="12"/>
  <c r="L7" i="12"/>
  <c r="K13" i="25" s="1"/>
  <c r="K7" i="12"/>
  <c r="J13" i="25" s="1"/>
  <c r="I7" i="12"/>
  <c r="H13" i="25" s="1"/>
  <c r="H14" i="25" s="1"/>
  <c r="H7" i="12"/>
  <c r="G13" i="25" s="1"/>
  <c r="F7" i="12"/>
  <c r="E13" i="25" s="1"/>
  <c r="E7" i="12"/>
  <c r="D13" i="25" s="1"/>
  <c r="D7" i="12"/>
  <c r="C7" i="12"/>
  <c r="K18" i="11"/>
  <c r="J18" i="11"/>
  <c r="I18" i="11"/>
  <c r="H18" i="11"/>
  <c r="G18" i="11"/>
  <c r="F18" i="11"/>
  <c r="E18" i="11"/>
  <c r="D18" i="11"/>
  <c r="C18" i="11"/>
  <c r="B18" i="11"/>
  <c r="K16" i="11"/>
  <c r="J16" i="11"/>
  <c r="I16" i="11"/>
  <c r="H16" i="11"/>
  <c r="G16" i="11"/>
  <c r="F16" i="11"/>
  <c r="E16" i="11"/>
  <c r="D16" i="11"/>
  <c r="C16" i="11"/>
  <c r="B16" i="11"/>
  <c r="K13" i="11"/>
  <c r="J13" i="11"/>
  <c r="I13" i="11"/>
  <c r="H13" i="11"/>
  <c r="G13" i="11"/>
  <c r="F13" i="11"/>
  <c r="E13" i="11"/>
  <c r="D13" i="11"/>
  <c r="C13" i="11"/>
  <c r="B13" i="11"/>
  <c r="K11" i="11"/>
  <c r="J11" i="11"/>
  <c r="I11" i="11"/>
  <c r="H11" i="11"/>
  <c r="G11" i="11"/>
  <c r="F11" i="11"/>
  <c r="E11" i="11"/>
  <c r="D11" i="11"/>
  <c r="C11" i="11"/>
  <c r="B11" i="11"/>
  <c r="K8" i="11"/>
  <c r="J8" i="11"/>
  <c r="I8" i="11"/>
  <c r="H8" i="11"/>
  <c r="G8" i="11"/>
  <c r="F8" i="11"/>
  <c r="E8" i="11"/>
  <c r="D8" i="11"/>
  <c r="C8" i="11"/>
  <c r="B8" i="11"/>
  <c r="K6" i="11"/>
  <c r="J6" i="11"/>
  <c r="I6" i="11"/>
  <c r="H6" i="11"/>
  <c r="G6" i="11"/>
  <c r="F6" i="11"/>
  <c r="E6" i="11"/>
  <c r="D6" i="11"/>
  <c r="C6" i="11"/>
  <c r="B6" i="11"/>
  <c r="C49" i="10"/>
  <c r="G49" i="10" s="1"/>
  <c r="B49" i="10"/>
  <c r="F49" i="10" s="1"/>
  <c r="C48" i="10"/>
  <c r="G48" i="10" s="1"/>
  <c r="B48" i="10"/>
  <c r="F48" i="10" s="1"/>
  <c r="C47" i="10"/>
  <c r="G47" i="10" s="1"/>
  <c r="B47" i="10"/>
  <c r="F47" i="10" s="1"/>
  <c r="C46" i="10"/>
  <c r="G46" i="10" s="1"/>
  <c r="B46" i="10"/>
  <c r="F46" i="10" s="1"/>
  <c r="C45" i="10"/>
  <c r="G45" i="10" s="1"/>
  <c r="B45" i="10"/>
  <c r="F45" i="10" s="1"/>
  <c r="C44" i="10"/>
  <c r="G44" i="10" s="1"/>
  <c r="B44" i="10"/>
  <c r="F44" i="10" s="1"/>
  <c r="E33" i="10"/>
  <c r="C33" i="10"/>
  <c r="G33" i="10" s="1"/>
  <c r="B33" i="10"/>
  <c r="F33" i="10" s="1"/>
  <c r="E32" i="10"/>
  <c r="C32" i="10"/>
  <c r="B32" i="10"/>
  <c r="F32" i="10" s="1"/>
  <c r="E31" i="10"/>
  <c r="C31" i="10"/>
  <c r="G31" i="10" s="1"/>
  <c r="B31" i="10"/>
  <c r="E30" i="10"/>
  <c r="C30" i="10"/>
  <c r="G30" i="10" s="1"/>
  <c r="B30" i="10"/>
  <c r="F30" i="10" s="1"/>
  <c r="E29" i="10"/>
  <c r="C29" i="10"/>
  <c r="B29" i="10"/>
  <c r="F29" i="10" s="1"/>
  <c r="E28" i="10"/>
  <c r="C28" i="10"/>
  <c r="G28" i="10" s="1"/>
  <c r="B28" i="10"/>
  <c r="F28" i="10" s="1"/>
  <c r="E27" i="10"/>
  <c r="C27" i="10"/>
  <c r="G27" i="10" s="1"/>
  <c r="B27" i="10"/>
  <c r="F27" i="10" s="1"/>
  <c r="E26" i="10"/>
  <c r="C26" i="10"/>
  <c r="G26" i="10" s="1"/>
  <c r="B26" i="10"/>
  <c r="K10" i="10"/>
  <c r="J10" i="10"/>
  <c r="I10" i="10"/>
  <c r="H10" i="10"/>
  <c r="G10" i="10"/>
  <c r="F10" i="10"/>
  <c r="E10" i="10"/>
  <c r="D10" i="10"/>
  <c r="C10" i="10"/>
  <c r="B10" i="10"/>
  <c r="I39" i="9"/>
  <c r="H39" i="9"/>
  <c r="J39" i="9" s="1"/>
  <c r="E39" i="9"/>
  <c r="D39" i="9"/>
  <c r="H37" i="9"/>
  <c r="G37" i="9"/>
  <c r="I37" i="9" s="1"/>
  <c r="J37" i="9" s="1"/>
  <c r="E37" i="9"/>
  <c r="D37" i="9"/>
  <c r="I32" i="9"/>
  <c r="H32" i="9"/>
  <c r="J32" i="9" s="1"/>
  <c r="G32" i="9"/>
  <c r="E32" i="9"/>
  <c r="D32" i="9"/>
  <c r="I31" i="9"/>
  <c r="E31" i="9"/>
  <c r="D31" i="9"/>
  <c r="H31" i="9" s="1"/>
  <c r="J31" i="9" s="1"/>
  <c r="I30" i="9"/>
  <c r="G30" i="9"/>
  <c r="E30" i="9"/>
  <c r="D30" i="9"/>
  <c r="H30" i="9" s="1"/>
  <c r="J30" i="9" s="1"/>
  <c r="I29" i="9"/>
  <c r="G29" i="9"/>
  <c r="E29" i="9"/>
  <c r="D29" i="9"/>
  <c r="H29" i="9" s="1"/>
  <c r="J29" i="9" s="1"/>
  <c r="I28" i="9"/>
  <c r="J28" i="9" s="1"/>
  <c r="H28" i="9"/>
  <c r="G28" i="9"/>
  <c r="E28" i="9"/>
  <c r="D28" i="9"/>
  <c r="G27" i="9"/>
  <c r="E27" i="9"/>
  <c r="I27" i="9" s="1"/>
  <c r="D27" i="9"/>
  <c r="H27" i="9" s="1"/>
  <c r="G26" i="9"/>
  <c r="E26" i="9"/>
  <c r="I26" i="9" s="1"/>
  <c r="D26" i="9"/>
  <c r="H26" i="9" s="1"/>
  <c r="J26" i="9" s="1"/>
  <c r="G25" i="9"/>
  <c r="E25" i="9"/>
  <c r="I25" i="9" s="1"/>
  <c r="D25" i="9"/>
  <c r="G24" i="9"/>
  <c r="E24" i="9"/>
  <c r="I24" i="9" s="1"/>
  <c r="D24" i="9"/>
  <c r="H24" i="9" s="1"/>
  <c r="J24" i="9" s="1"/>
  <c r="G23" i="9"/>
  <c r="E23" i="9"/>
  <c r="D23" i="9"/>
  <c r="H23" i="9" s="1"/>
  <c r="G22" i="9"/>
  <c r="G21" i="9"/>
  <c r="G20" i="9"/>
  <c r="G16" i="9"/>
  <c r="E16" i="9"/>
  <c r="D16" i="9"/>
  <c r="E15" i="9"/>
  <c r="I15" i="9" s="1"/>
  <c r="D15" i="9"/>
  <c r="H15" i="9" s="1"/>
  <c r="J15" i="9" s="1"/>
  <c r="I14" i="9"/>
  <c r="E14" i="9"/>
  <c r="D14" i="9"/>
  <c r="H14" i="9" s="1"/>
  <c r="J14" i="9" s="1"/>
  <c r="H13" i="9"/>
  <c r="E13" i="9"/>
  <c r="I13" i="9" s="1"/>
  <c r="J13" i="9" s="1"/>
  <c r="D13" i="9"/>
  <c r="E12" i="9"/>
  <c r="I12" i="9" s="1"/>
  <c r="D12" i="9"/>
  <c r="H12" i="9" s="1"/>
  <c r="J12" i="9" s="1"/>
  <c r="G11" i="9"/>
  <c r="E11" i="9"/>
  <c r="I11" i="9" s="1"/>
  <c r="D11" i="9"/>
  <c r="H11" i="9" s="1"/>
  <c r="J11" i="9" s="1"/>
  <c r="G10" i="9"/>
  <c r="E10" i="9"/>
  <c r="I10" i="9" s="1"/>
  <c r="D10" i="9"/>
  <c r="H10" i="9" s="1"/>
  <c r="G9" i="9"/>
  <c r="E9" i="9"/>
  <c r="I9" i="9" s="1"/>
  <c r="D9" i="9"/>
  <c r="I8" i="9"/>
  <c r="H8" i="9"/>
  <c r="J8" i="9" s="1"/>
  <c r="E8" i="9"/>
  <c r="D8" i="9"/>
  <c r="E7" i="9"/>
  <c r="I7" i="9" s="1"/>
  <c r="D7" i="9"/>
  <c r="H7" i="9" s="1"/>
  <c r="J7" i="9" s="1"/>
  <c r="J6" i="9"/>
  <c r="I6" i="9"/>
  <c r="H6" i="9"/>
  <c r="E6" i="9"/>
  <c r="D6" i="9"/>
  <c r="G5" i="9"/>
  <c r="E5" i="9"/>
  <c r="I5" i="9" s="1"/>
  <c r="D5" i="9"/>
  <c r="Q25" i="8"/>
  <c r="P25" i="8"/>
  <c r="O25" i="8"/>
  <c r="N25" i="8"/>
  <c r="M25" i="8"/>
  <c r="L25" i="8"/>
  <c r="K25" i="8"/>
  <c r="J25" i="8"/>
  <c r="I25" i="8"/>
  <c r="H25" i="8"/>
  <c r="E25" i="8"/>
  <c r="Q24" i="8"/>
  <c r="P24" i="8"/>
  <c r="O24" i="8"/>
  <c r="N24" i="8"/>
  <c r="M24" i="8"/>
  <c r="L24" i="8"/>
  <c r="K24" i="8"/>
  <c r="J24" i="8"/>
  <c r="I24" i="8"/>
  <c r="H24" i="8"/>
  <c r="E24" i="8"/>
  <c r="Q23" i="8"/>
  <c r="P23" i="8"/>
  <c r="O23" i="8"/>
  <c r="N23" i="8"/>
  <c r="M23" i="8"/>
  <c r="L23" i="8"/>
  <c r="K23" i="8"/>
  <c r="J23" i="8"/>
  <c r="I23" i="8"/>
  <c r="H23" i="8"/>
  <c r="E23" i="8"/>
  <c r="Q22" i="8"/>
  <c r="P22" i="8"/>
  <c r="O22" i="8"/>
  <c r="N22" i="8"/>
  <c r="M22" i="8"/>
  <c r="L22" i="8"/>
  <c r="K22" i="8"/>
  <c r="J22" i="8"/>
  <c r="I22" i="8"/>
  <c r="H22" i="8"/>
  <c r="E22" i="8"/>
  <c r="Q21" i="8"/>
  <c r="P21" i="8"/>
  <c r="O21" i="8"/>
  <c r="N21" i="8"/>
  <c r="M21" i="8"/>
  <c r="L21" i="8"/>
  <c r="K21" i="8"/>
  <c r="J21" i="8"/>
  <c r="I21" i="8"/>
  <c r="H21" i="8"/>
  <c r="E21" i="8"/>
  <c r="Q20" i="8"/>
  <c r="P20" i="8"/>
  <c r="O20" i="8"/>
  <c r="N20" i="8"/>
  <c r="M20" i="8"/>
  <c r="L20" i="8"/>
  <c r="K20" i="8"/>
  <c r="J20" i="8"/>
  <c r="I20" i="8"/>
  <c r="H20" i="8"/>
  <c r="E20" i="8"/>
  <c r="Q19" i="8"/>
  <c r="P19" i="8"/>
  <c r="O19" i="8"/>
  <c r="N19" i="8"/>
  <c r="M19" i="8"/>
  <c r="L19" i="8"/>
  <c r="K19" i="8"/>
  <c r="J19" i="8"/>
  <c r="I19" i="8"/>
  <c r="H19" i="8"/>
  <c r="E19" i="8"/>
  <c r="Q18" i="8"/>
  <c r="P18" i="8"/>
  <c r="O18" i="8"/>
  <c r="N18" i="8"/>
  <c r="M18" i="8"/>
  <c r="L18" i="8"/>
  <c r="K18" i="8"/>
  <c r="J18" i="8"/>
  <c r="I18" i="8"/>
  <c r="H18" i="8"/>
  <c r="E18" i="8"/>
  <c r="Q17" i="8"/>
  <c r="P17" i="8"/>
  <c r="O17" i="8"/>
  <c r="N17" i="8"/>
  <c r="M17" i="8"/>
  <c r="L17" i="8"/>
  <c r="K17" i="8"/>
  <c r="J17" i="8"/>
  <c r="I17" i="8"/>
  <c r="H17" i="8"/>
  <c r="E17" i="8"/>
  <c r="Q16" i="8"/>
  <c r="P16" i="8"/>
  <c r="O16" i="8"/>
  <c r="N16" i="8"/>
  <c r="M16" i="8"/>
  <c r="L16" i="8"/>
  <c r="K16" i="8"/>
  <c r="J16" i="8"/>
  <c r="I16" i="8"/>
  <c r="H16" i="8"/>
  <c r="E16" i="8"/>
  <c r="Q15" i="8"/>
  <c r="P15" i="8"/>
  <c r="O15" i="8"/>
  <c r="N15" i="8"/>
  <c r="M15" i="8"/>
  <c r="L15" i="8"/>
  <c r="K15" i="8"/>
  <c r="J15" i="8"/>
  <c r="I15" i="8"/>
  <c r="H15" i="8"/>
  <c r="E15" i="8"/>
  <c r="I14" i="8"/>
  <c r="H14" i="8"/>
  <c r="E14" i="8"/>
  <c r="I13" i="8"/>
  <c r="H13" i="8"/>
  <c r="E13" i="8"/>
  <c r="Q12" i="8"/>
  <c r="P12" i="8"/>
  <c r="O12" i="8"/>
  <c r="N12" i="8"/>
  <c r="M12" i="8"/>
  <c r="L12" i="8"/>
  <c r="K12" i="8"/>
  <c r="J12" i="8"/>
  <c r="I12" i="8"/>
  <c r="H12" i="8"/>
  <c r="E12" i="8"/>
  <c r="E11" i="8"/>
  <c r="E10" i="8"/>
  <c r="Q9" i="8"/>
  <c r="P9" i="8"/>
  <c r="O9" i="8"/>
  <c r="N9" i="8"/>
  <c r="M9" i="8"/>
  <c r="L9" i="8"/>
  <c r="K9" i="8"/>
  <c r="J9" i="8"/>
  <c r="E9" i="8"/>
  <c r="Q8" i="8"/>
  <c r="P8" i="8"/>
  <c r="O8" i="8"/>
  <c r="N8" i="8"/>
  <c r="M8" i="8"/>
  <c r="L8" i="8"/>
  <c r="K8" i="8"/>
  <c r="J8" i="8"/>
  <c r="E8" i="8"/>
  <c r="Q7" i="8"/>
  <c r="P7" i="8"/>
  <c r="O7" i="8"/>
  <c r="N7" i="8"/>
  <c r="M7" i="8"/>
  <c r="L7" i="8"/>
  <c r="K7" i="8"/>
  <c r="J7" i="8"/>
  <c r="E7" i="8"/>
  <c r="Q6" i="8"/>
  <c r="P6" i="8"/>
  <c r="O6" i="8"/>
  <c r="N6" i="8"/>
  <c r="M6" i="8"/>
  <c r="L6" i="8"/>
  <c r="K6" i="8"/>
  <c r="J6" i="8"/>
  <c r="E6" i="8"/>
  <c r="Q5" i="8"/>
  <c r="P5" i="8"/>
  <c r="O5" i="8"/>
  <c r="N5" i="8"/>
  <c r="M5" i="8"/>
  <c r="L5" i="8"/>
  <c r="K5" i="8"/>
  <c r="J5" i="8"/>
  <c r="E5" i="8"/>
  <c r="E51" i="7"/>
  <c r="J51" i="7" s="1"/>
  <c r="D51" i="7"/>
  <c r="I51" i="7" s="1"/>
  <c r="E50" i="7"/>
  <c r="J50" i="7" s="1"/>
  <c r="D50" i="7"/>
  <c r="I50" i="7" s="1"/>
  <c r="E49" i="7"/>
  <c r="J49" i="7" s="1"/>
  <c r="D49" i="7"/>
  <c r="I49" i="7" s="1"/>
  <c r="E48" i="7"/>
  <c r="J48" i="7" s="1"/>
  <c r="D48" i="7"/>
  <c r="I48" i="7" s="1"/>
  <c r="E47" i="7"/>
  <c r="J47" i="7" s="1"/>
  <c r="D47" i="7"/>
  <c r="I47" i="7" s="1"/>
  <c r="E46" i="7"/>
  <c r="J46" i="7" s="1"/>
  <c r="D46" i="7"/>
  <c r="I46" i="7" s="1"/>
  <c r="E45" i="7"/>
  <c r="J45" i="7" s="1"/>
  <c r="D45" i="7"/>
  <c r="I45" i="7" s="1"/>
  <c r="E44" i="7"/>
  <c r="J44" i="7" s="1"/>
  <c r="D44" i="7"/>
  <c r="I44" i="7" s="1"/>
  <c r="I43" i="7"/>
  <c r="E43" i="7"/>
  <c r="J43" i="7" s="1"/>
  <c r="D43" i="7"/>
  <c r="E42" i="7"/>
  <c r="J42" i="7" s="1"/>
  <c r="D42" i="7"/>
  <c r="I42" i="7" s="1"/>
  <c r="E38" i="7"/>
  <c r="J38" i="7" s="1"/>
  <c r="D38" i="7"/>
  <c r="I38" i="7" s="1"/>
  <c r="E37" i="7"/>
  <c r="J37" i="7" s="1"/>
  <c r="D37" i="7"/>
  <c r="I37" i="7" s="1"/>
  <c r="E36" i="7"/>
  <c r="J36" i="7" s="1"/>
  <c r="D36" i="7"/>
  <c r="I36" i="7" s="1"/>
  <c r="E35" i="7"/>
  <c r="J35" i="7" s="1"/>
  <c r="D35" i="7"/>
  <c r="I35" i="7" s="1"/>
  <c r="E34" i="7"/>
  <c r="J34" i="7" s="1"/>
  <c r="D34" i="7"/>
  <c r="C13" i="20" s="1"/>
  <c r="F13" i="20" s="1"/>
  <c r="E33" i="7"/>
  <c r="J33" i="7" s="1"/>
  <c r="D33" i="7"/>
  <c r="I33" i="7" s="1"/>
  <c r="C7" i="20" s="1"/>
  <c r="S7" i="20" s="1"/>
  <c r="E32" i="7"/>
  <c r="J32" i="7" s="1"/>
  <c r="D32" i="7"/>
  <c r="I32" i="7" s="1"/>
  <c r="E31" i="7"/>
  <c r="J31" i="7" s="1"/>
  <c r="D31" i="7"/>
  <c r="I31" i="7" s="1"/>
  <c r="C8" i="20" s="1"/>
  <c r="S8" i="20" s="1"/>
  <c r="E30" i="7"/>
  <c r="J30" i="7" s="1"/>
  <c r="D30" i="7"/>
  <c r="I30" i="7" s="1"/>
  <c r="E29" i="7"/>
  <c r="J29" i="7" s="1"/>
  <c r="D29" i="7"/>
  <c r="I29" i="7" s="1"/>
  <c r="E28" i="7"/>
  <c r="J28" i="7" s="1"/>
  <c r="D28" i="7"/>
  <c r="I28" i="7" s="1"/>
  <c r="E27" i="7"/>
  <c r="J27" i="7" s="1"/>
  <c r="D27" i="7"/>
  <c r="I27" i="7" s="1"/>
  <c r="E26" i="7"/>
  <c r="J26" i="7" s="1"/>
  <c r="D26" i="7"/>
  <c r="I26" i="7" s="1"/>
  <c r="E25" i="7"/>
  <c r="J25" i="7" s="1"/>
  <c r="D25" i="7"/>
  <c r="I25" i="7" s="1"/>
  <c r="E24" i="7"/>
  <c r="J24" i="7" s="1"/>
  <c r="D24" i="7"/>
  <c r="I24" i="7" s="1"/>
  <c r="E23" i="7"/>
  <c r="J23" i="7" s="1"/>
  <c r="D23" i="7"/>
  <c r="I23" i="7" s="1"/>
  <c r="E22" i="7"/>
  <c r="J22" i="7" s="1"/>
  <c r="D22" i="7"/>
  <c r="I22" i="7" s="1"/>
  <c r="E21" i="7"/>
  <c r="J21" i="7" s="1"/>
  <c r="D21" i="7"/>
  <c r="C15" i="20" s="1"/>
  <c r="F15" i="20" s="1"/>
  <c r="E20" i="7"/>
  <c r="J20" i="7" s="1"/>
  <c r="D20" i="7"/>
  <c r="I20" i="7" s="1"/>
  <c r="E19" i="7"/>
  <c r="J19" i="7" s="1"/>
  <c r="D19" i="7"/>
  <c r="C14" i="20" s="1"/>
  <c r="F14" i="20" s="1"/>
  <c r="E18" i="7"/>
  <c r="J18" i="7" s="1"/>
  <c r="D18" i="7"/>
  <c r="C18" i="20" s="1"/>
  <c r="F18" i="20" s="1"/>
  <c r="E17" i="7"/>
  <c r="J17" i="7" s="1"/>
  <c r="D17" i="7"/>
  <c r="I17" i="7" s="1"/>
  <c r="E16" i="7"/>
  <c r="J16" i="7" s="1"/>
  <c r="D16" i="7"/>
  <c r="E15" i="7"/>
  <c r="J15" i="7" s="1"/>
  <c r="D15" i="7"/>
  <c r="I15" i="7" s="1"/>
  <c r="E14" i="7"/>
  <c r="J14" i="7" s="1"/>
  <c r="D14" i="7"/>
  <c r="I14" i="7" s="1"/>
  <c r="E13" i="7"/>
  <c r="J13" i="7" s="1"/>
  <c r="D13" i="7"/>
  <c r="I13" i="7" s="1"/>
  <c r="E12" i="7"/>
  <c r="J12" i="7" s="1"/>
  <c r="D12" i="7"/>
  <c r="I12" i="7" s="1"/>
  <c r="E11" i="7"/>
  <c r="J11" i="7" s="1"/>
  <c r="D11" i="7"/>
  <c r="I11" i="7" s="1"/>
  <c r="E10" i="7"/>
  <c r="J10" i="7" s="1"/>
  <c r="D10" i="7"/>
  <c r="I10" i="7" s="1"/>
  <c r="E9" i="7"/>
  <c r="J9" i="7" s="1"/>
  <c r="D9" i="7"/>
  <c r="I9" i="7" s="1"/>
  <c r="E8" i="7"/>
  <c r="J8" i="7" s="1"/>
  <c r="D8" i="7"/>
  <c r="I8" i="7" s="1"/>
  <c r="E7" i="7"/>
  <c r="J7" i="7" s="1"/>
  <c r="D7" i="7"/>
  <c r="I7" i="7" s="1"/>
  <c r="E6" i="7"/>
  <c r="J6" i="7" s="1"/>
  <c r="D6" i="7"/>
  <c r="I6" i="7" s="1"/>
  <c r="E5" i="7"/>
  <c r="J5" i="7" s="1"/>
  <c r="D5" i="7"/>
  <c r="I5" i="7" s="1"/>
  <c r="K41" i="6"/>
  <c r="K42" i="6" s="1"/>
  <c r="K43" i="6" s="1"/>
  <c r="J41" i="6"/>
  <c r="J42" i="6" s="1"/>
  <c r="J43" i="6" s="1"/>
  <c r="I41" i="6"/>
  <c r="I42" i="6" s="1"/>
  <c r="I43" i="6" s="1"/>
  <c r="H41" i="6"/>
  <c r="H42" i="6" s="1"/>
  <c r="H43" i="6" s="1"/>
  <c r="G41" i="6"/>
  <c r="G42" i="6" s="1"/>
  <c r="G43" i="6" s="1"/>
  <c r="F41" i="6"/>
  <c r="F42" i="6" s="1"/>
  <c r="F43" i="6" s="1"/>
  <c r="E41" i="6"/>
  <c r="E42" i="6" s="1"/>
  <c r="E43" i="6" s="1"/>
  <c r="D41" i="6"/>
  <c r="D42" i="6" s="1"/>
  <c r="D43" i="6" s="1"/>
  <c r="C41" i="6"/>
  <c r="C42" i="6" s="1"/>
  <c r="C43" i="6" s="1"/>
  <c r="B41" i="6"/>
  <c r="U25" i="6"/>
  <c r="T25" i="6"/>
  <c r="S25" i="6"/>
  <c r="R25" i="6"/>
  <c r="Q25" i="6"/>
  <c r="P25" i="6"/>
  <c r="O25" i="6"/>
  <c r="N25" i="6"/>
  <c r="G25" i="6"/>
  <c r="J25" i="6" s="1"/>
  <c r="L25" i="6" s="1"/>
  <c r="F25" i="6"/>
  <c r="I25" i="6" s="1"/>
  <c r="Y24" i="6"/>
  <c r="T24" i="6"/>
  <c r="S24" i="6"/>
  <c r="R24" i="6"/>
  <c r="Q24" i="6"/>
  <c r="P24" i="6"/>
  <c r="O24" i="6"/>
  <c r="N24" i="6"/>
  <c r="G24" i="6"/>
  <c r="J24" i="6" s="1"/>
  <c r="L24" i="6" s="1"/>
  <c r="F24" i="6"/>
  <c r="I24" i="6" s="1"/>
  <c r="V23" i="6"/>
  <c r="U23" i="6"/>
  <c r="T23" i="6"/>
  <c r="S23" i="6"/>
  <c r="R23" i="6"/>
  <c r="Q23" i="6"/>
  <c r="P23" i="6"/>
  <c r="O23" i="6"/>
  <c r="N23" i="6"/>
  <c r="G23" i="6"/>
  <c r="J23" i="6" s="1"/>
  <c r="L23" i="6" s="1"/>
  <c r="F23" i="6"/>
  <c r="I23" i="6" s="1"/>
  <c r="Z22" i="6"/>
  <c r="Y22" i="6"/>
  <c r="X22" i="6"/>
  <c r="W22" i="6"/>
  <c r="V22" i="6"/>
  <c r="S22" i="6"/>
  <c r="R22" i="6"/>
  <c r="Q22" i="6"/>
  <c r="P22" i="6"/>
  <c r="O22" i="6"/>
  <c r="N22" i="6"/>
  <c r="L22" i="6"/>
  <c r="K22" i="6"/>
  <c r="J22" i="6"/>
  <c r="I22" i="6"/>
  <c r="Y21" i="6"/>
  <c r="X21" i="6"/>
  <c r="T21" i="6"/>
  <c r="S21" i="6"/>
  <c r="R21" i="6"/>
  <c r="Q21" i="6"/>
  <c r="P21" i="6"/>
  <c r="O21" i="6"/>
  <c r="N21" i="6"/>
  <c r="Y20" i="6"/>
  <c r="X20" i="6"/>
  <c r="T20" i="6"/>
  <c r="S20" i="6"/>
  <c r="R20" i="6"/>
  <c r="Q20" i="6"/>
  <c r="P20" i="6"/>
  <c r="O20" i="6"/>
  <c r="N20" i="6"/>
  <c r="Y19" i="6"/>
  <c r="X19" i="6"/>
  <c r="T19" i="6"/>
  <c r="S19" i="6"/>
  <c r="R19" i="6"/>
  <c r="Q19" i="6"/>
  <c r="P19" i="6"/>
  <c r="O19" i="6"/>
  <c r="N19" i="6"/>
  <c r="Y18" i="6"/>
  <c r="X18" i="6"/>
  <c r="W18" i="6"/>
  <c r="R18" i="6"/>
  <c r="Q18" i="6"/>
  <c r="P18" i="6"/>
  <c r="O18" i="6"/>
  <c r="N18" i="6"/>
  <c r="Y17" i="6"/>
  <c r="X17" i="6"/>
  <c r="W17" i="6"/>
  <c r="V17" i="6"/>
  <c r="R17" i="6"/>
  <c r="Q17" i="6"/>
  <c r="P17" i="6"/>
  <c r="O17" i="6"/>
  <c r="N17" i="6"/>
  <c r="Y16" i="6"/>
  <c r="X16" i="6"/>
  <c r="W16" i="6"/>
  <c r="V16" i="6"/>
  <c r="R16" i="6"/>
  <c r="Q16" i="6"/>
  <c r="P16" i="6"/>
  <c r="O16" i="6"/>
  <c r="N16" i="6"/>
  <c r="G16" i="6"/>
  <c r="J16" i="6" s="1"/>
  <c r="L16" i="6" s="1"/>
  <c r="F16" i="6"/>
  <c r="I16" i="6" s="1"/>
  <c r="Y15" i="6"/>
  <c r="X15" i="6"/>
  <c r="W15" i="6"/>
  <c r="V15" i="6"/>
  <c r="U15" i="6"/>
  <c r="Q15" i="6"/>
  <c r="P15" i="6"/>
  <c r="O15" i="6"/>
  <c r="N15" i="6"/>
  <c r="G15" i="6"/>
  <c r="J15" i="6" s="1"/>
  <c r="L15" i="6" s="1"/>
  <c r="F15" i="6"/>
  <c r="I15" i="6" s="1"/>
  <c r="Y14" i="6"/>
  <c r="X14" i="6"/>
  <c r="W14" i="6"/>
  <c r="V14" i="6"/>
  <c r="U14" i="6"/>
  <c r="P14" i="6"/>
  <c r="O14" i="6"/>
  <c r="N14" i="6"/>
  <c r="G14" i="6"/>
  <c r="J14" i="6" s="1"/>
  <c r="F14" i="6"/>
  <c r="I14" i="6" s="1"/>
  <c r="T14" i="6" s="1"/>
  <c r="Y13" i="6"/>
  <c r="X13" i="6"/>
  <c r="W13" i="6"/>
  <c r="V13" i="6"/>
  <c r="U13" i="6"/>
  <c r="T13" i="6"/>
  <c r="P13" i="6"/>
  <c r="O13" i="6"/>
  <c r="N13" i="6"/>
  <c r="G13" i="6"/>
  <c r="J13" i="6" s="1"/>
  <c r="L13" i="6" s="1"/>
  <c r="F13" i="6"/>
  <c r="I13" i="6" s="1"/>
  <c r="Y12" i="6"/>
  <c r="X12" i="6"/>
  <c r="W12" i="6"/>
  <c r="V12" i="6"/>
  <c r="U12" i="6"/>
  <c r="T12" i="6"/>
  <c r="S12" i="6"/>
  <c r="R12" i="6"/>
  <c r="O12" i="6"/>
  <c r="N12" i="6"/>
  <c r="G12" i="6"/>
  <c r="J12" i="6" s="1"/>
  <c r="L12" i="6" s="1"/>
  <c r="F12" i="6"/>
  <c r="I12" i="6" s="1"/>
  <c r="Y11" i="6"/>
  <c r="X11" i="6"/>
  <c r="W11" i="6"/>
  <c r="V11" i="6"/>
  <c r="U11" i="6"/>
  <c r="T11" i="6"/>
  <c r="S11" i="6"/>
  <c r="R11" i="6"/>
  <c r="Q11" i="6"/>
  <c r="P11" i="6"/>
  <c r="O11" i="6"/>
  <c r="N11" i="6"/>
  <c r="L11" i="6"/>
  <c r="K11" i="6"/>
  <c r="J11" i="6"/>
  <c r="I11" i="6"/>
  <c r="Z11" i="6" s="1"/>
  <c r="Y10" i="6"/>
  <c r="X10" i="6"/>
  <c r="W10" i="6"/>
  <c r="V10" i="6"/>
  <c r="U10" i="6"/>
  <c r="T10" i="6"/>
  <c r="S10" i="6"/>
  <c r="R10" i="6"/>
  <c r="Q10" i="6"/>
  <c r="N10" i="6"/>
  <c r="L10" i="6"/>
  <c r="K10" i="6"/>
  <c r="G10" i="6"/>
  <c r="J10" i="6" s="1"/>
  <c r="F10" i="6"/>
  <c r="I10" i="6" s="1"/>
  <c r="Y9" i="6"/>
  <c r="X9" i="6"/>
  <c r="W9" i="6"/>
  <c r="V9" i="6"/>
  <c r="U9" i="6"/>
  <c r="T9" i="6"/>
  <c r="S9" i="6"/>
  <c r="R9" i="6"/>
  <c r="Q9" i="6"/>
  <c r="N9" i="6"/>
  <c r="L9" i="6"/>
  <c r="K9" i="6"/>
  <c r="G9" i="6"/>
  <c r="J9" i="6" s="1"/>
  <c r="F9" i="6"/>
  <c r="I9" i="6" s="1"/>
  <c r="Z8" i="6"/>
  <c r="Y8" i="6"/>
  <c r="X8" i="6"/>
  <c r="W8" i="6"/>
  <c r="V8" i="6"/>
  <c r="U8" i="6"/>
  <c r="T8" i="6"/>
  <c r="S8" i="6"/>
  <c r="R8" i="6"/>
  <c r="Q8" i="6"/>
  <c r="P8" i="6"/>
  <c r="L8" i="6"/>
  <c r="K8" i="6"/>
  <c r="J8" i="6"/>
  <c r="I8" i="6"/>
  <c r="Z7" i="6"/>
  <c r="Y7" i="6"/>
  <c r="X7" i="6"/>
  <c r="W7" i="6"/>
  <c r="V7" i="6"/>
  <c r="U7" i="6"/>
  <c r="T7" i="6"/>
  <c r="S7" i="6"/>
  <c r="R7" i="6"/>
  <c r="Q7" i="6"/>
  <c r="P7" i="6"/>
  <c r="L7" i="6"/>
  <c r="K7" i="6"/>
  <c r="J7" i="6"/>
  <c r="I7" i="6"/>
  <c r="N7" i="6" s="1"/>
  <c r="Y6" i="6"/>
  <c r="X6" i="6"/>
  <c r="W6" i="6"/>
  <c r="V6" i="6"/>
  <c r="U6" i="6"/>
  <c r="T6" i="6"/>
  <c r="S6" i="6"/>
  <c r="R6" i="6"/>
  <c r="Q6" i="6"/>
  <c r="P6" i="6"/>
  <c r="O6" i="6"/>
  <c r="L6" i="6"/>
  <c r="K6" i="6"/>
  <c r="J6" i="6"/>
  <c r="N6" i="6" s="1"/>
  <c r="I6" i="6"/>
  <c r="Z6" i="6" s="1"/>
  <c r="C26" i="5"/>
  <c r="C25" i="5"/>
  <c r="C24" i="5"/>
  <c r="F18" i="5"/>
  <c r="C18" i="5"/>
  <c r="F17" i="5"/>
  <c r="C17" i="5"/>
  <c r="F16" i="5"/>
  <c r="C16" i="5"/>
  <c r="F15" i="5"/>
  <c r="C15" i="5"/>
  <c r="F14" i="5"/>
  <c r="C14" i="5"/>
  <c r="F13" i="5"/>
  <c r="C13" i="5"/>
  <c r="G6" i="5"/>
  <c r="E6" i="5"/>
  <c r="C6" i="5"/>
  <c r="H16" i="4"/>
  <c r="G16" i="4"/>
  <c r="F16" i="4"/>
  <c r="E16" i="4"/>
  <c r="C24" i="3"/>
  <c r="E22" i="9" s="1"/>
  <c r="I22" i="9" s="1"/>
  <c r="E7" i="2"/>
  <c r="A7" i="2"/>
  <c r="A6" i="2"/>
  <c r="A1" i="2"/>
  <c r="A1" i="1"/>
  <c r="B81" i="21" l="1"/>
  <c r="J56" i="20"/>
  <c r="Q12" i="6"/>
  <c r="P100" i="18"/>
  <c r="J14" i="10" s="1"/>
  <c r="J30" i="8"/>
  <c r="G56" i="20"/>
  <c r="B33" i="8"/>
  <c r="C33" i="8"/>
  <c r="S22" i="8"/>
  <c r="W24" i="6"/>
  <c r="E53" i="21"/>
  <c r="D21" i="9"/>
  <c r="H21" i="9" s="1"/>
  <c r="B6" i="5"/>
  <c r="D6" i="5" s="1"/>
  <c r="J100" i="18"/>
  <c r="D14" i="10" s="1"/>
  <c r="E6" i="18"/>
  <c r="M6" i="18" s="1"/>
  <c r="H100" i="18"/>
  <c r="B14" i="10" s="1"/>
  <c r="L56" i="20"/>
  <c r="B52" i="21"/>
  <c r="P116" i="18"/>
  <c r="D52" i="21"/>
  <c r="I34" i="7"/>
  <c r="D18" i="9"/>
  <c r="H18" i="9" s="1"/>
  <c r="E18" i="9"/>
  <c r="I18" i="9" s="1"/>
  <c r="B53" i="21"/>
  <c r="S15" i="8"/>
  <c r="D19" i="9"/>
  <c r="H19" i="9" s="1"/>
  <c r="D56" i="20"/>
  <c r="L14" i="6"/>
  <c r="Z14" i="6"/>
  <c r="T7" i="20"/>
  <c r="U7" i="20" s="1"/>
  <c r="P7" i="20" s="1"/>
  <c r="E30" i="8"/>
  <c r="I32" i="8"/>
  <c r="I39" i="20" s="1"/>
  <c r="O100" i="18"/>
  <c r="I14" i="10" s="1"/>
  <c r="T6" i="20"/>
  <c r="J32" i="8"/>
  <c r="J39" i="20" s="1"/>
  <c r="K32" i="8"/>
  <c r="K39" i="20" s="1"/>
  <c r="N116" i="18"/>
  <c r="L100" i="18"/>
  <c r="F14" i="10" s="1"/>
  <c r="I52" i="21"/>
  <c r="P12" i="6"/>
  <c r="H25" i="9"/>
  <c r="J25" i="9" s="1"/>
  <c r="H58" i="20"/>
  <c r="K52" i="21"/>
  <c r="K30" i="8"/>
  <c r="S20" i="8"/>
  <c r="N100" i="18"/>
  <c r="H14" i="10" s="1"/>
  <c r="H32" i="8"/>
  <c r="H39" i="20" s="1"/>
  <c r="I21" i="7"/>
  <c r="H9" i="9"/>
  <c r="J9" i="9" s="1"/>
  <c r="F52" i="21"/>
  <c r="R22" i="8"/>
  <c r="K14" i="6"/>
  <c r="H5" i="9"/>
  <c r="J5" i="9" s="1"/>
  <c r="E20" i="9"/>
  <c r="I20" i="9" s="1"/>
  <c r="E7" i="18"/>
  <c r="M6" i="5" s="1"/>
  <c r="M8" i="5" s="1"/>
  <c r="H16" i="9"/>
  <c r="E13" i="18"/>
  <c r="G13" i="18" s="1"/>
  <c r="I13" i="18" s="1"/>
  <c r="M100" i="18"/>
  <c r="G14" i="10" s="1"/>
  <c r="C17" i="20"/>
  <c r="F17" i="20" s="1"/>
  <c r="H17" i="20" s="1"/>
  <c r="K56" i="20"/>
  <c r="G52" i="21"/>
  <c r="R18" i="8"/>
  <c r="E21" i="9"/>
  <c r="I21" i="9" s="1"/>
  <c r="J21" i="9" s="1"/>
  <c r="J27" i="9"/>
  <c r="F30" i="8"/>
  <c r="F26" i="10"/>
  <c r="G32" i="10"/>
  <c r="E15" i="18"/>
  <c r="K15" i="18" s="1"/>
  <c r="E56" i="20"/>
  <c r="D20" i="24"/>
  <c r="F20" i="24" s="1"/>
  <c r="H18" i="20"/>
  <c r="I33" i="8"/>
  <c r="R24" i="8"/>
  <c r="D22" i="9"/>
  <c r="H22" i="9" s="1"/>
  <c r="J22" i="9" s="1"/>
  <c r="I23" i="9"/>
  <c r="J23" i="9" s="1"/>
  <c r="L116" i="18"/>
  <c r="T8" i="20"/>
  <c r="U8" i="20" s="1"/>
  <c r="P8" i="20" s="1"/>
  <c r="R15" i="8"/>
  <c r="I30" i="8"/>
  <c r="O116" i="18"/>
  <c r="J10" i="9"/>
  <c r="H6" i="5"/>
  <c r="H8" i="5" s="1"/>
  <c r="K12" i="6"/>
  <c r="H30" i="8"/>
  <c r="Z12" i="6"/>
  <c r="H14" i="20"/>
  <c r="B15" i="26"/>
  <c r="Z10" i="6"/>
  <c r="O10" i="6"/>
  <c r="P10" i="6"/>
  <c r="S13" i="6"/>
  <c r="R13" i="6"/>
  <c r="Q13" i="6"/>
  <c r="K13" i="6"/>
  <c r="Z13" i="6"/>
  <c r="Z16" i="6"/>
  <c r="T16" i="6"/>
  <c r="S16" i="6"/>
  <c r="U16" i="6"/>
  <c r="K16" i="6"/>
  <c r="I84" i="18"/>
  <c r="G32" i="8"/>
  <c r="G39" i="20" s="1"/>
  <c r="F32" i="8"/>
  <c r="F39" i="20" s="1"/>
  <c r="I18" i="7"/>
  <c r="N27" i="6"/>
  <c r="Z9" i="6"/>
  <c r="P9" i="6"/>
  <c r="O9" i="6"/>
  <c r="R17" i="8"/>
  <c r="R16" i="8"/>
  <c r="S16" i="8"/>
  <c r="B32" i="8"/>
  <c r="B39" i="20" s="1"/>
  <c r="J33" i="8"/>
  <c r="R25" i="8"/>
  <c r="H53" i="21"/>
  <c r="H52" i="21"/>
  <c r="D30" i="8"/>
  <c r="G30" i="8"/>
  <c r="B42" i="6"/>
  <c r="B43" i="6" s="1"/>
  <c r="T15" i="6"/>
  <c r="S15" i="6"/>
  <c r="Z15" i="6"/>
  <c r="K15" i="6"/>
  <c r="O8" i="6"/>
  <c r="N8" i="6"/>
  <c r="C6" i="20"/>
  <c r="S6" i="20" s="1"/>
  <c r="U6" i="20" s="1"/>
  <c r="K33" i="8"/>
  <c r="D33" i="8"/>
  <c r="X23" i="6"/>
  <c r="W23" i="6"/>
  <c r="K23" i="6"/>
  <c r="Z23" i="6"/>
  <c r="S21" i="8"/>
  <c r="R21" i="8"/>
  <c r="E33" i="8"/>
  <c r="J53" i="21"/>
  <c r="J52" i="21"/>
  <c r="E32" i="8"/>
  <c r="E39" i="20" s="1"/>
  <c r="Z25" i="6"/>
  <c r="Y25" i="6"/>
  <c r="X25" i="6"/>
  <c r="W25" i="6"/>
  <c r="V25" i="6"/>
  <c r="J39" i="7"/>
  <c r="E38" i="9" s="1"/>
  <c r="I38" i="9" s="1"/>
  <c r="S12" i="8"/>
  <c r="R12" i="8"/>
  <c r="S23" i="8"/>
  <c r="R23" i="8"/>
  <c r="H33" i="8"/>
  <c r="R15" i="6"/>
  <c r="Y23" i="6"/>
  <c r="Q14" i="6"/>
  <c r="S14" i="6"/>
  <c r="R14" i="6"/>
  <c r="Z24" i="6"/>
  <c r="X24" i="6"/>
  <c r="V24" i="6"/>
  <c r="U24" i="6"/>
  <c r="K24" i="6"/>
  <c r="K25" i="6"/>
  <c r="B13" i="26"/>
  <c r="D8" i="5"/>
  <c r="F31" i="10"/>
  <c r="L15" i="15"/>
  <c r="J13" i="10" s="1"/>
  <c r="K57" i="20" s="1"/>
  <c r="J84" i="18"/>
  <c r="F15" i="15"/>
  <c r="D13" i="10" s="1"/>
  <c r="E57" i="20" s="1"/>
  <c r="J116" i="18"/>
  <c r="K116" i="18"/>
  <c r="I19" i="7"/>
  <c r="J15" i="15"/>
  <c r="H13" i="10" s="1"/>
  <c r="I57" i="20" s="1"/>
  <c r="I16" i="9"/>
  <c r="S18" i="8"/>
  <c r="M15" i="15"/>
  <c r="K13" i="10" s="1"/>
  <c r="L57" i="20" s="1"/>
  <c r="E15" i="15"/>
  <c r="C13" i="10" s="1"/>
  <c r="D57" i="20" s="1"/>
  <c r="M116" i="18"/>
  <c r="S24" i="8"/>
  <c r="H15" i="15"/>
  <c r="F13" i="10" s="1"/>
  <c r="G57" i="20" s="1"/>
  <c r="G58" i="20" s="1"/>
  <c r="D32" i="8"/>
  <c r="D39" i="20" s="1"/>
  <c r="S17" i="8"/>
  <c r="C56" i="20"/>
  <c r="S19" i="8"/>
  <c r="R19" i="8"/>
  <c r="B13" i="25"/>
  <c r="B14" i="25" s="1"/>
  <c r="K100" i="18"/>
  <c r="E14" i="10" s="1"/>
  <c r="K14" i="25"/>
  <c r="F33" i="8"/>
  <c r="S25" i="8"/>
  <c r="B21" i="24"/>
  <c r="G6" i="18"/>
  <c r="I6" i="18" s="1"/>
  <c r="G33" i="8"/>
  <c r="G29" i="10"/>
  <c r="Q116" i="18"/>
  <c r="H116" i="18"/>
  <c r="U22" i="6"/>
  <c r="T22" i="6"/>
  <c r="O7" i="6"/>
  <c r="R20" i="8"/>
  <c r="A24" i="18"/>
  <c r="A41" i="18"/>
  <c r="C16" i="20"/>
  <c r="F16" i="20" s="1"/>
  <c r="H16" i="20" s="1"/>
  <c r="I16" i="7"/>
  <c r="C32" i="8"/>
  <c r="C39" i="20" s="1"/>
  <c r="M7" i="18"/>
  <c r="K7" i="18"/>
  <c r="G7" i="18"/>
  <c r="I7" i="18" s="1"/>
  <c r="D15" i="15"/>
  <c r="B13" i="10" s="1"/>
  <c r="C57" i="20" s="1"/>
  <c r="I100" i="18"/>
  <c r="C14" i="10" s="1"/>
  <c r="E14" i="25"/>
  <c r="C15" i="26"/>
  <c r="E8" i="18"/>
  <c r="C14" i="26"/>
  <c r="E12" i="18"/>
  <c r="C13" i="26"/>
  <c r="B12" i="26"/>
  <c r="D12" i="26" s="1"/>
  <c r="F12" i="26" s="1"/>
  <c r="C21" i="24"/>
  <c r="E10" i="18"/>
  <c r="D7" i="26"/>
  <c r="E14" i="18"/>
  <c r="C13" i="25"/>
  <c r="C14" i="25" s="1"/>
  <c r="E9" i="18"/>
  <c r="C25" i="3"/>
  <c r="K15" i="15"/>
  <c r="I13" i="10" s="1"/>
  <c r="J57" i="20" s="1"/>
  <c r="J58" i="20" s="1"/>
  <c r="E19" i="9"/>
  <c r="I19" i="9" s="1"/>
  <c r="F56" i="20"/>
  <c r="F58" i="20" s="1"/>
  <c r="B38" i="22"/>
  <c r="D20" i="9"/>
  <c r="H20" i="9" s="1"/>
  <c r="J20" i="9" s="1"/>
  <c r="E11" i="18"/>
  <c r="I116" i="18"/>
  <c r="B33" i="22"/>
  <c r="Q100" i="18"/>
  <c r="K14" i="10" s="1"/>
  <c r="I56" i="20"/>
  <c r="C52" i="21"/>
  <c r="F6" i="5" l="1"/>
  <c r="J16" i="9"/>
  <c r="J6" i="5"/>
  <c r="J8" i="5" s="1"/>
  <c r="B17" i="5" s="1"/>
  <c r="D17" i="5" s="1"/>
  <c r="G17" i="5" s="1"/>
  <c r="I6" i="5"/>
  <c r="I8" i="5" s="1"/>
  <c r="B16" i="5" s="1"/>
  <c r="D16" i="5" s="1"/>
  <c r="G16" i="5" s="1"/>
  <c r="P27" i="6"/>
  <c r="C16" i="26"/>
  <c r="K6" i="5"/>
  <c r="K8" i="5" s="1"/>
  <c r="B18" i="5" s="1"/>
  <c r="D18" i="5" s="1"/>
  <c r="G18" i="5" s="1"/>
  <c r="E58" i="20"/>
  <c r="J19" i="9"/>
  <c r="L58" i="20"/>
  <c r="J18" i="9"/>
  <c r="D58" i="20"/>
  <c r="Y27" i="6"/>
  <c r="K6" i="18"/>
  <c r="L6" i="5"/>
  <c r="C58" i="20"/>
  <c r="Q8" i="20"/>
  <c r="R8" i="20"/>
  <c r="R27" i="6"/>
  <c r="G34" i="10"/>
  <c r="E40" i="9" s="1"/>
  <c r="I40" i="9" s="1"/>
  <c r="I39" i="7"/>
  <c r="D9" i="10" s="1"/>
  <c r="M13" i="18"/>
  <c r="Q27" i="6"/>
  <c r="D13" i="26"/>
  <c r="F13" i="26" s="1"/>
  <c r="X27" i="6"/>
  <c r="O27" i="6"/>
  <c r="F34" i="10"/>
  <c r="K13" i="18"/>
  <c r="C47" i="18" s="1"/>
  <c r="K58" i="20"/>
  <c r="M15" i="18"/>
  <c r="G15" i="18"/>
  <c r="I15" i="18" s="1"/>
  <c r="K11" i="18"/>
  <c r="M11" i="18"/>
  <c r="G11" i="18"/>
  <c r="I11" i="18" s="1"/>
  <c r="C66" i="18"/>
  <c r="C32" i="18"/>
  <c r="C49" i="18"/>
  <c r="K9" i="18"/>
  <c r="G9" i="18"/>
  <c r="I9" i="18" s="1"/>
  <c r="M9" i="18"/>
  <c r="C20" i="26"/>
  <c r="P6" i="20"/>
  <c r="F11" i="10"/>
  <c r="J11" i="10"/>
  <c r="H11" i="10"/>
  <c r="C11" i="10"/>
  <c r="K11" i="10"/>
  <c r="I11" i="10"/>
  <c r="G11" i="10"/>
  <c r="E11" i="10"/>
  <c r="D11" i="10"/>
  <c r="B11" i="10"/>
  <c r="M14" i="18"/>
  <c r="K14" i="18"/>
  <c r="G14" i="18"/>
  <c r="I14" i="18" s="1"/>
  <c r="G10" i="18"/>
  <c r="I10" i="18" s="1"/>
  <c r="M10" i="18"/>
  <c r="K10" i="18"/>
  <c r="C24" i="18"/>
  <c r="T24" i="18" s="1"/>
  <c r="C41" i="18"/>
  <c r="R41" i="18" s="1"/>
  <c r="C58" i="18"/>
  <c r="G8" i="18"/>
  <c r="I8" i="18" s="1"/>
  <c r="M8" i="18"/>
  <c r="K8" i="18"/>
  <c r="D21" i="24"/>
  <c r="F21" i="24" s="1"/>
  <c r="G21" i="6"/>
  <c r="J21" i="6" s="1"/>
  <c r="L21" i="6" s="1"/>
  <c r="B31" i="22"/>
  <c r="Q7" i="20"/>
  <c r="R7" i="20"/>
  <c r="B26" i="5"/>
  <c r="D26" i="5" s="1"/>
  <c r="B15" i="5"/>
  <c r="D15" i="5" s="1"/>
  <c r="G15" i="5" s="1"/>
  <c r="G18" i="6"/>
  <c r="J18" i="6" s="1"/>
  <c r="L18" i="6" s="1"/>
  <c r="I10" i="2"/>
  <c r="F18" i="6"/>
  <c r="I18" i="6" s="1"/>
  <c r="F20" i="6"/>
  <c r="I20" i="6" s="1"/>
  <c r="G20" i="6"/>
  <c r="J20" i="6" s="1"/>
  <c r="L20" i="6" s="1"/>
  <c r="I58" i="20"/>
  <c r="D15" i="26"/>
  <c r="F15" i="26" s="1"/>
  <c r="E10" i="2"/>
  <c r="B24" i="5"/>
  <c r="D24" i="5" s="1"/>
  <c r="B13" i="5"/>
  <c r="D13" i="5" s="1"/>
  <c r="G13" i="5" s="1"/>
  <c r="D8" i="26"/>
  <c r="B7" i="5"/>
  <c r="B8" i="5" s="1"/>
  <c r="K12" i="18"/>
  <c r="G12" i="18"/>
  <c r="I12" i="18" s="1"/>
  <c r="M12" i="18"/>
  <c r="B71" i="21"/>
  <c r="B76" i="21" s="1"/>
  <c r="B36" i="22"/>
  <c r="B5" i="16"/>
  <c r="D5" i="16" s="1"/>
  <c r="F5" i="16" s="1"/>
  <c r="F21" i="6" l="1"/>
  <c r="I21" i="6" s="1"/>
  <c r="C6" i="10"/>
  <c r="B14" i="26"/>
  <c r="D14" i="26" s="1"/>
  <c r="F14" i="26" s="1"/>
  <c r="F8" i="5"/>
  <c r="J7" i="12"/>
  <c r="D38" i="9"/>
  <c r="H38" i="9" s="1"/>
  <c r="J38" i="9" s="1"/>
  <c r="I9" i="10"/>
  <c r="J9" i="10"/>
  <c r="S24" i="18"/>
  <c r="V24" i="18"/>
  <c r="X24" i="18"/>
  <c r="AE24" i="18"/>
  <c r="G7" i="12"/>
  <c r="D6" i="10"/>
  <c r="D40" i="9"/>
  <c r="H40" i="9" s="1"/>
  <c r="V41" i="18"/>
  <c r="X41" i="18"/>
  <c r="K9" i="10"/>
  <c r="B9" i="10"/>
  <c r="E6" i="10"/>
  <c r="U41" i="18"/>
  <c r="AB24" i="18"/>
  <c r="C23" i="18"/>
  <c r="C40" i="18"/>
  <c r="C57" i="18"/>
  <c r="G6" i="10"/>
  <c r="K6" i="10"/>
  <c r="Q24" i="18"/>
  <c r="R24" i="18"/>
  <c r="H9" i="10"/>
  <c r="C9" i="10"/>
  <c r="Y24" i="18"/>
  <c r="AF24" i="18"/>
  <c r="AG24" i="18"/>
  <c r="AI24" i="18"/>
  <c r="P24" i="18"/>
  <c r="B16" i="26"/>
  <c r="D16" i="26" s="1"/>
  <c r="F16" i="26" s="1"/>
  <c r="L8" i="5"/>
  <c r="F9" i="10"/>
  <c r="E9" i="10"/>
  <c r="C30" i="18"/>
  <c r="AB30" i="18" s="1"/>
  <c r="G9" i="10"/>
  <c r="M18" i="18"/>
  <c r="J40" i="9"/>
  <c r="C64" i="18"/>
  <c r="P64" i="18" s="1"/>
  <c r="Z24" i="18"/>
  <c r="F6" i="10"/>
  <c r="AD24" i="18"/>
  <c r="I6" i="10"/>
  <c r="AC24" i="18"/>
  <c r="I18" i="18"/>
  <c r="B6" i="10"/>
  <c r="AH24" i="18"/>
  <c r="H6" i="10"/>
  <c r="AA24" i="18"/>
  <c r="J6" i="10"/>
  <c r="B30" i="22"/>
  <c r="U24" i="18"/>
  <c r="S41" i="18"/>
  <c r="W24" i="18"/>
  <c r="T41" i="18"/>
  <c r="K18" i="6"/>
  <c r="Z18" i="6"/>
  <c r="V18" i="6"/>
  <c r="T18" i="6"/>
  <c r="S18" i="6"/>
  <c r="U18" i="6"/>
  <c r="H10" i="11"/>
  <c r="F10" i="11"/>
  <c r="C10" i="11"/>
  <c r="B10" i="11"/>
  <c r="K10" i="11"/>
  <c r="J10" i="11"/>
  <c r="D10" i="11"/>
  <c r="I10" i="11"/>
  <c r="G10" i="11"/>
  <c r="E10" i="11"/>
  <c r="S58" i="18"/>
  <c r="U58" i="18"/>
  <c r="R58" i="18"/>
  <c r="O58" i="18"/>
  <c r="W58" i="18"/>
  <c r="P58" i="18"/>
  <c r="V58" i="18"/>
  <c r="T58" i="18"/>
  <c r="Q58" i="18"/>
  <c r="N58" i="18"/>
  <c r="W41" i="18"/>
  <c r="O41" i="18"/>
  <c r="P41" i="18"/>
  <c r="R47" i="18"/>
  <c r="U47" i="18"/>
  <c r="Q47" i="18"/>
  <c r="P47" i="18"/>
  <c r="O47" i="18"/>
  <c r="W47" i="18"/>
  <c r="X47" i="18"/>
  <c r="V47" i="18"/>
  <c r="T47" i="18"/>
  <c r="S47" i="18"/>
  <c r="Q41" i="18"/>
  <c r="K20" i="6"/>
  <c r="Z20" i="6"/>
  <c r="W20" i="6"/>
  <c r="V20" i="6"/>
  <c r="U20" i="6"/>
  <c r="C25" i="18"/>
  <c r="C59" i="18"/>
  <c r="C42" i="18"/>
  <c r="D5" i="11"/>
  <c r="D7" i="11" s="1"/>
  <c r="J5" i="11"/>
  <c r="J7" i="11" s="1"/>
  <c r="F5" i="11"/>
  <c r="F7" i="11" s="1"/>
  <c r="C5" i="11"/>
  <c r="C7" i="11" s="1"/>
  <c r="B5" i="11"/>
  <c r="B7" i="11" s="1"/>
  <c r="K5" i="11"/>
  <c r="K7" i="11" s="1"/>
  <c r="G5" i="11"/>
  <c r="G7" i="11" s="1"/>
  <c r="I5" i="11"/>
  <c r="I7" i="11" s="1"/>
  <c r="H5" i="11"/>
  <c r="H7" i="11" s="1"/>
  <c r="E5" i="11"/>
  <c r="E7" i="11" s="1"/>
  <c r="C46" i="18"/>
  <c r="C29" i="18"/>
  <c r="C63" i="18"/>
  <c r="AD32" i="18"/>
  <c r="AA32" i="18"/>
  <c r="AF32" i="18"/>
  <c r="AE32" i="18"/>
  <c r="Z32" i="18"/>
  <c r="U32" i="18"/>
  <c r="T32" i="18"/>
  <c r="R32" i="18"/>
  <c r="P32" i="18"/>
  <c r="AH32" i="18"/>
  <c r="V32" i="18"/>
  <c r="S32" i="18"/>
  <c r="AG32" i="18"/>
  <c r="W32" i="18"/>
  <c r="AI32" i="18"/>
  <c r="X32" i="18"/>
  <c r="AB32" i="18"/>
  <c r="Y32" i="18"/>
  <c r="AC32" i="18"/>
  <c r="Q32" i="18"/>
  <c r="C28" i="18"/>
  <c r="C45" i="18"/>
  <c r="C62" i="18"/>
  <c r="C43" i="18"/>
  <c r="C60" i="18"/>
  <c r="C26" i="18"/>
  <c r="C48" i="18"/>
  <c r="C31" i="18"/>
  <c r="C65" i="18"/>
  <c r="E67" i="20"/>
  <c r="D67" i="20"/>
  <c r="B20" i="26"/>
  <c r="D20" i="26" s="1"/>
  <c r="F20" i="26" s="1"/>
  <c r="C67" i="20"/>
  <c r="B65" i="20"/>
  <c r="L67" i="20"/>
  <c r="B63" i="20"/>
  <c r="Q6" i="20"/>
  <c r="K67" i="20"/>
  <c r="J67" i="20"/>
  <c r="H67" i="20"/>
  <c r="G67" i="20"/>
  <c r="F67" i="20"/>
  <c r="I67" i="20"/>
  <c r="R6" i="20"/>
  <c r="Z21" i="6"/>
  <c r="W21" i="6"/>
  <c r="V21" i="6"/>
  <c r="K21" i="6"/>
  <c r="U21" i="6"/>
  <c r="P49" i="18"/>
  <c r="O49" i="18"/>
  <c r="X49" i="18"/>
  <c r="Q49" i="18"/>
  <c r="R49" i="18"/>
  <c r="W49" i="18"/>
  <c r="U49" i="18"/>
  <c r="V49" i="18"/>
  <c r="S49" i="18"/>
  <c r="T49" i="18"/>
  <c r="P66" i="18"/>
  <c r="O66" i="18"/>
  <c r="N66" i="18"/>
  <c r="W66" i="18"/>
  <c r="U66" i="18"/>
  <c r="R66" i="18"/>
  <c r="V66" i="18"/>
  <c r="T66" i="18"/>
  <c r="S66" i="18"/>
  <c r="Q66" i="18"/>
  <c r="C61" i="18"/>
  <c r="C27" i="18"/>
  <c r="C44" i="18"/>
  <c r="Q30" i="18" l="1"/>
  <c r="G19" i="6"/>
  <c r="J19" i="6" s="1"/>
  <c r="L19" i="6" s="1"/>
  <c r="F17" i="6"/>
  <c r="I17" i="6" s="1"/>
  <c r="F19" i="6"/>
  <c r="I19" i="6" s="1"/>
  <c r="E36" i="9"/>
  <c r="I36" i="9" s="1"/>
  <c r="B25" i="5"/>
  <c r="D25" i="5" s="1"/>
  <c r="B6" i="16"/>
  <c r="D6" i="16" s="1"/>
  <c r="F6" i="16" s="1"/>
  <c r="G17" i="6"/>
  <c r="J17" i="6" s="1"/>
  <c r="L17" i="6" s="1"/>
  <c r="L26" i="6" s="1"/>
  <c r="E17" i="9" s="1"/>
  <c r="I17" i="9" s="1"/>
  <c r="D36" i="9"/>
  <c r="H36" i="9" s="1"/>
  <c r="J36" i="9" s="1"/>
  <c r="B14" i="5"/>
  <c r="D14" i="5" s="1"/>
  <c r="G14" i="5" s="1"/>
  <c r="G19" i="5" s="1"/>
  <c r="E11" i="2"/>
  <c r="AD30" i="18"/>
  <c r="Z30" i="18"/>
  <c r="AI30" i="18"/>
  <c r="R30" i="18"/>
  <c r="AA30" i="18"/>
  <c r="U30" i="18"/>
  <c r="W30" i="18"/>
  <c r="S30" i="18"/>
  <c r="AH30" i="18"/>
  <c r="AC30" i="18"/>
  <c r="P30" i="18"/>
  <c r="X40" i="18"/>
  <c r="V40" i="18"/>
  <c r="O40" i="18"/>
  <c r="T40" i="18"/>
  <c r="Q40" i="18"/>
  <c r="S40" i="18"/>
  <c r="P40" i="18"/>
  <c r="U40" i="18"/>
  <c r="W40" i="18"/>
  <c r="R40" i="18"/>
  <c r="N64" i="18"/>
  <c r="W23" i="18"/>
  <c r="J72" i="21" s="1"/>
  <c r="Q23" i="18"/>
  <c r="D72" i="21" s="1"/>
  <c r="S23" i="18"/>
  <c r="F72" i="21" s="1"/>
  <c r="U23" i="18"/>
  <c r="H72" i="21" s="1"/>
  <c r="AH23" i="18"/>
  <c r="AD23" i="18"/>
  <c r="T23" i="18"/>
  <c r="G72" i="21" s="1"/>
  <c r="R23" i="18"/>
  <c r="E72" i="21" s="1"/>
  <c r="P23" i="18"/>
  <c r="C72" i="21" s="1"/>
  <c r="AI23" i="18"/>
  <c r="Z23" i="18"/>
  <c r="X23" i="18"/>
  <c r="K72" i="21" s="1"/>
  <c r="AE23" i="18"/>
  <c r="AC23" i="18"/>
  <c r="AA23" i="18"/>
  <c r="V23" i="18"/>
  <c r="I72" i="21" s="1"/>
  <c r="AG23" i="18"/>
  <c r="AB23" i="18"/>
  <c r="AF23" i="18"/>
  <c r="Y23" i="18"/>
  <c r="L72" i="21" s="1"/>
  <c r="Q64" i="18"/>
  <c r="X30" i="18"/>
  <c r="T64" i="18"/>
  <c r="T30" i="18"/>
  <c r="V57" i="18"/>
  <c r="K74" i="21" s="1"/>
  <c r="Q57" i="18"/>
  <c r="F74" i="21" s="1"/>
  <c r="T57" i="18"/>
  <c r="I74" i="21" s="1"/>
  <c r="N57" i="18"/>
  <c r="C74" i="21" s="1"/>
  <c r="R57" i="18"/>
  <c r="G74" i="21" s="1"/>
  <c r="P57" i="18"/>
  <c r="E74" i="21" s="1"/>
  <c r="S57" i="18"/>
  <c r="H74" i="21" s="1"/>
  <c r="O57" i="18"/>
  <c r="D74" i="21" s="1"/>
  <c r="W57" i="18"/>
  <c r="L74" i="21" s="1"/>
  <c r="U57" i="18"/>
  <c r="J74" i="21" s="1"/>
  <c r="O64" i="18"/>
  <c r="R64" i="18"/>
  <c r="V30" i="18"/>
  <c r="Y30" i="18"/>
  <c r="V64" i="18"/>
  <c r="U64" i="18"/>
  <c r="W64" i="18"/>
  <c r="AF30" i="18"/>
  <c r="AE30" i="18"/>
  <c r="S64" i="18"/>
  <c r="AG30" i="18"/>
  <c r="F9" i="11"/>
  <c r="F22" i="11"/>
  <c r="X42" i="18"/>
  <c r="W42" i="18"/>
  <c r="T42" i="18"/>
  <c r="R42" i="18"/>
  <c r="Q42" i="18"/>
  <c r="S42" i="18"/>
  <c r="P42" i="18"/>
  <c r="O42" i="18"/>
  <c r="U42" i="18"/>
  <c r="V42" i="18"/>
  <c r="S48" i="18"/>
  <c r="R48" i="18"/>
  <c r="Q48" i="18"/>
  <c r="P48" i="18"/>
  <c r="W48" i="18"/>
  <c r="U48" i="18"/>
  <c r="T48" i="18"/>
  <c r="O48" i="18"/>
  <c r="V48" i="18"/>
  <c r="X48" i="18"/>
  <c r="AH25" i="18"/>
  <c r="T25" i="18"/>
  <c r="P25" i="18"/>
  <c r="U25" i="18"/>
  <c r="S25" i="18"/>
  <c r="R25" i="18"/>
  <c r="Q25" i="18"/>
  <c r="AD25" i="18"/>
  <c r="AA25" i="18"/>
  <c r="AG25" i="18"/>
  <c r="AC25" i="18"/>
  <c r="Z25" i="18"/>
  <c r="W25" i="18"/>
  <c r="AB25" i="18"/>
  <c r="Y25" i="18"/>
  <c r="AE25" i="18"/>
  <c r="AF25" i="18"/>
  <c r="V25" i="18"/>
  <c r="X25" i="18"/>
  <c r="AI25" i="18"/>
  <c r="C54" i="21"/>
  <c r="C12" i="11"/>
  <c r="W63" i="18"/>
  <c r="U63" i="18"/>
  <c r="V63" i="18"/>
  <c r="S63" i="18"/>
  <c r="Q63" i="18"/>
  <c r="O63" i="18"/>
  <c r="N63" i="18"/>
  <c r="P63" i="18"/>
  <c r="R63" i="18"/>
  <c r="T63" i="18"/>
  <c r="F54" i="21"/>
  <c r="F59" i="21"/>
  <c r="F60" i="21" s="1"/>
  <c r="F12" i="11"/>
  <c r="Q29" i="18"/>
  <c r="AI29" i="18"/>
  <c r="AH29" i="18"/>
  <c r="W29" i="18"/>
  <c r="AC29" i="18"/>
  <c r="V29" i="18"/>
  <c r="AF29" i="18"/>
  <c r="AA29" i="18"/>
  <c r="X29" i="18"/>
  <c r="U29" i="18"/>
  <c r="AG29" i="18"/>
  <c r="Z29" i="18"/>
  <c r="AE29" i="18"/>
  <c r="AD29" i="18"/>
  <c r="AB29" i="18"/>
  <c r="T29" i="18"/>
  <c r="P29" i="18"/>
  <c r="R29" i="18"/>
  <c r="Y29" i="18"/>
  <c r="S29" i="18"/>
  <c r="H59" i="21"/>
  <c r="H60" i="21" s="1"/>
  <c r="H54" i="21"/>
  <c r="H12" i="11"/>
  <c r="J59" i="21"/>
  <c r="J60" i="21" s="1"/>
  <c r="J54" i="21"/>
  <c r="J12" i="11"/>
  <c r="Q59" i="18"/>
  <c r="R59" i="18"/>
  <c r="O59" i="18"/>
  <c r="S59" i="18"/>
  <c r="U59" i="18"/>
  <c r="P59" i="18"/>
  <c r="W59" i="18"/>
  <c r="V59" i="18"/>
  <c r="T59" i="18"/>
  <c r="N59" i="18"/>
  <c r="AF31" i="18"/>
  <c r="AA31" i="18"/>
  <c r="AI31" i="18"/>
  <c r="AH31" i="18"/>
  <c r="AG31" i="18"/>
  <c r="AC31" i="18"/>
  <c r="W31" i="18"/>
  <c r="AD31" i="18"/>
  <c r="T31" i="18"/>
  <c r="S31" i="18"/>
  <c r="Q31" i="18"/>
  <c r="P31" i="18"/>
  <c r="AE31" i="18"/>
  <c r="X31" i="18"/>
  <c r="AB31" i="18"/>
  <c r="Z31" i="18"/>
  <c r="V31" i="18"/>
  <c r="Y31" i="18"/>
  <c r="R31" i="18"/>
  <c r="U31" i="18"/>
  <c r="W46" i="18"/>
  <c r="V46" i="18"/>
  <c r="T46" i="18"/>
  <c r="U46" i="18"/>
  <c r="O46" i="18"/>
  <c r="S46" i="18"/>
  <c r="R46" i="18"/>
  <c r="Q46" i="18"/>
  <c r="X46" i="18"/>
  <c r="P46" i="18"/>
  <c r="E9" i="11"/>
  <c r="E22" i="11"/>
  <c r="S43" i="18"/>
  <c r="Q43" i="18"/>
  <c r="P43" i="18"/>
  <c r="O43" i="18"/>
  <c r="V43" i="18"/>
  <c r="T43" i="18"/>
  <c r="R43" i="18"/>
  <c r="X43" i="18"/>
  <c r="U43" i="18"/>
  <c r="W43" i="18"/>
  <c r="I22" i="11"/>
  <c r="I9" i="11"/>
  <c r="B54" i="21"/>
  <c r="B12" i="11"/>
  <c r="X44" i="18"/>
  <c r="W44" i="18"/>
  <c r="V44" i="18"/>
  <c r="U44" i="18"/>
  <c r="P44" i="18"/>
  <c r="R44" i="18"/>
  <c r="O44" i="18"/>
  <c r="Q44" i="18"/>
  <c r="T44" i="18"/>
  <c r="S44" i="18"/>
  <c r="Q60" i="18"/>
  <c r="P60" i="18"/>
  <c r="N60" i="18"/>
  <c r="U60" i="18"/>
  <c r="T60" i="18"/>
  <c r="S60" i="18"/>
  <c r="R60" i="18"/>
  <c r="W60" i="18"/>
  <c r="V60" i="18"/>
  <c r="O60" i="18"/>
  <c r="H9" i="11"/>
  <c r="H22" i="11"/>
  <c r="AF27" i="18"/>
  <c r="AA27" i="18"/>
  <c r="Z27" i="18"/>
  <c r="X27" i="18"/>
  <c r="W27" i="18"/>
  <c r="P27" i="18"/>
  <c r="AE27" i="18"/>
  <c r="AB27" i="18"/>
  <c r="U27" i="18"/>
  <c r="Y27" i="18"/>
  <c r="S27" i="18"/>
  <c r="Q27" i="18"/>
  <c r="R27" i="18"/>
  <c r="AC27" i="18"/>
  <c r="T27" i="18"/>
  <c r="AD27" i="18"/>
  <c r="AG27" i="18"/>
  <c r="AH27" i="18"/>
  <c r="V27" i="18"/>
  <c r="AI27" i="18"/>
  <c r="P61" i="18"/>
  <c r="Q61" i="18"/>
  <c r="R61" i="18"/>
  <c r="W61" i="18"/>
  <c r="U61" i="18"/>
  <c r="S61" i="18"/>
  <c r="T61" i="18"/>
  <c r="O61" i="18"/>
  <c r="N61" i="18"/>
  <c r="V61" i="18"/>
  <c r="AG26" i="18"/>
  <c r="S26" i="18"/>
  <c r="Y26" i="18"/>
  <c r="X26" i="18"/>
  <c r="V26" i="18"/>
  <c r="Q26" i="18"/>
  <c r="P26" i="18"/>
  <c r="AC26" i="18"/>
  <c r="AF26" i="18"/>
  <c r="AB26" i="18"/>
  <c r="AA26" i="18"/>
  <c r="Z26" i="18"/>
  <c r="T26" i="18"/>
  <c r="R26" i="18"/>
  <c r="AD26" i="18"/>
  <c r="U26" i="18"/>
  <c r="AH26" i="18"/>
  <c r="AE26" i="18"/>
  <c r="W26" i="18"/>
  <c r="AI26" i="18"/>
  <c r="G59" i="21"/>
  <c r="G60" i="21" s="1"/>
  <c r="G54" i="21"/>
  <c r="G12" i="11"/>
  <c r="J22" i="11"/>
  <c r="J9" i="11"/>
  <c r="E54" i="21"/>
  <c r="E12" i="11"/>
  <c r="W62" i="18"/>
  <c r="V62" i="18"/>
  <c r="U62" i="18"/>
  <c r="T62" i="18"/>
  <c r="Q62" i="18"/>
  <c r="O62" i="18"/>
  <c r="N62" i="18"/>
  <c r="P62" i="18"/>
  <c r="R62" i="18"/>
  <c r="S62" i="18"/>
  <c r="X45" i="18"/>
  <c r="P45" i="18"/>
  <c r="S45" i="18"/>
  <c r="O45" i="18"/>
  <c r="Q45" i="18"/>
  <c r="W45" i="18"/>
  <c r="V45" i="18"/>
  <c r="T45" i="18"/>
  <c r="R45" i="18"/>
  <c r="U45" i="18"/>
  <c r="I59" i="21"/>
  <c r="I60" i="21" s="1"/>
  <c r="I54" i="21"/>
  <c r="I12" i="11"/>
  <c r="D9" i="11"/>
  <c r="D22" i="11"/>
  <c r="R65" i="18"/>
  <c r="O65" i="18"/>
  <c r="U65" i="18"/>
  <c r="V65" i="18"/>
  <c r="T65" i="18"/>
  <c r="P65" i="18"/>
  <c r="Q65" i="18"/>
  <c r="W65" i="18"/>
  <c r="N65" i="18"/>
  <c r="S65" i="18"/>
  <c r="K59" i="21"/>
  <c r="K60" i="21" s="1"/>
  <c r="K54" i="21"/>
  <c r="K12" i="11"/>
  <c r="G9" i="11"/>
  <c r="G22" i="11"/>
  <c r="K22" i="11"/>
  <c r="K9" i="11"/>
  <c r="AI28" i="18"/>
  <c r="AD28" i="18"/>
  <c r="AA28" i="18"/>
  <c r="Z28" i="18"/>
  <c r="Y28" i="18"/>
  <c r="X28" i="18"/>
  <c r="W28" i="18"/>
  <c r="V28" i="18"/>
  <c r="T28" i="18"/>
  <c r="R28" i="18"/>
  <c r="P28" i="18"/>
  <c r="AE28" i="18"/>
  <c r="AC28" i="18"/>
  <c r="AB28" i="18"/>
  <c r="U28" i="18"/>
  <c r="AF28" i="18"/>
  <c r="AH28" i="18"/>
  <c r="S28" i="18"/>
  <c r="Q28" i="18"/>
  <c r="AG28" i="18"/>
  <c r="B9" i="11"/>
  <c r="B22" i="11"/>
  <c r="C9" i="11"/>
  <c r="C22" i="11"/>
  <c r="D54" i="21"/>
  <c r="D12" i="11"/>
  <c r="C12" i="10" l="1"/>
  <c r="G12" i="10"/>
  <c r="E12" i="10"/>
  <c r="J12" i="10"/>
  <c r="B12" i="10"/>
  <c r="E33" i="9"/>
  <c r="D33" i="9"/>
  <c r="D35" i="9" s="1"/>
  <c r="H35" i="9" s="1"/>
  <c r="F12" i="10"/>
  <c r="K12" i="10"/>
  <c r="I12" i="10"/>
  <c r="D12" i="10"/>
  <c r="H12" i="10"/>
  <c r="Z19" i="6"/>
  <c r="U19" i="6"/>
  <c r="V19" i="6"/>
  <c r="V27" i="6" s="1"/>
  <c r="W19" i="6"/>
  <c r="W27" i="6" s="1"/>
  <c r="K19" i="6"/>
  <c r="Q14" i="8"/>
  <c r="O11" i="8"/>
  <c r="I9" i="8"/>
  <c r="N11" i="8"/>
  <c r="L11" i="8"/>
  <c r="I5" i="8"/>
  <c r="E15" i="11"/>
  <c r="E17" i="11" s="1"/>
  <c r="K13" i="8"/>
  <c r="F15" i="11"/>
  <c r="F17" i="11" s="1"/>
  <c r="I8" i="8"/>
  <c r="P11" i="8"/>
  <c r="H9" i="8"/>
  <c r="M11" i="8"/>
  <c r="P14" i="8"/>
  <c r="P13" i="8"/>
  <c r="Q10" i="8"/>
  <c r="L14" i="8"/>
  <c r="H6" i="8"/>
  <c r="D15" i="11"/>
  <c r="D17" i="11" s="1"/>
  <c r="J14" i="8"/>
  <c r="O14" i="8"/>
  <c r="H11" i="8"/>
  <c r="P10" i="8"/>
  <c r="K11" i="8"/>
  <c r="B15" i="11"/>
  <c r="B17" i="11" s="1"/>
  <c r="N14" i="8"/>
  <c r="I6" i="8"/>
  <c r="C15" i="11"/>
  <c r="C17" i="11" s="1"/>
  <c r="Q11" i="8"/>
  <c r="O10" i="8"/>
  <c r="M10" i="8"/>
  <c r="I7" i="8"/>
  <c r="J15" i="11"/>
  <c r="J17" i="11" s="1"/>
  <c r="J13" i="8"/>
  <c r="H15" i="11"/>
  <c r="H17" i="11" s="1"/>
  <c r="L10" i="8"/>
  <c r="O13" i="8"/>
  <c r="I10" i="8"/>
  <c r="H5" i="8"/>
  <c r="K15" i="11"/>
  <c r="K17" i="11" s="1"/>
  <c r="L13" i="8"/>
  <c r="M14" i="8"/>
  <c r="K10" i="8"/>
  <c r="H7" i="8"/>
  <c r="I15" i="11"/>
  <c r="I17" i="11" s="1"/>
  <c r="N10" i="8"/>
  <c r="G15" i="11"/>
  <c r="G17" i="11" s="1"/>
  <c r="J10" i="8"/>
  <c r="M13" i="8"/>
  <c r="H10" i="8"/>
  <c r="K14" i="8"/>
  <c r="H8" i="8"/>
  <c r="J11" i="8"/>
  <c r="I11" i="8"/>
  <c r="N13" i="8"/>
  <c r="Q13" i="8"/>
  <c r="B17" i="26"/>
  <c r="S17" i="6"/>
  <c r="U17" i="6"/>
  <c r="Z17" i="6"/>
  <c r="T17" i="6"/>
  <c r="T27" i="6" s="1"/>
  <c r="K17" i="6"/>
  <c r="U68" i="18"/>
  <c r="I7" i="10" s="1"/>
  <c r="S68" i="18"/>
  <c r="G7" i="10" s="1"/>
  <c r="T68" i="18"/>
  <c r="H7" i="10" s="1"/>
  <c r="P52" i="18"/>
  <c r="D73" i="21" s="1"/>
  <c r="Q52" i="18"/>
  <c r="V68" i="18"/>
  <c r="J7" i="10" s="1"/>
  <c r="Q68" i="18"/>
  <c r="E7" i="10" s="1"/>
  <c r="T34" i="18"/>
  <c r="F20" i="11" s="1"/>
  <c r="AH35" i="18"/>
  <c r="AE35" i="18"/>
  <c r="H75" i="21" s="1"/>
  <c r="O68" i="18"/>
  <c r="C7" i="10" s="1"/>
  <c r="U34" i="18"/>
  <c r="G20" i="11" s="1"/>
  <c r="P34" i="18"/>
  <c r="B20" i="11" s="1"/>
  <c r="H33" i="9"/>
  <c r="P68" i="18"/>
  <c r="D7" i="10" s="1"/>
  <c r="D34" i="9"/>
  <c r="H34" i="9" s="1"/>
  <c r="R68" i="18"/>
  <c r="F7" i="10" s="1"/>
  <c r="O52" i="18"/>
  <c r="C73" i="21" s="1"/>
  <c r="S52" i="18"/>
  <c r="G73" i="21" s="1"/>
  <c r="D14" i="11"/>
  <c r="D23" i="11"/>
  <c r="D55" i="21"/>
  <c r="D58" i="21"/>
  <c r="D64" i="21" s="1"/>
  <c r="D57" i="21"/>
  <c r="D56" i="21"/>
  <c r="K75" i="21"/>
  <c r="F23" i="11"/>
  <c r="F14" i="11"/>
  <c r="AI35" i="18"/>
  <c r="R52" i="18"/>
  <c r="T52" i="18"/>
  <c r="N68" i="18"/>
  <c r="W52" i="18"/>
  <c r="X52" i="18"/>
  <c r="W68" i="18"/>
  <c r="X34" i="18"/>
  <c r="J20" i="11" s="1"/>
  <c r="H55" i="21"/>
  <c r="H57" i="21"/>
  <c r="H56" i="21"/>
  <c r="H58" i="21"/>
  <c r="H64" i="21" s="1"/>
  <c r="AF35" i="18"/>
  <c r="I23" i="11"/>
  <c r="I14" i="11"/>
  <c r="I55" i="21"/>
  <c r="I57" i="21"/>
  <c r="I56" i="21"/>
  <c r="I58" i="21"/>
  <c r="I64" i="21" s="1"/>
  <c r="Y34" i="18"/>
  <c r="K20" i="11" s="1"/>
  <c r="E14" i="11"/>
  <c r="E23" i="11"/>
  <c r="B14" i="11"/>
  <c r="B23" i="11"/>
  <c r="AB35" i="18"/>
  <c r="G14" i="11"/>
  <c r="G23" i="11"/>
  <c r="G55" i="21"/>
  <c r="G57" i="21"/>
  <c r="G56" i="21"/>
  <c r="G58" i="21"/>
  <c r="G64" i="21" s="1"/>
  <c r="C23" i="11"/>
  <c r="C14" i="11"/>
  <c r="B58" i="21"/>
  <c r="B64" i="21" s="1"/>
  <c r="B57" i="21"/>
  <c r="B80" i="21"/>
  <c r="B55" i="21"/>
  <c r="B56" i="21"/>
  <c r="Z35" i="18"/>
  <c r="AC35" i="18"/>
  <c r="S34" i="18"/>
  <c r="E20" i="11" s="1"/>
  <c r="C55" i="21"/>
  <c r="C57" i="21"/>
  <c r="C56" i="21"/>
  <c r="C58" i="21"/>
  <c r="C64" i="21" s="1"/>
  <c r="V34" i="18"/>
  <c r="H20" i="11" s="1"/>
  <c r="E55" i="21"/>
  <c r="E57" i="21"/>
  <c r="E56" i="21"/>
  <c r="E58" i="21"/>
  <c r="E64" i="21" s="1"/>
  <c r="J23" i="11"/>
  <c r="J14" i="11"/>
  <c r="AG35" i="18"/>
  <c r="J55" i="21"/>
  <c r="J57" i="21"/>
  <c r="J56" i="21"/>
  <c r="J58" i="21"/>
  <c r="J64" i="21" s="1"/>
  <c r="AA35" i="18"/>
  <c r="H14" i="11"/>
  <c r="H23" i="11"/>
  <c r="W34" i="18"/>
  <c r="I20" i="11" s="1"/>
  <c r="K14" i="11"/>
  <c r="K23" i="11"/>
  <c r="AD35" i="18"/>
  <c r="V52" i="18"/>
  <c r="F55" i="21"/>
  <c r="F57" i="21"/>
  <c r="F56" i="21"/>
  <c r="F58" i="21"/>
  <c r="F64" i="21" s="1"/>
  <c r="K57" i="21"/>
  <c r="K58" i="21"/>
  <c r="K64" i="21" s="1"/>
  <c r="K56" i="21"/>
  <c r="K55" i="21"/>
  <c r="K63" i="21" s="1"/>
  <c r="Q34" i="18"/>
  <c r="C20" i="11" s="1"/>
  <c r="U52" i="18"/>
  <c r="R34" i="18"/>
  <c r="D20" i="11" s="1"/>
  <c r="S11" i="8" l="1"/>
  <c r="R11" i="8"/>
  <c r="B19" i="11"/>
  <c r="B24" i="11"/>
  <c r="H31" i="8"/>
  <c r="H34" i="8" s="1"/>
  <c r="H35" i="20"/>
  <c r="I24" i="11"/>
  <c r="I19" i="11"/>
  <c r="R7" i="8"/>
  <c r="S7" i="8"/>
  <c r="U27" i="6"/>
  <c r="G19" i="11"/>
  <c r="G24" i="11"/>
  <c r="D34" i="8"/>
  <c r="D8" i="10" s="1"/>
  <c r="D62" i="21" s="1"/>
  <c r="D65" i="21" s="1"/>
  <c r="S14" i="8"/>
  <c r="R14" i="8"/>
  <c r="K26" i="6"/>
  <c r="D17" i="9" s="1"/>
  <c r="H17" i="9" s="1"/>
  <c r="J17" i="9" s="1"/>
  <c r="C31" i="8"/>
  <c r="C35" i="20"/>
  <c r="S27" i="6"/>
  <c r="Z27" i="6" s="1"/>
  <c r="C17" i="26"/>
  <c r="D17" i="26" s="1"/>
  <c r="F17" i="26" s="1"/>
  <c r="F31" i="8"/>
  <c r="F35" i="20"/>
  <c r="S5" i="8"/>
  <c r="R5" i="8"/>
  <c r="B30" i="8"/>
  <c r="R13" i="8"/>
  <c r="S13" i="8"/>
  <c r="S9" i="8"/>
  <c r="R9" i="8"/>
  <c r="D35" i="20"/>
  <c r="D31" i="8"/>
  <c r="D24" i="11"/>
  <c r="D19" i="11"/>
  <c r="H19" i="11"/>
  <c r="H21" i="11" s="1"/>
  <c r="I5" i="12" s="1"/>
  <c r="H24" i="11"/>
  <c r="H25" i="11" s="1"/>
  <c r="H15" i="10" s="1"/>
  <c r="J19" i="11"/>
  <c r="J24" i="11"/>
  <c r="J25" i="11" s="1"/>
  <c r="J15" i="10" s="1"/>
  <c r="E35" i="9"/>
  <c r="I35" i="9" s="1"/>
  <c r="J35" i="9" s="1"/>
  <c r="I33" i="9"/>
  <c r="J33" i="9" s="1"/>
  <c r="E34" i="9"/>
  <c r="I34" i="9" s="1"/>
  <c r="J34" i="9" s="1"/>
  <c r="K35" i="20"/>
  <c r="K31" i="8"/>
  <c r="R6" i="8"/>
  <c r="S6" i="8"/>
  <c r="G35" i="20"/>
  <c r="G31" i="8"/>
  <c r="F24" i="11"/>
  <c r="F19" i="11"/>
  <c r="E35" i="20"/>
  <c r="E31" i="8"/>
  <c r="F21" i="11"/>
  <c r="R8" i="8"/>
  <c r="S8" i="8"/>
  <c r="I31" i="8"/>
  <c r="I34" i="8" s="1"/>
  <c r="I35" i="20"/>
  <c r="J35" i="20"/>
  <c r="J31" i="8"/>
  <c r="E19" i="11"/>
  <c r="E24" i="11"/>
  <c r="E25" i="11" s="1"/>
  <c r="E15" i="10" s="1"/>
  <c r="K19" i="11"/>
  <c r="K24" i="11"/>
  <c r="K25" i="11" s="1"/>
  <c r="K15" i="10" s="1"/>
  <c r="C18" i="26"/>
  <c r="B18" i="26"/>
  <c r="B35" i="20"/>
  <c r="R10" i="8"/>
  <c r="S10" i="8"/>
  <c r="B31" i="8"/>
  <c r="C19" i="11"/>
  <c r="C21" i="11" s="1"/>
  <c r="C24" i="11"/>
  <c r="C30" i="8"/>
  <c r="E73" i="21"/>
  <c r="K66" i="21"/>
  <c r="G25" i="11"/>
  <c r="G15" i="10" s="1"/>
  <c r="G21" i="11"/>
  <c r="H5" i="12" s="1"/>
  <c r="D21" i="11"/>
  <c r="E5" i="12" s="1"/>
  <c r="J21" i="11"/>
  <c r="K5" i="12" s="1"/>
  <c r="B21" i="11"/>
  <c r="C5" i="12" s="1"/>
  <c r="F34" i="8"/>
  <c r="F8" i="10" s="1"/>
  <c r="F16" i="10" s="1"/>
  <c r="B34" i="8"/>
  <c r="B8" i="10" s="1"/>
  <c r="E21" i="11"/>
  <c r="F5" i="12" s="1"/>
  <c r="K21" i="11"/>
  <c r="L18" i="22" s="1"/>
  <c r="I21" i="11"/>
  <c r="G5" i="12"/>
  <c r="L73" i="21"/>
  <c r="K34" i="8"/>
  <c r="K8" i="10" s="1"/>
  <c r="J63" i="21"/>
  <c r="J66" i="21" s="1"/>
  <c r="D63" i="21"/>
  <c r="J75" i="21"/>
  <c r="I25" i="11"/>
  <c r="I15" i="10" s="1"/>
  <c r="E75" i="21"/>
  <c r="D25" i="11"/>
  <c r="D39" i="10" s="1"/>
  <c r="E16" i="13" s="1"/>
  <c r="D75" i="21"/>
  <c r="C25" i="11"/>
  <c r="I73" i="21"/>
  <c r="B35" i="22"/>
  <c r="B63" i="21"/>
  <c r="B7" i="10"/>
  <c r="I63" i="21"/>
  <c r="I66" i="21" s="1"/>
  <c r="H73" i="21"/>
  <c r="G34" i="8"/>
  <c r="F73" i="21"/>
  <c r="E34" i="8"/>
  <c r="K7" i="10"/>
  <c r="B25" i="11"/>
  <c r="B15" i="10" s="1"/>
  <c r="C75" i="21"/>
  <c r="C76" i="21" s="1"/>
  <c r="K73" i="21"/>
  <c r="J34" i="8"/>
  <c r="F63" i="21"/>
  <c r="F66" i="21" s="1"/>
  <c r="F39" i="10"/>
  <c r="G16" i="13" s="1"/>
  <c r="C63" i="21"/>
  <c r="H63" i="21"/>
  <c r="H66" i="21" s="1"/>
  <c r="F75" i="21"/>
  <c r="J73" i="21"/>
  <c r="G75" i="21"/>
  <c r="F25" i="11"/>
  <c r="F15" i="10" s="1"/>
  <c r="I75" i="21"/>
  <c r="E63" i="21"/>
  <c r="E66" i="21" s="1"/>
  <c r="G63" i="21"/>
  <c r="G66" i="21" s="1"/>
  <c r="L75" i="21"/>
  <c r="B6" i="13" l="1"/>
  <c r="C6" i="13" s="1"/>
  <c r="D6" i="13" s="1"/>
  <c r="I11" i="2"/>
  <c r="C19" i="26"/>
  <c r="D15" i="20"/>
  <c r="G15" i="20" s="1"/>
  <c r="H15" i="20" s="1"/>
  <c r="D13" i="20"/>
  <c r="H41" i="9"/>
  <c r="I41" i="9"/>
  <c r="I42" i="9" s="1"/>
  <c r="I43" i="9" s="1"/>
  <c r="C18" i="22"/>
  <c r="B26" i="2" s="1"/>
  <c r="C34" i="8"/>
  <c r="C8" i="10" s="1"/>
  <c r="C62" i="21" s="1"/>
  <c r="C65" i="21" s="1"/>
  <c r="B32" i="22"/>
  <c r="K7" i="25"/>
  <c r="D18" i="26"/>
  <c r="F18" i="26" s="1"/>
  <c r="D5" i="12"/>
  <c r="B9" i="22"/>
  <c r="B51" i="2" s="1"/>
  <c r="L5" i="12"/>
  <c r="I7" i="25"/>
  <c r="D76" i="21"/>
  <c r="E76" i="21" s="1"/>
  <c r="F76" i="21" s="1"/>
  <c r="G76" i="21" s="1"/>
  <c r="H76" i="21" s="1"/>
  <c r="I76" i="21" s="1"/>
  <c r="J76" i="21" s="1"/>
  <c r="K76" i="21" s="1"/>
  <c r="L76" i="21" s="1"/>
  <c r="B29" i="22" s="1"/>
  <c r="F17" i="10"/>
  <c r="G6" i="12" s="1"/>
  <c r="G8" i="12" s="1"/>
  <c r="G11" i="12" s="1"/>
  <c r="B7" i="25"/>
  <c r="J18" i="22"/>
  <c r="I6" i="25" s="1"/>
  <c r="I8" i="25" s="1"/>
  <c r="B40" i="10"/>
  <c r="C18" i="13" s="1"/>
  <c r="J5" i="12"/>
  <c r="B39" i="10"/>
  <c r="C16" i="13" s="1"/>
  <c r="F40" i="10"/>
  <c r="G18" i="13" s="1"/>
  <c r="I18" i="22"/>
  <c r="K40" i="10"/>
  <c r="L18" i="13" s="1"/>
  <c r="K18" i="22"/>
  <c r="J8" i="10"/>
  <c r="J40" i="10"/>
  <c r="K18" i="13" s="1"/>
  <c r="J39" i="10"/>
  <c r="K16" i="13" s="1"/>
  <c r="K16" i="10"/>
  <c r="K17" i="10" s="1"/>
  <c r="G7" i="25"/>
  <c r="C66" i="21"/>
  <c r="G8" i="10"/>
  <c r="G39" i="10"/>
  <c r="H16" i="13" s="1"/>
  <c r="G40" i="10"/>
  <c r="H18" i="13" s="1"/>
  <c r="H18" i="22"/>
  <c r="K39" i="10"/>
  <c r="L16" i="13" s="1"/>
  <c r="C7" i="25"/>
  <c r="J7" i="25"/>
  <c r="B6" i="25"/>
  <c r="B8" i="25" s="1"/>
  <c r="H7" i="25"/>
  <c r="D66" i="21"/>
  <c r="K6" i="25"/>
  <c r="K8" i="25" s="1"/>
  <c r="B35" i="2"/>
  <c r="B62" i="21"/>
  <c r="B16" i="10"/>
  <c r="B17" i="10" s="1"/>
  <c r="D18" i="22"/>
  <c r="H8" i="10"/>
  <c r="H40" i="10"/>
  <c r="I18" i="13" s="1"/>
  <c r="H39" i="10"/>
  <c r="I16" i="13" s="1"/>
  <c r="C15" i="10"/>
  <c r="C40" i="10"/>
  <c r="D18" i="13" s="1"/>
  <c r="C39" i="10"/>
  <c r="D16" i="13" s="1"/>
  <c r="I8" i="10"/>
  <c r="I40" i="10"/>
  <c r="J18" i="13" s="1"/>
  <c r="I39" i="10"/>
  <c r="J16" i="13" s="1"/>
  <c r="E8" i="10"/>
  <c r="E39" i="10"/>
  <c r="F16" i="13" s="1"/>
  <c r="E40" i="10"/>
  <c r="F18" i="13" s="1"/>
  <c r="G18" i="22"/>
  <c r="E7" i="25"/>
  <c r="D15" i="10"/>
  <c r="D40" i="10"/>
  <c r="E18" i="13" s="1"/>
  <c r="F7" i="25"/>
  <c r="F18" i="22"/>
  <c r="D7" i="25"/>
  <c r="E18" i="22"/>
  <c r="B18" i="13" l="1"/>
  <c r="B19" i="13" s="1"/>
  <c r="C5" i="13"/>
  <c r="C40" i="2" s="1"/>
  <c r="H42" i="9"/>
  <c r="J42" i="9" s="1"/>
  <c r="J41" i="9"/>
  <c r="G13" i="20"/>
  <c r="H13" i="20" s="1"/>
  <c r="H19" i="20" s="1"/>
  <c r="B19" i="26"/>
  <c r="D19" i="26" s="1"/>
  <c r="F19" i="26" s="1"/>
  <c r="A24" i="26" s="1"/>
  <c r="H43" i="9"/>
  <c r="C10" i="14" s="1"/>
  <c r="C9" i="22"/>
  <c r="B33" i="2"/>
  <c r="C9" i="13"/>
  <c r="C6" i="24"/>
  <c r="B6" i="24"/>
  <c r="D6" i="24" s="1"/>
  <c r="F6" i="24" s="1"/>
  <c r="B52" i="22"/>
  <c r="D9" i="22"/>
  <c r="D51" i="2" s="1"/>
  <c r="C51" i="2"/>
  <c r="L6" i="12"/>
  <c r="L8" i="12" s="1"/>
  <c r="L11" i="12" s="1"/>
  <c r="C6" i="12"/>
  <c r="B7" i="13"/>
  <c r="B41" i="2" s="1"/>
  <c r="E16" i="10"/>
  <c r="E17" i="10"/>
  <c r="J16" i="10"/>
  <c r="J17" i="10"/>
  <c r="I16" i="10"/>
  <c r="I17" i="10" s="1"/>
  <c r="C7" i="13"/>
  <c r="C8" i="13"/>
  <c r="C19" i="13"/>
  <c r="D19" i="13" s="1"/>
  <c r="E19" i="13" s="1"/>
  <c r="F19" i="13" s="1"/>
  <c r="G19" i="13" s="1"/>
  <c r="H19" i="13" s="1"/>
  <c r="I19" i="13" s="1"/>
  <c r="J19" i="13" s="1"/>
  <c r="K19" i="13" s="1"/>
  <c r="L19" i="13" s="1"/>
  <c r="H16" i="10"/>
  <c r="H17" i="10" s="1"/>
  <c r="F6" i="25"/>
  <c r="F8" i="25" s="1"/>
  <c r="B30" i="2"/>
  <c r="J6" i="25"/>
  <c r="J8" i="25" s="1"/>
  <c r="B34" i="2"/>
  <c r="C16" i="10"/>
  <c r="C17" i="10" s="1"/>
  <c r="D6" i="25"/>
  <c r="D8" i="25" s="1"/>
  <c r="B28" i="2"/>
  <c r="C6" i="25"/>
  <c r="C8" i="25" s="1"/>
  <c r="B27" i="2"/>
  <c r="G6" i="25"/>
  <c r="G8" i="25" s="1"/>
  <c r="B31" i="2"/>
  <c r="E6" i="25"/>
  <c r="E8" i="25" s="1"/>
  <c r="B29" i="2"/>
  <c r="G16" i="10"/>
  <c r="G17" i="10" s="1"/>
  <c r="F8" i="14"/>
  <c r="E8" i="14"/>
  <c r="C8" i="14"/>
  <c r="B8" i="14"/>
  <c r="C7" i="16"/>
  <c r="D6" i="14"/>
  <c r="B6" i="14"/>
  <c r="E10" i="14"/>
  <c r="D10" i="14"/>
  <c r="B10" i="14"/>
  <c r="F9" i="14"/>
  <c r="F10" i="14"/>
  <c r="J43" i="9"/>
  <c r="F7" i="14"/>
  <c r="B5" i="13"/>
  <c r="E6" i="14"/>
  <c r="B16" i="13"/>
  <c r="C7" i="14"/>
  <c r="B7" i="14"/>
  <c r="F6" i="14"/>
  <c r="C6" i="14"/>
  <c r="E7" i="14"/>
  <c r="D7" i="14"/>
  <c r="D16" i="10"/>
  <c r="D17" i="10" s="1"/>
  <c r="B37" i="22"/>
  <c r="B65" i="21"/>
  <c r="B66" i="21" s="1"/>
  <c r="H6" i="25"/>
  <c r="H8" i="25" s="1"/>
  <c r="B32" i="2"/>
  <c r="D8" i="14" l="1"/>
  <c r="B64" i="20"/>
  <c r="K40" i="20"/>
  <c r="K41" i="20" s="1"/>
  <c r="L68" i="20" s="1"/>
  <c r="G40" i="20"/>
  <c r="G41" i="20" s="1"/>
  <c r="H68" i="20" s="1"/>
  <c r="G66" i="20"/>
  <c r="E40" i="20"/>
  <c r="E41" i="20" s="1"/>
  <c r="F68" i="20" s="1"/>
  <c r="E10" i="25" s="1"/>
  <c r="E16" i="25" s="1"/>
  <c r="C40" i="20"/>
  <c r="C41" i="20" s="1"/>
  <c r="D68" i="20" s="1"/>
  <c r="B40" i="20"/>
  <c r="B41" i="20" s="1"/>
  <c r="C68" i="20" s="1"/>
  <c r="B10" i="25" s="1"/>
  <c r="B16" i="25" s="1"/>
  <c r="J40" i="20"/>
  <c r="J41" i="20" s="1"/>
  <c r="K68" i="20" s="1"/>
  <c r="K19" i="22" s="1"/>
  <c r="I40" i="20"/>
  <c r="I41" i="20" s="1"/>
  <c r="J68" i="20" s="1"/>
  <c r="I10" i="25" s="1"/>
  <c r="D40" i="20"/>
  <c r="D41" i="20" s="1"/>
  <c r="E68" i="20" s="1"/>
  <c r="E19" i="22" s="1"/>
  <c r="H40" i="20"/>
  <c r="H41" i="20" s="1"/>
  <c r="I68" i="20" s="1"/>
  <c r="H10" i="25" s="1"/>
  <c r="H16" i="25" s="1"/>
  <c r="F40" i="20"/>
  <c r="F41" i="20" s="1"/>
  <c r="G68" i="20" s="1"/>
  <c r="J66" i="20"/>
  <c r="C9" i="14"/>
  <c r="B9" i="14"/>
  <c r="D9" i="14"/>
  <c r="E9" i="14"/>
  <c r="L8" i="25"/>
  <c r="C10" i="25"/>
  <c r="C16" i="25" s="1"/>
  <c r="D6" i="12"/>
  <c r="D8" i="12" s="1"/>
  <c r="D11" i="12" s="1"/>
  <c r="D19" i="22"/>
  <c r="B12" i="16"/>
  <c r="D12" i="16" s="1"/>
  <c r="F12" i="16" s="1"/>
  <c r="B8" i="22"/>
  <c r="B50" i="2" s="1"/>
  <c r="E6" i="12"/>
  <c r="E8" i="12" s="1"/>
  <c r="E11" i="12" s="1"/>
  <c r="C8" i="12"/>
  <c r="C11" i="12" s="1"/>
  <c r="I6" i="12"/>
  <c r="I8" i="12" s="1"/>
  <c r="I11" i="12" s="1"/>
  <c r="C19" i="22"/>
  <c r="B7" i="16"/>
  <c r="D7" i="16" s="1"/>
  <c r="F7" i="16" s="1"/>
  <c r="B7" i="12"/>
  <c r="C10" i="13"/>
  <c r="F19" i="22"/>
  <c r="F6" i="12"/>
  <c r="F8" i="12" s="1"/>
  <c r="F11" i="12" s="1"/>
  <c r="C11" i="13"/>
  <c r="J6" i="12"/>
  <c r="J8" i="12" s="1"/>
  <c r="J11" i="12" s="1"/>
  <c r="C42" i="2"/>
  <c r="J10" i="25"/>
  <c r="J16" i="25" s="1"/>
  <c r="K6" i="12"/>
  <c r="K8" i="12" s="1"/>
  <c r="K11" i="12" s="1"/>
  <c r="D7" i="13"/>
  <c r="C41" i="2"/>
  <c r="D41" i="2" s="1"/>
  <c r="B9" i="13"/>
  <c r="D9" i="13" s="1"/>
  <c r="B17" i="13"/>
  <c r="B8" i="13"/>
  <c r="B42" i="2" s="1"/>
  <c r="B40" i="2"/>
  <c r="D40" i="2" s="1"/>
  <c r="D5" i="13"/>
  <c r="H19" i="22"/>
  <c r="H6" i="12"/>
  <c r="H8" i="12" s="1"/>
  <c r="H11" i="12" s="1"/>
  <c r="G10" i="25"/>
  <c r="G16" i="25" s="1"/>
  <c r="I19" i="22" l="1"/>
  <c r="H9" i="25" s="1"/>
  <c r="H11" i="25" s="1"/>
  <c r="G20" i="22"/>
  <c r="F12" i="25" s="1"/>
  <c r="F14" i="25" s="1"/>
  <c r="F13" i="25"/>
  <c r="B34" i="22"/>
  <c r="D10" i="25"/>
  <c r="D16" i="25" s="1"/>
  <c r="J20" i="22"/>
  <c r="I12" i="25" s="1"/>
  <c r="I14" i="25" s="1"/>
  <c r="I13" i="25"/>
  <c r="I16" i="25" s="1"/>
  <c r="J19" i="22"/>
  <c r="J21" i="22" s="1"/>
  <c r="K10" i="25"/>
  <c r="K16" i="25" s="1"/>
  <c r="L19" i="22"/>
  <c r="G19" i="22"/>
  <c r="F10" i="25"/>
  <c r="F16" i="25" s="1"/>
  <c r="D42" i="2"/>
  <c r="D8" i="13"/>
  <c r="L14" i="25"/>
  <c r="B20" i="22"/>
  <c r="B7" i="22"/>
  <c r="B49" i="2" s="1"/>
  <c r="B8" i="12"/>
  <c r="B6" i="22"/>
  <c r="B48" i="2" s="1"/>
  <c r="C19" i="24"/>
  <c r="C8" i="22"/>
  <c r="B9" i="25"/>
  <c r="B11" i="25" s="1"/>
  <c r="C21" i="22"/>
  <c r="I21" i="22"/>
  <c r="G9" i="25"/>
  <c r="G11" i="25" s="1"/>
  <c r="H21" i="22"/>
  <c r="D9" i="25"/>
  <c r="D11" i="25" s="1"/>
  <c r="E21" i="22"/>
  <c r="J9" i="25"/>
  <c r="J11" i="25" s="1"/>
  <c r="K21" i="22"/>
  <c r="C43" i="2"/>
  <c r="C17" i="13"/>
  <c r="D17" i="13" s="1"/>
  <c r="E17" i="13" s="1"/>
  <c r="F17" i="13" s="1"/>
  <c r="G17" i="13" s="1"/>
  <c r="H17" i="13" s="1"/>
  <c r="I17" i="13" s="1"/>
  <c r="J17" i="13" s="1"/>
  <c r="K17" i="13" s="1"/>
  <c r="L17" i="13" s="1"/>
  <c r="C9" i="25"/>
  <c r="C11" i="25" s="1"/>
  <c r="D21" i="22"/>
  <c r="B20" i="12"/>
  <c r="C8" i="16"/>
  <c r="E9" i="25"/>
  <c r="E11" i="25" s="1"/>
  <c r="F21" i="22"/>
  <c r="F9" i="25" l="1"/>
  <c r="F11" i="25" s="1"/>
  <c r="G21" i="22"/>
  <c r="I9" i="25"/>
  <c r="I11" i="25" s="1"/>
  <c r="K9" i="25"/>
  <c r="K11" i="25" s="1"/>
  <c r="L21" i="22"/>
  <c r="C7" i="24"/>
  <c r="J15" i="25"/>
  <c r="J17" i="25" s="1"/>
  <c r="K24" i="22"/>
  <c r="C34" i="2"/>
  <c r="H24" i="22"/>
  <c r="G15" i="25"/>
  <c r="G17" i="25" s="1"/>
  <c r="C31" i="2"/>
  <c r="F24" i="22"/>
  <c r="E15" i="25"/>
  <c r="E17" i="25" s="1"/>
  <c r="E18" i="25" s="1"/>
  <c r="C29" i="2"/>
  <c r="H15" i="25"/>
  <c r="H17" i="25" s="1"/>
  <c r="H18" i="25" s="1"/>
  <c r="I24" i="22"/>
  <c r="C32" i="2"/>
  <c r="D8" i="22"/>
  <c r="D50" i="2" s="1"/>
  <c r="B7" i="24"/>
  <c r="D7" i="24" s="1"/>
  <c r="F7" i="24" s="1"/>
  <c r="C50" i="2"/>
  <c r="J18" i="25"/>
  <c r="D24" i="22"/>
  <c r="C15" i="25"/>
  <c r="C17" i="25" s="1"/>
  <c r="C18" i="25" s="1"/>
  <c r="C27" i="2"/>
  <c r="B10" i="13"/>
  <c r="D10" i="13" s="1"/>
  <c r="B8" i="16"/>
  <c r="D8" i="16" s="1"/>
  <c r="F8" i="16" s="1"/>
  <c r="B9" i="12"/>
  <c r="B11" i="12"/>
  <c r="B16" i="12" s="1"/>
  <c r="B11" i="22" s="1"/>
  <c r="B53" i="2" s="1"/>
  <c r="B17" i="12"/>
  <c r="B12" i="22" s="1"/>
  <c r="B54" i="2" s="1"/>
  <c r="J24" i="22"/>
  <c r="I15" i="25"/>
  <c r="I17" i="25" s="1"/>
  <c r="I18" i="25" s="1"/>
  <c r="C33" i="2"/>
  <c r="E24" i="22"/>
  <c r="D15" i="25"/>
  <c r="D17" i="25" s="1"/>
  <c r="D18" i="25" s="1"/>
  <c r="C28" i="2"/>
  <c r="G18" i="25"/>
  <c r="C24" i="22"/>
  <c r="B15" i="25"/>
  <c r="B17" i="25" s="1"/>
  <c r="C26" i="2"/>
  <c r="L11" i="25"/>
  <c r="B18" i="25"/>
  <c r="B11" i="13"/>
  <c r="C8" i="24"/>
  <c r="C7" i="22"/>
  <c r="C10" i="24" s="1"/>
  <c r="C6" i="22"/>
  <c r="B21" i="22"/>
  <c r="K15" i="25" l="1"/>
  <c r="K17" i="25" s="1"/>
  <c r="K18" i="25" s="1"/>
  <c r="L24" i="22"/>
  <c r="C35" i="2"/>
  <c r="G24" i="22"/>
  <c r="F15" i="25"/>
  <c r="F17" i="25" s="1"/>
  <c r="C30" i="2"/>
  <c r="F18" i="25"/>
  <c r="L17" i="25"/>
  <c r="L18" i="25"/>
  <c r="L20" i="25" s="1"/>
  <c r="C9" i="24"/>
  <c r="B22" i="22"/>
  <c r="B24" i="22"/>
  <c r="C12" i="22"/>
  <c r="C13" i="24"/>
  <c r="D6" i="22"/>
  <c r="D48" i="2" s="1"/>
  <c r="B19" i="24"/>
  <c r="D19" i="24" s="1"/>
  <c r="F19" i="24" s="1"/>
  <c r="E6" i="2"/>
  <c r="B13" i="24" s="1"/>
  <c r="D13" i="24" s="1"/>
  <c r="F13" i="24" s="1"/>
  <c r="C48" i="2"/>
  <c r="I28" i="22"/>
  <c r="C9" i="12"/>
  <c r="B12" i="12"/>
  <c r="D7" i="22"/>
  <c r="D49" i="2" s="1"/>
  <c r="B8" i="24"/>
  <c r="D8" i="24" s="1"/>
  <c r="F8" i="24" s="1"/>
  <c r="C49" i="2"/>
  <c r="B43" i="2"/>
  <c r="D43" i="2" s="1"/>
  <c r="D11" i="13"/>
  <c r="C22" i="22" l="1"/>
  <c r="J28" i="22"/>
  <c r="D12" i="22"/>
  <c r="D54" i="2" s="1"/>
  <c r="A11" i="2"/>
  <c r="C54" i="2"/>
  <c r="C11" i="24"/>
  <c r="C11" i="22"/>
  <c r="I29" i="22"/>
  <c r="C12" i="12"/>
  <c r="D9" i="12"/>
  <c r="I30" i="22" l="1"/>
  <c r="E9" i="12"/>
  <c r="D12" i="12"/>
  <c r="C24" i="24"/>
  <c r="D11" i="22"/>
  <c r="D53" i="2" s="1"/>
  <c r="B11" i="24"/>
  <c r="D11" i="24" s="1"/>
  <c r="F11" i="24" s="1"/>
  <c r="A10" i="2"/>
  <c r="B24" i="24" s="1"/>
  <c r="D24" i="24" s="1"/>
  <c r="F24" i="24" s="1"/>
  <c r="C53" i="2"/>
  <c r="D22" i="22"/>
  <c r="J29" i="22"/>
  <c r="D26" i="2"/>
  <c r="E12" i="12" l="1"/>
  <c r="I31" i="22"/>
  <c r="F9" i="12"/>
  <c r="E22" i="22"/>
  <c r="J30" i="22"/>
  <c r="D27" i="2"/>
  <c r="F22" i="22" l="1"/>
  <c r="J31" i="22"/>
  <c r="D28" i="2"/>
  <c r="I32" i="22"/>
  <c r="F12" i="12"/>
  <c r="G9" i="12"/>
  <c r="I33" i="22" l="1"/>
  <c r="G12" i="12"/>
  <c r="H9" i="12"/>
  <c r="G22" i="22"/>
  <c r="J32" i="22"/>
  <c r="D29" i="2"/>
  <c r="J33" i="22" l="1"/>
  <c r="H22" i="22"/>
  <c r="D30" i="2"/>
  <c r="I34" i="22"/>
  <c r="I9" i="12"/>
  <c r="H12" i="12"/>
  <c r="J9" i="12" l="1"/>
  <c r="I35" i="22"/>
  <c r="I12" i="12"/>
  <c r="D31" i="2"/>
  <c r="J34" i="22"/>
  <c r="I22" i="22"/>
  <c r="J35" i="22" l="1"/>
  <c r="J22" i="22"/>
  <c r="D32" i="2"/>
  <c r="I36" i="22"/>
  <c r="J12" i="12"/>
  <c r="K9" i="12"/>
  <c r="I37" i="22" l="1"/>
  <c r="L9" i="12"/>
  <c r="K12" i="12"/>
  <c r="J36" i="22"/>
  <c r="K22" i="22"/>
  <c r="D33" i="2"/>
  <c r="I38" i="22" l="1"/>
  <c r="B10" i="22"/>
  <c r="B52" i="2" s="1"/>
  <c r="L12" i="12"/>
  <c r="B18" i="12" s="1"/>
  <c r="B14" i="22" s="1"/>
  <c r="B56" i="2" s="1"/>
  <c r="B19" i="12"/>
  <c r="B13" i="22" s="1"/>
  <c r="B55" i="2" s="1"/>
  <c r="J37" i="22"/>
  <c r="L22" i="22"/>
  <c r="D34" i="2"/>
  <c r="C10" i="22" l="1"/>
  <c r="J38" i="22"/>
  <c r="D35" i="2"/>
  <c r="C12" i="24"/>
  <c r="C14" i="22"/>
  <c r="C13" i="22"/>
  <c r="C14" i="24" l="1"/>
  <c r="D13" i="22"/>
  <c r="D55" i="2" s="1"/>
  <c r="B12" i="24"/>
  <c r="D12" i="24" s="1"/>
  <c r="F12" i="24" s="1"/>
  <c r="I6" i="2"/>
  <c r="B14" i="24" s="1"/>
  <c r="D14" i="24" s="1"/>
  <c r="F14" i="24" s="1"/>
  <c r="C55" i="2"/>
  <c r="D14" i="22"/>
  <c r="D56" i="2" s="1"/>
  <c r="I7" i="2"/>
  <c r="C56" i="2"/>
  <c r="B9" i="24"/>
  <c r="D9" i="24" s="1"/>
  <c r="F9" i="24" s="1"/>
  <c r="B49" i="22"/>
  <c r="B27" i="16"/>
  <c r="B48" i="22"/>
  <c r="G5" i="22"/>
  <c r="G47" i="2" s="1"/>
  <c r="D10" i="22"/>
  <c r="D52" i="2" s="1"/>
  <c r="B10" i="24"/>
  <c r="D10" i="24" s="1"/>
  <c r="F10" i="24" s="1"/>
  <c r="C52" i="2"/>
  <c r="B50" i="22" l="1"/>
  <c r="D49" i="22"/>
  <c r="D61" i="2" s="1"/>
  <c r="C49" i="22"/>
  <c r="C61" i="2" s="1"/>
  <c r="B30" i="16"/>
  <c r="B61" i="2"/>
  <c r="D48" i="22"/>
  <c r="D60" i="2" s="1"/>
  <c r="C48" i="22"/>
  <c r="C60" i="2" s="1"/>
  <c r="B60" i="2"/>
  <c r="B53" i="22"/>
  <c r="F27" i="16"/>
  <c r="D27" i="16"/>
  <c r="F27" i="24"/>
  <c r="D30" i="16" l="1"/>
  <c r="F30" i="16"/>
  <c r="F14" i="16"/>
  <c r="D53" i="22"/>
  <c r="C53" i="22"/>
  <c r="C50" i="22"/>
  <c r="C62" i="2" s="1"/>
  <c r="B51" i="22"/>
  <c r="D50" i="22"/>
  <c r="D62" i="2" s="1"/>
  <c r="B62" i="2"/>
  <c r="C51" i="22" l="1"/>
  <c r="C63" i="2" s="1"/>
  <c r="D51" i="22"/>
  <c r="D63" i="2" s="1"/>
  <c r="B6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tc={055ABAB5-CE23-CB7E-77FA-75B49D1B1206}</author>
    <author>tc={93D0A90D-A55A-0CF9-7A33-18AE005E0DB6}</author>
    <author>tc={4FF01813-E17E-0F8D-18D0-7599CBB79BA3}</author>
    <author>tc={80AE2BE2-F2E6-0678-5E40-630734E6FF2D}</author>
    <author>tc={A9B5002C-11B7-454A-4DD5-C18EE93FA0E9}</author>
  </authors>
  <commentList>
    <comment ref="C46" authorId="0" shapeId="0" xr:uid="{00000000-0006-0000-02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Source: https://www.pertanian.go.id/?act=view&amp;id=7236&amp;show=news | Kementan reported ordinary coconut farmgate at Rp2,000-3,000/butir in Oct 2025. Model uses Rp3,000 and no aromatic premium.</t>
        </r>
      </text>
    </comment>
    <comment ref="C47" authorId="1" shapeId="0" xr:uid="{00000000-0006-0000-0200-000002000000}">
      <text>
        <r>
          <rPr>
            <sz val="11"/>
            <rFont val="Carlito"/>
          </rPr>
          <t>[Threaded comment]
Your version of Excel allows you to read this threaded comment; however, any edits to it will get removed if the file is opened in a newer version of Excel. Learn more: https://go.microsoft.com/fwlink/?linkid=870924
Comment:
    Source: https://rri.co.id/purwokerto/umkm/1254378/puncak-musim-penghujan-harga-durian-di-purwokerto-mengalami-peningkatan | Price varies widely. Rp35,000/kg is a conservative planning input, not a quotation.</t>
        </r>
      </text>
    </comment>
    <comment ref="C48" authorId="2" shapeId="0" xr:uid="{00000000-0006-0000-0200-000003000000}">
      <text>
        <r>
          <rPr>
            <sz val="11"/>
            <rFont val="Carlito"/>
          </rPr>
          <t>[Threaded comment]
Your version of Excel allows you to read this threaded comment; however, any edits to it will get removed if the file is opened in a newer version of Excel. Learn more: https://go.microsoft.com/fwlink/?linkid=870924
Comment:
    Source: https://banyuwangikab.go.id/berita/harga-stabil-dan-banyak-diminati-banyuwangi-pacu-produksi-pisang-cavendish | Farm price benchmark Rp6,000/kg.</t>
        </r>
      </text>
    </comment>
    <comment ref="C62" authorId="3" shapeId="0" xr:uid="{00000000-0006-0000-0200-000004000000}">
      <text>
        <r>
          <rPr>
            <sz val="11"/>
            <rFont val="Carlito"/>
          </rPr>
          <t>[Threaded comment]
Your version of Excel allows you to read this threaded comment; however, any edits to it will get removed if the file is opened in a newer version of Excel. Learn more: https://go.microsoft.com/fwlink/?linkid=870924
Comment:
    Official UMK 2026: https://jdih.jatengprov.go.id/inventarisasi-hukum/download/kepgub_100-3-3-1-505_th_2025</t>
        </r>
      </text>
    </comment>
    <comment ref="C131" authorId="4" shapeId="0" xr:uid="{00000000-0006-0000-0200-000005000000}">
      <text>
        <r>
          <rPr>
            <sz val="11"/>
            <rFont val="Carlito"/>
          </rPr>
          <t>[Threaded comment]
Your version of Excel allows you to read this threaded comment; however, any edits to it will get removed if the file is opened in a newer version of Excel. Learn more: https://go.microsoft.com/fwlink/?linkid=870924
Comment:
    Banana fertilizer guidance: 0.233 kg Urea, 0.10 kg SP-36 and 0.10 kg KCl per plant/year from Kementan technology guide. Source: https://repository.pertanian.go.id/server/api/core/bitstreams/650af8ff-94fb-4a63-816a-1cb30eea671c/content</t>
        </r>
      </text>
    </comment>
  </commentList>
</comments>
</file>

<file path=xl/sharedStrings.xml><?xml version="1.0" encoding="utf-8"?>
<sst xmlns="http://schemas.openxmlformats.org/spreadsheetml/2006/main" count="4006" uniqueCount="2491">
  <si>
    <t>Mode dua penggerak: ubah luas kebun dan jumlah lokasi. Asumsi harga/biaya tetap dapat disesuaikan bila tersedia quotation baru.</t>
  </si>
  <si>
    <t>Tujuan</t>
  </si>
  <si>
    <t>Workbook ini menghitung seleksi lahan, pembukaan tanpa bakar, infrastruktur, bibit, alat dan mesin, input pertanian, HOK, pemeliharaan, sertifikasi, produksi, pendapatan, dan arus kas 10 tahun untuk kebun agroforestri terpadu.</t>
  </si>
  <si>
    <t>Model membandingkan satu lokasi dengan empat lokasi. Model ini adalah alat perencanaan investasi, bukan pengganti uji legal, tanah/air, desain teknik, diagnosis kesehatan tanaman, label pestisida, atau penawaran pemasok.</t>
  </si>
  <si>
    <t>Desain dasar memakai satu matriks areal efektif: kelapa, durian, dan pisang ditanam bersama; gamal, Indigofera, serai wangi, penutup tanah, dan strip biodiversitas tersebar di lorong/kontur. Tidak ada blok komoditas terpisah.</t>
  </si>
  <si>
    <t>Cara menggunakan</t>
  </si>
  <si>
    <t>1</t>
  </si>
  <si>
    <t>Untuk simulasi cepat, ubah hanya 02_Assumptions!C6 (luas) dan C8 (jumlah lokasi). Semua volume dan total mengikuti otomatis.</t>
  </si>
  <si>
    <t>2</t>
  </si>
  <si>
    <t>Jumlah lokasi dapat dipilih 1–4; biaya berbasis lokasi dan kebutuhan alat/staf dihitung ulang otomatis.</t>
  </si>
  <si>
    <t>3</t>
  </si>
  <si>
    <t>Harga satuan, upah, tarif sewa, dan biaya lain tetap terbuka sebagai asumsi opsional—ubah hanya bila memiliki dasar yang lebih baik.</t>
  </si>
  <si>
    <t>4</t>
  </si>
  <si>
    <t>Jangan mengetik ulang populasi, volume input, HOK, kru, atau total biaya: sel tersebut adalah hasil formula.</t>
  </si>
  <si>
    <t>5</t>
  </si>
  <si>
    <t>Ganti harga asumsi dengan sedikitnya tiga penawaran yang setara dan dokumentasikan pilihan.</t>
  </si>
  <si>
    <t>6</t>
  </si>
  <si>
    <t>Baca 15_Pemeriksaan dan peringatan sebelum memakai hasil investasi.</t>
  </si>
  <si>
    <t>7</t>
  </si>
  <si>
    <t>Buka 18_Panduan_Per_Sheet untuk paparan tujuan, cara membaca, input, keterkaitan, dan keputusan pada setiap sheet.</t>
  </si>
  <si>
    <t>Legenda warna</t>
  </si>
  <si>
    <t>Jingga dengan angka biru</t>
  </si>
  <si>
    <t>Dua penggerak utama: luas dan jumlah lokasi</t>
  </si>
  <si>
    <t>Kuning muda dengan angka biru</t>
  </si>
  <si>
    <t>Asumsi opsional (harga, tarif, dosis, produktivitas); sudah terisi dan tidak wajib diubah</t>
  </si>
  <si>
    <t>Hijau muda</t>
  </si>
  <si>
    <t>Rumus/hasil otomatis—jangan ditimpa</t>
  </si>
  <si>
    <t>Catatan jingga/merah</t>
  </si>
  <si>
    <t>Risiko, batasan, atau konfirmasi wajib</t>
  </si>
  <si>
    <t>Total hijau</t>
  </si>
  <si>
    <t>Subtotal atau hasil utama</t>
  </si>
  <si>
    <t>Pengecualian dan kondisi utama</t>
  </si>
  <si>
    <t>Akuisisi/sewa lahan masih Rp0 sampai tersedia calon lahan dan uji legal/valuasi.</t>
  </si>
  <si>
    <t>PPN, pajak badan, pembiayaan, penyusutan, pajak transaksi tanah, dan pabrik pengolahan tidak termasuk.</t>
  </si>
  <si>
    <t>Proyek mengasumsikan lahan pertanian terdegradasi/non-hutan. Konversi hutan alam, kawasan lindung, atau HCV adalah Tidak Layak.</t>
  </si>
  <si>
    <t>Input sintetis berhenti setelah fase transisi yang ditentukan; klaim organik memerlukan penetapan LSO.</t>
  </si>
  <si>
    <t>Pendapatan tingkat kebun dan tanpa premi. Pendapatan nanas/tambahan hanya masuk bila diaktifkan; manfaat penutup tanah tidak dimonetisasi.</t>
  </si>
  <si>
    <t>Harga adalah asumsi perencanaan 2026. Baris berkeyakinan rendah memerlukan penawaran; hasil biologis memerlukan validasi lapangan.</t>
  </si>
  <si>
    <t>Cukup ubah dua penggerak pada 02_Assumptions: luas kebun dan jumlah lokasi. Harga/biaya dapat disesuaikan secara opsional; seluruh KPI mengikuti rumus.</t>
  </si>
  <si>
    <t>Keluaran skenario optimasi aktif</t>
  </si>
  <si>
    <t>Luas bruto / efektif</t>
  </si>
  <si>
    <t>Investasi awal optimasi</t>
  </si>
  <si>
    <t>Pendanaan puncak optimasi</t>
  </si>
  <si>
    <t>NPV / IRR optimasi</t>
  </si>
  <si>
    <t>Pohon kelapa / durian</t>
  </si>
  <si>
    <t>Rumpun pisang awal / kru puncak T0</t>
  </si>
  <si>
    <t>Model otomatis: matriks agroforestri, nanas, penutup tanah legum, input pertanian, kompos internal, PHT, alat beli/sewa, tenaga kerja, kemitraan, dan diversifikasi kelapa mengikuti luas serta jumlah lokasi.</t>
  </si>
  <si>
    <t>Titik keputusan</t>
  </si>
  <si>
    <t>Konfigurasi yang disarankan</t>
  </si>
  <si>
    <t>Satu lokasi berdekatan seluas 100 ha</t>
  </si>
  <si>
    <t>Empat lokasi menduplikasi perimeter, sarana, alat, staf, dan logistik</t>
  </si>
  <si>
    <t>Persetujuan lahan</t>
  </si>
  <si>
    <t>Belum ada calon lahan yang dinyatakan siap</t>
  </si>
  <si>
    <t>Selesaikan uji legal, HCV/sosial, tanah, air, lereng, banjir, dan penyakit pisang</t>
  </si>
  <si>
    <t>Jalur organik</t>
  </si>
  <si>
    <t>Masa transisi, bukan klaim langsung</t>
  </si>
  <si>
    <t>Input sintetis berhenti sesuai pengaturan; LSO menentukan kelayakan</t>
  </si>
  <si>
    <t>Disiplin pendapatan</t>
  </si>
  <si>
    <t>Tanpa premi organik; opsi hanya masuk bila aktif</t>
  </si>
  <si>
    <t>Pastikan offtake tingkat kebun dan spesifikasi mutu sebelum keputusan akhir</t>
  </si>
  <si>
    <t>Penggerak nilai terbesar</t>
  </si>
  <si>
    <t>Durian mulai T5</t>
  </si>
  <si>
    <t>Juga asumsi biologis dan harga yang paling berisiko</t>
  </si>
  <si>
    <t>Penggerak survival yang dapat dikendalikan</t>
  </si>
  <si>
    <t>Drainase, air, bibit bebas penyakit, QC pembibitan, dan sulaman</t>
  </si>
  <si>
    <t>Jangan mengurangi pengendali tersebut demi memperbaiki NPV</t>
  </si>
  <si>
    <t>Pendapatan tahunan dan arus kas skenario optimasi</t>
  </si>
  <si>
    <t>Tahun</t>
  </si>
  <si>
    <t>Total pendapatan</t>
  </si>
  <si>
    <t>Arus kas proyek</t>
  </si>
  <si>
    <t>Arus kas kumulatif</t>
  </si>
  <si>
    <t>Y1</t>
  </si>
  <si>
    <t>Y2</t>
  </si>
  <si>
    <t>Y3</t>
  </si>
  <si>
    <t>Y4</t>
  </si>
  <si>
    <t>Y5</t>
  </si>
  <si>
    <t>Y6</t>
  </si>
  <si>
    <t>Y7</t>
  </si>
  <si>
    <t>Y8</t>
  </si>
  <si>
    <t>Y9</t>
  </si>
  <si>
    <t>Y10</t>
  </si>
  <si>
    <t>Pembanding baseline 1 lokasi dan 4 lokasi — sebelum paket optimasi</t>
  </si>
  <si>
    <t>Ukuran</t>
  </si>
  <si>
    <t>1 lokasi</t>
  </si>
  <si>
    <t>4 lokasi</t>
  </si>
  <si>
    <t>Selisih</t>
  </si>
  <si>
    <t>Makna</t>
  </si>
  <si>
    <t>Investasi awal</t>
  </si>
  <si>
    <t>Duplikasi sarana</t>
  </si>
  <si>
    <t>OPEX 10 tahun</t>
  </si>
  <si>
    <t>Tambahan staf/logistik</t>
  </si>
  <si>
    <t>NPV</t>
  </si>
  <si>
    <t>Hasil keputusan</t>
  </si>
  <si>
    <t>Pendanaan puncak</t>
  </si>
  <si>
    <t>Kebutuhan kas</t>
  </si>
  <si>
    <t>Skenario Optimasi 10 Tahun — baca bersama 19_Optimasi_10Tahun</t>
  </si>
  <si>
    <t>Model utama + nanas</t>
  </si>
  <si>
    <t>Optimasi</t>
  </si>
  <si>
    <t>Perubahan</t>
  </si>
  <si>
    <t>Penjelasan</t>
  </si>
  <si>
    <t>Investasi awal T0</t>
  </si>
  <si>
    <t>Kas awal</t>
  </si>
  <si>
    <t>CAPEX 10 tahun</t>
  </si>
  <si>
    <t>Seluruh investasi T0–T10</t>
  </si>
  <si>
    <t>Biaya operasi setelah efisiensi</t>
  </si>
  <si>
    <t>Pendapatan 10 tahun</t>
  </si>
  <si>
    <t>Termasuk diversifikasi konservatif</t>
  </si>
  <si>
    <t>Arus kas kumulatif T10</t>
  </si>
  <si>
    <t>Untung/rugi nominal sampai T10</t>
  </si>
  <si>
    <t>NPV 12%</t>
  </si>
  <si>
    <t>Nilai waktu uang</t>
  </si>
  <si>
    <t>IRR</t>
  </si>
  <si>
    <t>Tingkat imbal hasil</t>
  </si>
  <si>
    <t>Kebutuhan modal maksimum</t>
  </si>
  <si>
    <t>Tahun pengembalian</t>
  </si>
  <si>
    <t>Kumulatif pertama ≥0</t>
  </si>
  <si>
    <t>Uji ketahanan laba — tidak semua pendapatan program boleh dianggap bankable</t>
  </si>
  <si>
    <t>Kasus uji</t>
  </si>
  <si>
    <t>Kas kumulatif T10</t>
  </si>
  <si>
    <t>Margin</t>
  </si>
  <si>
    <t>Status</t>
  </si>
  <si>
    <t>Implikasi</t>
  </si>
  <si>
    <t>Expected-value</t>
  </si>
  <si>
    <t>Memakai expected funding dan karbon setelah haircut</t>
  </si>
  <si>
    <t>Tanpa hibah masyarakat &amp; karbon</t>
  </si>
  <si>
    <t>Layak dibaca sebelum award/MRV</t>
  </si>
  <si>
    <t>Tanpa hibah, karbon &amp; efisiensi fasilitas</t>
  </si>
  <si>
    <t>Tidak mengakui penghematan BOQ rendah-keyakinan</t>
  </si>
  <si>
    <t>Core tanpa diversifikasi kelapa grade-B</t>
  </si>
  <si>
    <t>Kebun tanpa ketergantungan pengolahan grade-B</t>
  </si>
  <si>
    <t>Catatan bankable: nanas, Pueraria/Arachis, kompos, kacang tanah, dan produk kelapa wajib melalui demplot, quotation, serta offtake. Laba nominal positif bukan berarti NPV positif; target buffer 5% masih memerlukan tambahan efisiensi atau margin yang dapat dibuktikan.</t>
  </si>
  <si>
    <t>Pusat Penggerak dan Asumsi Model</t>
  </si>
  <si>
    <t>Simulasi utama cukup dengan C6 (luas kebun) dan C8 (jumlah lokasi). Harga, upah, tarif, dosis, dan produktivitas tetap dapat diedit secara opsional; populasi, volume, HOK, kru, biaya, produksi, dan arus kas dihitung otomatis.</t>
  </si>
  <si>
    <t>A. Proyek, finansial, dan skenario</t>
  </si>
  <si>
    <t>Kelompok</t>
  </si>
  <si>
    <t>Variabel</t>
  </si>
  <si>
    <t>Nilai</t>
  </si>
  <si>
    <t>Satuan</t>
  </si>
  <si>
    <t>ID sumber</t>
  </si>
  <si>
    <t>Tingkat keyakinan</t>
  </si>
  <si>
    <t>Catatan</t>
  </si>
  <si>
    <t>Proyek</t>
  </si>
  <si>
    <t>Luas bruto</t>
  </si>
  <si>
    <t>ha</t>
  </si>
  <si>
    <t>USR</t>
  </si>
  <si>
    <t>High</t>
  </si>
  <si>
    <t>PENGGERAK UTAMA — ubah luas di sini</t>
  </si>
  <si>
    <t>Proporsi areal efektif</t>
  </si>
  <si>
    <t>% bruto</t>
  </si>
  <si>
    <t>ASM</t>
  </si>
  <si>
    <t>Medium</t>
  </si>
  <si>
    <t>Standar desain; tidak perlu diubah untuk simulasi luas/lokasi</t>
  </si>
  <si>
    <t>Skenario</t>
  </si>
  <si>
    <t>Jumlah lokasi terpilih</t>
  </si>
  <si>
    <t>site</t>
  </si>
  <si>
    <t>PENGGERAK UTAMA — pilih 1 sampai 4 lokasi</t>
  </si>
  <si>
    <t>Tenaga kerja</t>
  </si>
  <si>
    <t>Hari kerja per bulan</t>
  </si>
  <si>
    <t>hari</t>
  </si>
  <si>
    <t>Dapat diubah menjadi 22</t>
  </si>
  <si>
    <t>Waktu</t>
  </si>
  <si>
    <t>Tahun dasar harga</t>
  </si>
  <si>
    <t>tahun</t>
  </si>
  <si>
    <t>SYS</t>
  </si>
  <si>
    <t>Nominal 2026</t>
  </si>
  <si>
    <t>Keuangan</t>
  </si>
  <si>
    <t>Inflasi biaya</t>
  </si>
  <si>
    <t>%/tahun</t>
  </si>
  <si>
    <t>Asumsi perencanaan; bukan forecast resmi</t>
  </si>
  <si>
    <t>Eskalasi harga jual</t>
  </si>
  <si>
    <t>Low</t>
  </si>
  <si>
    <t>Konservatif; kontrak offtake tetap diperlukan</t>
  </si>
  <si>
    <t>Tingkat diskonto</t>
  </si>
  <si>
    <t>% nominal</t>
  </si>
  <si>
    <t>Untuk NPV proyek tanpa utang</t>
  </si>
  <si>
    <t>Cadangan CAPEX</t>
  </si>
  <si>
    <t>% subtotal</t>
  </si>
  <si>
    <t>Tidak diterapkan pada akuisisi lahan</t>
  </si>
  <si>
    <t>Cadangan OPEX</t>
  </si>
  <si>
    <t>Cadangan operasional</t>
  </si>
  <si>
    <t>Lahan</t>
  </si>
  <si>
    <t>Harga akuisisi/sewa lahan</t>
  </si>
  <si>
    <t>Rp/ha</t>
  </si>
  <si>
    <t>OPEN</t>
  </si>
  <si>
    <t>Dikosongkan: wajib diisi setelah title &amp; valuation due diligence</t>
  </si>
  <si>
    <t>Organik</t>
  </si>
  <si>
    <t>Lama fase input sintetis</t>
  </si>
  <si>
    <t>Urea/ZA/SP-36/KCl/NPK dan pestisida sintetis berhenti setelah tahun ini</t>
  </si>
  <si>
    <t>Masa konversi organik</t>
  </si>
  <si>
    <t>LSO</t>
  </si>
  <si>
    <t>Konfirmasi tertulis dengan LSO berdasarkan riwayat lahan</t>
  </si>
  <si>
    <t>Pendapatan</t>
  </si>
  <si>
    <t>Premi harga organik</t>
  </si>
  <si>
    <t>%</t>
  </si>
  <si>
    <t>Tidak diasumsikan sebelum ada kontrak pembeli</t>
  </si>
  <si>
    <t>B. Matriks tanam agroforestri terpadu — tanpa blok komoditas</t>
  </si>
  <si>
    <t>Area</t>
  </si>
  <si>
    <t>Areal agroforestri efektif</t>
  </si>
  <si>
    <t>ha efektif</t>
  </si>
  <si>
    <t>RUMUS</t>
  </si>
  <si>
    <t>Tinggi</t>
  </si>
  <si>
    <t>Seluruh tanaman utama dan tanaman sela berada pada matriks areal yang sama</t>
  </si>
  <si>
    <t>Jalan, sempadan, sarana, dan area non-tanam</t>
  </si>
  <si>
    <t>Luas bruto dikurangi areal agroforestri efektif</t>
  </si>
  <si>
    <t>Kerapatan</t>
  </si>
  <si>
    <t>Kelapa genjah terpadu</t>
  </si>
  <si>
    <t>pohon/ha efektif</t>
  </si>
  <si>
    <t>DES</t>
  </si>
  <si>
    <t>Sedang</t>
  </si>
  <si>
    <t>Tersebar dalam lorong mengikuti kontur dan ruang tajuk dewasa</t>
  </si>
  <si>
    <t>Durian okulasi terpadu</t>
  </si>
  <si>
    <t>Campuran varietas untuk penyerbukan dan sebaran risiko</t>
  </si>
  <si>
    <t>Pisang awal terpadu</t>
  </si>
  <si>
    <t>rumpun/ha efektif</t>
  </si>
  <si>
    <t>S02</t>
  </si>
  <si>
    <t>Dikurangi bertahap ketika tajuk permanen menutup</t>
  </si>
  <si>
    <t>Gamal terpadu</t>
  </si>
  <si>
    <t>stek/ha efektif</t>
  </si>
  <si>
    <t>Pagar hidup, biomassa, dan pengikat nitrogen</t>
  </si>
  <si>
    <t>Indigofera terpadu</t>
  </si>
  <si>
    <t>bibit/ha efektif</t>
  </si>
  <si>
    <t>Biomassa dan habitat; perlu pemangkasan</t>
  </si>
  <si>
    <t>Serai wangi terpadu</t>
  </si>
  <si>
    <t>anakan/ha efektif</t>
  </si>
  <si>
    <t>Strip kontur dan tepi; bukan jaminan pengendalian hama</t>
  </si>
  <si>
    <t>Ekologi</t>
  </si>
  <si>
    <t>Proporsi penutup tanah hidup</t>
  </si>
  <si>
    <t>% areal efektif</t>
  </si>
  <si>
    <t>Rendah</t>
  </si>
  <si>
    <t>Arachis, kacang tunggak, Crotalaria atau campuran setempat</t>
  </si>
  <si>
    <t>Proporsi strip biodiversitas</t>
  </si>
  <si>
    <t>Tanaman berbunga bertahap di lorong dan margin</t>
  </si>
  <si>
    <t>Pengadaan</t>
  </si>
  <si>
    <t>Cadangan bibit dan sulaman</t>
  </si>
  <si>
    <t>% kebutuhan</t>
  </si>
  <si>
    <t>S13</t>
  </si>
  <si>
    <t>Jumlah dibeli di atas populasi lapangan</t>
  </si>
  <si>
    <t>Desain</t>
  </si>
  <si>
    <t>Porsi lorong untuk opsi tanaman sela komersial</t>
  </si>
  <si>
    <t>Nanas/komoditas tambahan hanya ditempatkan pada lorong yang cukup cahaya</t>
  </si>
  <si>
    <t>C. Survival, marketable yield, dan harga jual</t>
  </si>
  <si>
    <t>Input</t>
  </si>
  <si>
    <t>Unit</t>
  </si>
  <si>
    <t>Source ID</t>
  </si>
  <si>
    <t>Confidence</t>
  </si>
  <si>
    <t>Survival</t>
  </si>
  <si>
    <t>Kelapa setelah sulaman</t>
  </si>
  <si>
    <t>Target sesudah gap filling tahun pertama</t>
  </si>
  <si>
    <t>Durian setelah sulaman</t>
  </si>
  <si>
    <t>Drainase dan Phytophthora menentukan</t>
  </si>
  <si>
    <t>Pisang</t>
  </si>
  <si>
    <t>Bibit kultur jaringan + biosecurity</t>
  </si>
  <si>
    <t>Packout</t>
  </si>
  <si>
    <t>Kelapa marketable</t>
  </si>
  <si>
    <t>Setelah sortasi</t>
  </si>
  <si>
    <t>Durian marketable</t>
  </si>
  <si>
    <t>Gradeable fruit</t>
  </si>
  <si>
    <t>Pisang marketable</t>
  </si>
  <si>
    <t>Reject, damage, size loss</t>
  </si>
  <si>
    <t>Price</t>
  </si>
  <si>
    <t>Harga kelapa farmgate</t>
  </si>
  <si>
    <t>Rp/butir</t>
  </si>
  <si>
    <t>S04</t>
  </si>
  <si>
    <t>Tanpa premium kelapa aromatik</t>
  </si>
  <si>
    <t>Harga durian farmgate</t>
  </si>
  <si>
    <t>Rp/kg</t>
  </si>
  <si>
    <t>S06</t>
  </si>
  <si>
    <t>Base konservatif; kualitas dan musim sangat menentukan</t>
  </si>
  <si>
    <t>Harga pisang farmgate</t>
  </si>
  <si>
    <t>S05</t>
  </si>
  <si>
    <t>Benchmark Cavendish di tingkat kebun</t>
  </si>
  <si>
    <t>D. Harga bibit, tenaga kerja, dan payroll</t>
  </si>
  <si>
    <t>Seedling</t>
  </si>
  <si>
    <t>Bibit kelapa genjah bersertifikat</t>
  </si>
  <si>
    <t>Rp/bibit</t>
  </si>
  <si>
    <t>S13/S15</t>
  </si>
  <si>
    <t>Allowance bulk; wajib quotation dan verifikasi varietas</t>
  </si>
  <si>
    <t>Bibit durian okulasi/grafting</t>
  </si>
  <si>
    <t>S15</t>
  </si>
  <si>
    <t>Varietas lokal unggul/Bawor; certified source</t>
  </si>
  <si>
    <t>Pisang kultur jaringan</t>
  </si>
  <si>
    <t>S16</t>
  </si>
  <si>
    <t>Disease-free batch + acclimatization</t>
  </si>
  <si>
    <t>Stek/bibit gamal</t>
  </si>
  <si>
    <t>Rp/unit</t>
  </si>
  <si>
    <t>Bulk estimate</t>
  </si>
  <si>
    <t>Bibit Indigofera</t>
  </si>
  <si>
    <t>Anakan serai wangi</t>
  </si>
  <si>
    <t>Bulk nursery allowance</t>
  </si>
  <si>
    <t>Ecology</t>
  </si>
  <si>
    <t>Cover crop &amp; insectary strip</t>
  </si>
  <si>
    <t>Rp/ha net</t>
  </si>
  <si>
    <t>Arachis/cowpea/Crotalaria/flowering strips</t>
  </si>
  <si>
    <t>Labor</t>
  </si>
  <si>
    <t>Upah HOK umum (loaded)</t>
  </si>
  <si>
    <t>Rp/HOK</t>
  </si>
  <si>
    <t>S07</t>
  </si>
  <si>
    <t>UMK/25 hari + THR/BPJS/alat makan allowance</t>
  </si>
  <si>
    <t>Upah HOK terampil</t>
  </si>
  <si>
    <t>Operator, graft handling, survey assistant</t>
  </si>
  <si>
    <t>UMK Banyumas 2026</t>
  </si>
  <si>
    <t>Rp/bulan</t>
  </si>
  <si>
    <t>Official decree</t>
  </si>
  <si>
    <t>Payroll</t>
  </si>
  <si>
    <t>Beban THR/BPJS/benefit</t>
  </si>
  <si>
    <t>% salary</t>
  </si>
  <si>
    <t>Planning allowance</t>
  </si>
  <si>
    <t>E. Harga agri-input (delivered to farm)</t>
  </si>
  <si>
    <t>Fertilizer</t>
  </si>
  <si>
    <t>Urea non-subsidi</t>
  </si>
  <si>
    <t>S10</t>
  </si>
  <si>
    <t>Delivered allowance; procure by tender</t>
  </si>
  <si>
    <t>ZA non-subsidi</t>
  </si>
  <si>
    <t>Delivered allowance</t>
  </si>
  <si>
    <t>SP-36 non-subsidi</t>
  </si>
  <si>
    <t>Retail benchmark; bulk quote may differ</t>
  </si>
  <si>
    <t>KCl/MOP</t>
  </si>
  <si>
    <t>Phonska/NPK 15-15-15</t>
  </si>
  <si>
    <t>Non-subsidized</t>
  </si>
  <si>
    <t>Organic</t>
  </si>
  <si>
    <t>Kompos matang</t>
  </si>
  <si>
    <t>S11</t>
  </si>
  <si>
    <t>Rp1,000,000/t delivered</t>
  </si>
  <si>
    <t>Pupuk kandang terfermentasi</t>
  </si>
  <si>
    <t>Bulk only; verify maturity/pathogen</t>
  </si>
  <si>
    <t>Amendment</t>
  </si>
  <si>
    <t>Dolomit</t>
  </si>
  <si>
    <t>Only after lime requirement test</t>
  </si>
  <si>
    <t>Rock phosphate</t>
  </si>
  <si>
    <t>Must be accepted by LSO</t>
  </si>
  <si>
    <t>K/Mg mineral input approved</t>
  </si>
  <si>
    <t>Final product only with LSO approval</t>
  </si>
  <si>
    <t>Biological</t>
  </si>
  <si>
    <t>Trichoderma/Gliocladium</t>
  </si>
  <si>
    <t>Cultured carrier/compost formulation</t>
  </si>
  <si>
    <t>Beauveria/Metarhizium</t>
  </si>
  <si>
    <t>Bioinsecticide; viable CFU must be specified</t>
  </si>
  <si>
    <t>Bacillus thuringiensis</t>
  </si>
  <si>
    <t>Threshold-based</t>
  </si>
  <si>
    <t>Botanical</t>
  </si>
  <si>
    <t>Azadirachtin/neem botanical</t>
  </si>
  <si>
    <t>Rp/L</t>
  </si>
  <si>
    <t>Verify registered label</t>
  </si>
  <si>
    <t>Fungicide</t>
  </si>
  <si>
    <t>Copper-based permitted input</t>
  </si>
  <si>
    <t>Only if permitted, threshold-based</t>
  </si>
  <si>
    <t>Herbicide</t>
  </si>
  <si>
    <t>Glyphosate spot treatment</t>
  </si>
  <si>
    <t>Conventional transition only; zero after synthetic phase</t>
  </si>
  <si>
    <t>Monitoring</t>
  </si>
  <si>
    <t>Pheromone lure</t>
  </si>
  <si>
    <t>Rp/lure</t>
  </si>
  <si>
    <t>Oryctes/Rhynchophorus where relevant</t>
  </si>
  <si>
    <t>Sticky trap</t>
  </si>
  <si>
    <t>Monitoring, not stand-alone control</t>
  </si>
  <si>
    <t>Biosecurity</t>
  </si>
  <si>
    <t>Disinfectant tools/footbath</t>
  </si>
  <si>
    <t>Critical for banana disease containment</t>
  </si>
  <si>
    <t>Chemical</t>
  </si>
  <si>
    <t>Registered fungicide contingency</t>
  </si>
  <si>
    <t>Only diagnosed, registered, label-compliant; transition years</t>
  </si>
  <si>
    <t>Registered insecticide contingency</t>
  </si>
  <si>
    <t>F. Harga satuan survei, infrastruktur, dan operasi</t>
  </si>
  <si>
    <t>Survey</t>
  </si>
  <si>
    <t>Drone orthomosaic</t>
  </si>
  <si>
    <t>S08</t>
  </si>
  <si>
    <t>100 ha price benchmark</t>
  </si>
  <si>
    <t>Boundary/topo/hydrology field survey</t>
  </si>
  <si>
    <t>Allowance; scope and accuracy to quote</t>
  </si>
  <si>
    <t>Lab</t>
  </si>
  <si>
    <t>Comprehensive soil analysis</t>
  </si>
  <si>
    <t>Rp/sample</t>
  </si>
  <si>
    <t>S09</t>
  </si>
  <si>
    <t>Composite package plus preparation/freight</t>
  </si>
  <si>
    <t>Soil sampling density</t>
  </si>
  <si>
    <t>ha/sample</t>
  </si>
  <si>
    <t>40 composites for one site; higher for split sites</t>
  </si>
  <si>
    <t>Land prep</t>
  </si>
  <si>
    <t>Selective clearing equipment/contractor</t>
  </si>
  <si>
    <t>Zero burning; manual HOK calculated separately</t>
  </si>
  <si>
    <t>Road</t>
  </si>
  <si>
    <t>Main/collection road</t>
  </si>
  <si>
    <t>Rp/m</t>
  </si>
  <si>
    <t>Graded &amp; compacted; geotech quote required</t>
  </si>
  <si>
    <t>Field track</t>
  </si>
  <si>
    <t>All-weather standard not assumed</t>
  </si>
  <si>
    <t>Drainage</t>
  </si>
  <si>
    <t>Field drain</t>
  </si>
  <si>
    <t>Final length from hydrology design</t>
  </si>
  <si>
    <t>Boundary</t>
  </si>
  <si>
    <t>Fence/live boundary</t>
  </si>
  <si>
    <t>Single square 100 ha perimeter ~4 km</t>
  </si>
  <si>
    <t>Culvert/cross-drain</t>
  </si>
  <si>
    <t>Installed allowance</t>
  </si>
  <si>
    <t>Facility</t>
  </si>
  <si>
    <t>Basecamp/office</t>
  </si>
  <si>
    <t>Rp/site</t>
  </si>
  <si>
    <t>Modular; four sites duplicate facilities</t>
  </si>
  <si>
    <t>Nursery/warehouse</t>
  </si>
  <si>
    <t>Acclimatization and storage</t>
  </si>
  <si>
    <t>Water</t>
  </si>
  <si>
    <t>Reservoir/pump/tank/mainline package</t>
  </si>
  <si>
    <t>Supplemental establishment irrigation, not full drip</t>
  </si>
  <si>
    <t>Mobilization</t>
  </si>
  <si>
    <t>Heavy equipment &amp; contractor mobilization</t>
  </si>
  <si>
    <t>Location-dependent</t>
  </si>
  <si>
    <t>Soil</t>
  </si>
  <si>
    <t>Initial compost + manure</t>
  </si>
  <si>
    <t>t/ha net</t>
  </si>
  <si>
    <t>S02/ASM</t>
  </si>
  <si>
    <t>Split 50:50 in CAPEX</t>
  </si>
  <si>
    <t>Dolomite initial dose</t>
  </si>
  <si>
    <t>t/ha treated</t>
  </si>
  <si>
    <t>S03</t>
  </si>
  <si>
    <t>Only where pH/lime requirement supports it</t>
  </si>
  <si>
    <t>Share area requiring dolomite</t>
  </si>
  <si>
    <t>% net</t>
  </si>
  <si>
    <t>Placeholder pending soil test</t>
  </si>
  <si>
    <t>Maintenance dolomite</t>
  </si>
  <si>
    <t>kg/ha every 2y</t>
  </si>
  <si>
    <t>Conditional on soil/leaf test</t>
  </si>
  <si>
    <t>Rock phosphate dose</t>
  </si>
  <si>
    <t>kg/tree/year</t>
  </si>
  <si>
    <t>Post synthetic phase; LSO approval</t>
  </si>
  <si>
    <t>K/Mg input dose</t>
  </si>
  <si>
    <t>Post synthetic phase; leaf-test driven</t>
  </si>
  <si>
    <t>Maintenance</t>
  </si>
  <si>
    <t>Equipment repair reserve</t>
  </si>
  <si>
    <t>% initial equip</t>
  </si>
  <si>
    <t>Annual</t>
  </si>
  <si>
    <t>Road/drain upkeep</t>
  </si>
  <si>
    <t>% initial works</t>
  </si>
  <si>
    <t>Harvest</t>
  </si>
  <si>
    <t>Banana harvest/pack/field haul</t>
  </si>
  <si>
    <t>Scales with marketable volume</t>
  </si>
  <si>
    <t>Coconut harvest/collection</t>
  </si>
  <si>
    <t>Durian harvest/grading/field haul</t>
  </si>
  <si>
    <t>Annual GIS/drone monitoring</t>
  </si>
  <si>
    <t>Orthomosaic/field verification allowance</t>
  </si>
  <si>
    <t>G. Kurva hasil dan populasi pisang yang dipertahankan</t>
  </si>
  <si>
    <t>T1</t>
  </si>
  <si>
    <t>T2</t>
  </si>
  <si>
    <t>T3</t>
  </si>
  <si>
    <t>T4</t>
  </si>
  <si>
    <t>T5</t>
  </si>
  <si>
    <t>T6</t>
  </si>
  <si>
    <t>T7</t>
  </si>
  <si>
    <t>T8</t>
  </si>
  <si>
    <t>T9</t>
  </si>
  <si>
    <t>T10</t>
  </si>
  <si>
    <t>Pisang: faktor rumpun dipertahankan</t>
  </si>
  <si>
    <t>Pisang: kg layak jual/rumpun</t>
  </si>
  <si>
    <t>Kelapa: butir/pohon</t>
  </si>
  <si>
    <t>Durian okulasi: kg/pohon</t>
  </si>
  <si>
    <t>H. Dosis pupuk per tanaman — input formula</t>
  </si>
  <si>
    <t>Dosis (kg/tanaman/tahun)</t>
  </si>
  <si>
    <t>Pisang Urea</t>
  </si>
  <si>
    <t>Pisang SP-36</t>
  </si>
  <si>
    <t>Pisang KCl</t>
  </si>
  <si>
    <t>Kelapa Urea</t>
  </si>
  <si>
    <t>Kelapa ZA</t>
  </si>
  <si>
    <t>Kelapa SP-36</t>
  </si>
  <si>
    <t>Kelapa KCl</t>
  </si>
  <si>
    <t>Kelapa NPK</t>
  </si>
  <si>
    <t>Durian Urea</t>
  </si>
  <si>
    <t>Durian ZA</t>
  </si>
  <si>
    <t>Durian SP-36</t>
  </si>
  <si>
    <t>Durian KCl</t>
  </si>
  <si>
    <t>Durian NPK</t>
  </si>
  <si>
    <t>Kompos+pukan tree total</t>
  </si>
  <si>
    <t>Kompos+pukan pisang total</t>
  </si>
  <si>
    <t>I. Penggerak fleksibilitas, skala, dan jumlah lokasi</t>
  </si>
  <si>
    <t>Keterangan</t>
  </si>
  <si>
    <t>Aktif</t>
  </si>
  <si>
    <t>Kelapa</t>
  </si>
  <si>
    <t>0/1</t>
  </si>
  <si>
    <t>0 menonaktifkan seluruh populasi kelapa</t>
  </si>
  <si>
    <t>Durian</t>
  </si>
  <si>
    <t>0 menonaktifkan seluruh populasi durian</t>
  </si>
  <si>
    <t>0 menonaktifkan seluruh populasi pisang</t>
  </si>
  <si>
    <t>Gamal</t>
  </si>
  <si>
    <t>0 menonaktifkan seluruh populasi gamal</t>
  </si>
  <si>
    <t>Indigofera</t>
  </si>
  <si>
    <t>0 menonaktifkan seluruh populasi Indigofera</t>
  </si>
  <si>
    <t>Serai wangi</t>
  </si>
  <si>
    <t>0 menonaktifkan seluruh populasi serai wangi</t>
  </si>
  <si>
    <t>Nanas</t>
  </si>
  <si>
    <t>Aktif sebagai tanaman sela berkerapatan rendah; biaya dan hasil dikalibrasi pada 17_Model_Fleksibel</t>
  </si>
  <si>
    <t>Arachis pintoi</t>
  </si>
  <si>
    <t>Penutup tanah legum rendah; bawaan aktif dan dapat dimatikan</t>
  </si>
  <si>
    <t>Infrastruktur</t>
  </si>
  <si>
    <t>Jalan utama dasar</t>
  </si>
  <si>
    <t>m/ha bruto</t>
  </si>
  <si>
    <t>Akan meningkat dengan luas</t>
  </si>
  <si>
    <t>Kenaikan jalan utama per lokasi ekstra</t>
  </si>
  <si>
    <t>Mereplikasi akses pada lokasi terpisah</t>
  </si>
  <si>
    <t>Jalan kebun dasar</t>
  </si>
  <si>
    <t>Kenaikan jalan kebun per lokasi ekstra</t>
  </si>
  <si>
    <t>Drainase dasar</t>
  </si>
  <si>
    <t>Final mengikuti hidrologi</t>
  </si>
  <si>
    <t>Kenaikan drainase per lokasi ekstra</t>
  </si>
  <si>
    <t>Mereplikasi jaringan</t>
  </si>
  <si>
    <t>Gorong-gorong dasar</t>
  </si>
  <si>
    <t>unit/ha bruto</t>
  </si>
  <si>
    <t>Tambahan gorong-gorong per lokasi ekstra</t>
  </si>
  <si>
    <t>unit</t>
  </si>
  <si>
    <t>Tambahan akses silang</t>
  </si>
  <si>
    <t>Survei</t>
  </si>
  <si>
    <t>Lubang profil tanah dasar</t>
  </si>
  <si>
    <t>Minimum per heterogenitas</t>
  </si>
  <si>
    <t>Tambahan lubang profil per lokasi ekstra</t>
  </si>
  <si>
    <t>Mengganti pemisahan lokasi</t>
  </si>
  <si>
    <t>Tambahan sampel tanah per lokasi ekstra</t>
  </si>
  <si>
    <t>sampel</t>
  </si>
  <si>
    <t>Di luar rasio ha/sampel</t>
  </si>
  <si>
    <t>Uji air dasar</t>
  </si>
  <si>
    <t>Musim basah dan kering</t>
  </si>
  <si>
    <t>Tambahan uji air per lokasi ekstra</t>
  </si>
  <si>
    <t>Dibulatkan ke atas</t>
  </si>
  <si>
    <t>Bibit</t>
  </si>
  <si>
    <t>Angkut dan penanganan — satu lokasi</t>
  </si>
  <si>
    <t>% nilai bibit</t>
  </si>
  <si>
    <t>Dapat diganti dengan penawaran</t>
  </si>
  <si>
    <t>Tambahan angkut per lokasi ekstra</t>
  </si>
  <si>
    <t>Akumulatif</t>
  </si>
  <si>
    <t>Karantina/aklimatisasi/QC — satu lokasi</t>
  </si>
  <si>
    <t>Kritis untuk pisang kultur jaringan</t>
  </si>
  <si>
    <t>Tambahan QC per lokasi ekstra</t>
  </si>
  <si>
    <t>Inokulan akar</t>
  </si>
  <si>
    <t>kg/pohon</t>
  </si>
  <si>
    <t>Kelapa dan durian</t>
  </si>
  <si>
    <t>Sistem</t>
  </si>
  <si>
    <t>Tambahan sistem per lokasi ekstra</t>
  </si>
  <si>
    <t>Rp/lokasi</t>
  </si>
  <si>
    <t>Pelatihan, pelacakan, dan koordinasi</t>
  </si>
  <si>
    <t>Operasi</t>
  </si>
  <si>
    <t>Kenaikan HOK langsung per lokasi ekstra</t>
  </si>
  <si>
    <t>Total 5% pada empat lokasi</t>
  </si>
  <si>
    <t>Kenaikan BBM/admin per lokasi ekstra</t>
  </si>
  <si>
    <t>Total 20% pada empat lokasi</t>
  </si>
  <si>
    <t>BBM, listrik, dan air tahunan</t>
  </si>
  <si>
    <t>Rp/tahun</t>
  </si>
  <si>
    <t>Tahun dasar</t>
  </si>
  <si>
    <t>Administrasi, keamanan, dan bahan habis pakai</t>
  </si>
  <si>
    <t>Sulaman</t>
  </si>
  <si>
    <t>Tarif penggantian bibit T1–T3</t>
  </si>
  <si>
    <t>Setelah itu memakai tarif matang</t>
  </si>
  <si>
    <t>Tarif penggantian bibit T4–T10</t>
  </si>
  <si>
    <t>Cadangan pemeliharaan</t>
  </si>
  <si>
    <t>Peremajaan</t>
  </si>
  <si>
    <t>Penggantian peralatan T5</t>
  </si>
  <si>
    <t>% nilai awal</t>
  </si>
  <si>
    <t>Dapat diubah</t>
  </si>
  <si>
    <t>Penggantian peralatan T8</t>
  </si>
  <si>
    <t>Seleksi Lahan dan Gerbang Kesiapan</t>
  </si>
  <si>
    <t>Digunakan sebelum pembukaan lahan untuk membandingkan calon lokasi berdasarkan bukti legal, sosial, lingkungan, tanah, air, akses, penyakit, dan pasar. Gerbang Tidak Layak selalu mengesampingkan skor total yang terlihat menarik.</t>
  </si>
  <si>
    <t>A. Skor seleksi berbobot</t>
  </si>
  <si>
    <t>Kriteria</t>
  </si>
  <si>
    <t>Bobot</t>
  </si>
  <si>
    <t>Minimum</t>
  </si>
  <si>
    <t>Bukti wajib</t>
  </si>
  <si>
    <t>Calon A</t>
  </si>
  <si>
    <t>Calon B</t>
  </si>
  <si>
    <t>Calon C</t>
  </si>
  <si>
    <t>Calon D</t>
  </si>
  <si>
    <t>Penanggung jawab</t>
  </si>
  <si>
    <t>Hubungan tidak layak</t>
  </si>
  <si>
    <t>Legal title, overlap, land-use conformity</t>
  </si>
  <si>
    <t>Certificates, spatial plan, dispute/community check</t>
  </si>
  <si>
    <t>Legal</t>
  </si>
  <si>
    <t>W1-2</t>
  </si>
  <si>
    <t>Any unresolved conflict = No-Go</t>
  </si>
  <si>
    <t>E&amp;S, protected area, HCV/forest status</t>
  </si>
  <si>
    <t>Official maps + field HCV/social verification</t>
  </si>
  <si>
    <t>ESG</t>
  </si>
  <si>
    <t>W1-3</t>
  </si>
  <si>
    <t>Natural forest/protected/HCV clearing = No-Go</t>
  </si>
  <si>
    <t>Soil depth, texture, pH, CEC, organic C</t>
  </si>
  <si>
    <t>40+ composite samples, pits, laboratory</t>
  </si>
  <si>
    <t>Agronomist</t>
  </si>
  <si>
    <t>W2-3</t>
  </si>
  <si>
    <t>Severe rooting constraint may be No-Go</t>
  </si>
  <si>
    <t>Drainage, flood, water table</t>
  </si>
  <si>
    <t>Topography, pits, flood history, hydrology</t>
  </si>
  <si>
    <t>Engineer</t>
  </si>
  <si>
    <t>Chronic flood/waterlogging = No-Go</t>
  </si>
  <si>
    <t>Dry-season water reliability</t>
  </si>
  <si>
    <t>Source yield, rights, dry-season test, water quality</t>
  </si>
  <si>
    <t>No reliable establishment water = No-Go</t>
  </si>
  <si>
    <t>Slope, erosion, mechanization</t>
  </si>
  <si>
    <t>DEM/topo, slope classes, access</t>
  </si>
  <si>
    <t>GIS/Engineer</t>
  </si>
  <si>
    <t>&gt;25% on material area = reject/very limited</t>
  </si>
  <si>
    <t>Banana disease history/biosecurity</t>
  </si>
  <si>
    <t>Fusarium/blood disease history, soil movement risk</t>
  </si>
  <si>
    <t>Plant Health</t>
  </si>
  <si>
    <t>Known severe history without isolation = No-Go</t>
  </si>
  <si>
    <t>Access, power, labor, logistics</t>
  </si>
  <si>
    <t>Road seasonality, distance, labor survey</t>
  </si>
  <si>
    <t>Ops</t>
  </si>
  <si>
    <t>May materially change CAPEX/OPEX</t>
  </si>
  <si>
    <t>Market/offtake and postharvest route</t>
  </si>
  <si>
    <t>Buyer interviews, grades, transport loss</t>
  </si>
  <si>
    <t>Commercial</t>
  </si>
  <si>
    <t>W2-4</t>
  </si>
  <si>
    <t>Low score requires contracted solution</t>
  </si>
  <si>
    <t>Contiguity/expansion and security</t>
  </si>
  <si>
    <t>Boundary survey, neighboring uses, theft/fire risk</t>
  </si>
  <si>
    <t>Split sites duplicate cost</t>
  </si>
  <si>
    <t>Skor kesiapan berbobot</t>
  </si>
  <si>
    <t>B. Gerbang Tidak Layak yang wajib</t>
  </si>
  <si>
    <t>Gerbang</t>
  </si>
  <si>
    <t>Tolak/hentikan jika</t>
  </si>
  <si>
    <t>Bukti</t>
  </si>
  <si>
    <t>Mitigasi diperbolehkan?</t>
  </si>
  <si>
    <t>Pemilik keputusan</t>
  </si>
  <si>
    <t>Sebelum biaya</t>
  </si>
  <si>
    <t>Tenure</t>
  </si>
  <si>
    <t>Unresolved ownership, overlap, encumbrance, community conflict</t>
  </si>
  <si>
    <t>Legal report + consultation</t>
  </si>
  <si>
    <t>No, resolve first</t>
  </si>
  <si>
    <t>Investment committee</t>
  </si>
  <si>
    <t>Before survey</t>
  </si>
  <si>
    <t>Forest/HCV</t>
  </si>
  <si>
    <t>Natural forest, protected area, critical habitat conversion</t>
  </si>
  <si>
    <t>Official + HCV assessment</t>
  </si>
  <si>
    <t>No clearing</t>
  </si>
  <si>
    <t>Board/ESG</t>
  </si>
  <si>
    <t>Before clearing</t>
  </si>
  <si>
    <t>Flood/drainage</t>
  </si>
  <si>
    <t>Chronic flood or water table incompatible with durian/banana</t>
  </si>
  <si>
    <t>Hydrology/topo</t>
  </si>
  <si>
    <t>Only if engineered and economic</t>
  </si>
  <si>
    <t>Agronomist/engineer</t>
  </si>
  <si>
    <t>Before design</t>
  </si>
  <si>
    <t>No legal/reliable dry-season source</t>
  </si>
  <si>
    <t>Yield/quality/right test</t>
  </si>
  <si>
    <t>Alternative source must be proven</t>
  </si>
  <si>
    <t>Before planting</t>
  </si>
  <si>
    <t>Banana disease</t>
  </si>
  <si>
    <t>Severe Fusarium/blood disease history with uncontrollable pathways</t>
  </si>
  <si>
    <t>Plant health survey</t>
  </si>
  <si>
    <t>Quarantine block only if approved</t>
  </si>
  <si>
    <t>Plant health lead</t>
  </si>
  <si>
    <t>Before banana procurement</t>
  </si>
  <si>
    <t>Slope/erosion</t>
  </si>
  <si>
    <t>Material planting area &gt;25% slope/unstable</t>
  </si>
  <si>
    <t>Topographic/geotech</t>
  </si>
  <si>
    <t>Exclude area or reject</t>
  </si>
  <si>
    <t>C. Proses keputusan lahan empat minggu</t>
  </si>
  <si>
    <t>Minggu</t>
  </si>
  <si>
    <t>Aktivitas</t>
  </si>
  <si>
    <t>Keluaran</t>
  </si>
  <si>
    <t>Orang</t>
  </si>
  <si>
    <t>Durasi</t>
  </si>
  <si>
    <t>Tautan anggaran</t>
  </si>
  <si>
    <t>Keputusan</t>
  </si>
  <si>
    <t>Desktop shortlist + legal data room</t>
  </si>
  <si>
    <t>2-4 candidates, document gaps</t>
  </si>
  <si>
    <t>5 days</t>
  </si>
  <si>
    <t>CAPEX Assessment</t>
  </si>
  <si>
    <t>Shortlist</t>
  </si>
  <si>
    <t>Reconnaissance, community, drone/boundary</t>
  </si>
  <si>
    <t>Orthomosaic, access, red flags</t>
  </si>
  <si>
    <t>5-7 days</t>
  </si>
  <si>
    <t>CAPEX Survey</t>
  </si>
  <si>
    <t>Drop clear No-Go</t>
  </si>
  <si>
    <t>Soil, pits, infiltration, water, HCV</t>
  </si>
  <si>
    <t>Lab samples and field evidence</t>
  </si>
  <si>
    <t>Conditional Go</t>
  </si>
  <si>
    <t>Scoring, master concept, vendor BOQ</t>
  </si>
  <si>
    <t>Go/No-Go memo + negotiation cap</t>
  </si>
  <si>
    <t>CAPEX Design</t>
  </si>
  <si>
    <t>Investment decision</t>
  </si>
  <si>
    <t>Desain Populasi dan Pengadaan Bibit</t>
  </si>
  <si>
    <t>Luas efektif dan standar kerapatan otomatis menjadi populasi, bibit, tanaman hidup, serta biaya. Untuk simulasi luas/lokasi, jangan ketik ulang angka pada sheet ini.</t>
  </si>
  <si>
    <t>A. Populasi lapangan dalam matriks terpadu</t>
  </si>
  <si>
    <t>Lapisan/area</t>
  </si>
  <si>
    <t>Area (ha)</t>
  </si>
  <si>
    <t>Kelapa/ha</t>
  </si>
  <si>
    <t>Durian/ha</t>
  </si>
  <si>
    <t>Pisang/ha</t>
  </si>
  <si>
    <t>Penutup tanah (ha)</t>
  </si>
  <si>
    <t>Agroforestri terpadu</t>
  </si>
  <si>
    <t>Semua komoditas berada pada areal yang sama</t>
  </si>
  <si>
    <t>Area non-tanam</t>
  </si>
  <si>
    <t>Jalan, sempadan, sarana, dan area lindung</t>
  </si>
  <si>
    <t>TOTAL</t>
  </si>
  <si>
    <t>B. Pengadaan bibit termasuk cadangan sulaman</t>
  </si>
  <si>
    <t>Kebutuhan lapangan</t>
  </si>
  <si>
    <t>Cadangan</t>
  </si>
  <si>
    <t>Jumlah dibeli</t>
  </si>
  <si>
    <t>Harga/satuan</t>
  </si>
  <si>
    <t>Total</t>
  </si>
  <si>
    <t>Kelapa genjah</t>
  </si>
  <si>
    <t>bibit</t>
  </si>
  <si>
    <t>Varietas bersertifikat dan sesuai elevasi serta pasar</t>
  </si>
  <si>
    <t>Durian okulasi</t>
  </si>
  <si>
    <t>Karantina batch dan aklimatisasi</t>
  </si>
  <si>
    <t>stek</t>
  </si>
  <si>
    <t>Pagar hidup dan biomassa</t>
  </si>
  <si>
    <t>Dipangkas agar tidak menaungi</t>
  </si>
  <si>
    <t>anakan</t>
  </si>
  <si>
    <t>Strip kontur dan batas</t>
  </si>
  <si>
    <t>TOTAL PENGADAAN BIBIT TERMASUK OPSI</t>
  </si>
  <si>
    <t>C. Populasi hidup untuk model hasil</t>
  </si>
  <si>
    <t>Komoditas</t>
  </si>
  <si>
    <t>Populasi lapangan</t>
  </si>
  <si>
    <t>Tanaman hidup</t>
  </si>
  <si>
    <t>D. Fungsi tanaman pendukung dan aturan desain</t>
  </si>
  <si>
    <t>Tanaman/elemen</t>
  </si>
  <si>
    <t>Fungsi</t>
  </si>
  <si>
    <t>Posisi</t>
  </si>
  <si>
    <t>Pengelolaan</t>
  </si>
  <si>
    <t>Risiko</t>
  </si>
  <si>
    <t>Pendapatan dasar</t>
  </si>
  <si>
    <t>Gamal (Gliricidia)</t>
  </si>
  <si>
    <t>Pengikat N, pagar hidup, biomassa</t>
  </si>
  <si>
    <t>Lorong, kontur, dan batas</t>
  </si>
  <si>
    <t>Pangkas 3–4 kali/tahun</t>
  </si>
  <si>
    <t>Kompetisi cahaya/akar</t>
  </si>
  <si>
    <t>Masuk</t>
  </si>
  <si>
    <t>Tidak dianggap sebagai pestisida</t>
  </si>
  <si>
    <t>Pengikat N, biomassa, habitat</t>
  </si>
  <si>
    <t>Lorong tersebar</t>
  </si>
  <si>
    <t>Pangkas dan benamkan biomassa</t>
  </si>
  <si>
    <t>Dapat menjadi semak</t>
  </si>
  <si>
    <t>Potensi pakan bila ada ternak</t>
  </si>
  <si>
    <t>Strip aromatik dan pengendali erosi</t>
  </si>
  <si>
    <t>Tepi drainase dan kontur</t>
  </si>
  <si>
    <t>Panen/pangkas berkala</t>
  </si>
  <si>
    <t>Tidak menjamin hama hilang</t>
  </si>
  <si>
    <t>Pendapatan nol tanpa penyulingan/offtake</t>
  </si>
  <si>
    <t>Arachis/kacang tunggak/Crotalaria</t>
  </si>
  <si>
    <t>Penutup tanah, N, pengendali erosi</t>
  </si>
  <si>
    <t>Lorong terbuka</t>
  </si>
  <si>
    <t>Rotasi; cegah lilitan pada pohon</t>
  </si>
  <si>
    <t>Rodensia/kompetisi</t>
  </si>
  <si>
    <t>Campuran spesifik lokasi</t>
  </si>
  <si>
    <t>Strip tanaman berbunga</t>
  </si>
  <si>
    <t>Habitat musuh alami</t>
  </si>
  <si>
    <t>1–2% margin dan lorong</t>
  </si>
  <si>
    <t>Penaburan bertahap</t>
  </si>
  <si>
    <t>Dapat menjadi inang hama</t>
  </si>
  <si>
    <t>Pilih jenis setempat</t>
  </si>
  <si>
    <t>Sempadan riparian/HCV</t>
  </si>
  <si>
    <t>Perlindungan air dan biodiversitas</t>
  </si>
  <si>
    <t>Tandai, pantau, tanpa pembukaan</t>
  </si>
  <si>
    <t>Mengurangi areal efektif</t>
  </si>
  <si>
    <t>Wajib</t>
  </si>
  <si>
    <t>Termasuk dalam area non-tanam</t>
  </si>
  <si>
    <t>Rencana Kerja, HOK, Durasi, dan Kebutuhan Kru</t>
  </si>
  <si>
    <t>HOK, durasi, biaya tenaga kerja, kru rata-rata, dan kru puncak dihitung otomatis dari luas dan jumlah lokasi. Upah tetap dapat diedit pada 02_Assumptions.</t>
  </si>
  <si>
    <t>A. Pekerjaan Tahun 0: dari uji tuntas sampai pembentukan tanaman</t>
  </si>
  <si>
    <t>Tahap</t>
  </si>
  <si>
    <t>Mulai</t>
  </si>
  <si>
    <t>Selesai</t>
  </si>
  <si>
    <t>Basis</t>
  </si>
  <si>
    <t>Jumlah 1 lokasi</t>
  </si>
  <si>
    <t>Jumlah 4 lokasi</t>
  </si>
  <si>
    <t>HOK/unit</t>
  </si>
  <si>
    <t>HOK 1 lokasi</t>
  </si>
  <si>
    <t>HOK 4 lokasi</t>
  </si>
  <si>
    <t>Biaya langsung 1 lokasi</t>
  </si>
  <si>
    <t>Biaya langsung 4 lokasi</t>
  </si>
  <si>
    <t>Peralatan/catatan</t>
  </si>
  <si>
    <t>M1</t>
  </si>
  <si>
    <t>M2</t>
  </si>
  <si>
    <t>M3</t>
  </si>
  <si>
    <t>M4</t>
  </si>
  <si>
    <t>M5</t>
  </si>
  <si>
    <t>M6</t>
  </si>
  <si>
    <t>M7</t>
  </si>
  <si>
    <t>M8</t>
  </si>
  <si>
    <t>M9</t>
  </si>
  <si>
    <t>M10</t>
  </si>
  <si>
    <t>M11</t>
  </si>
  <si>
    <t>M12</t>
  </si>
  <si>
    <t>Crew selected</t>
  </si>
  <si>
    <t>Assessment</t>
  </si>
  <si>
    <t>Desktop shortlist &amp; GIS</t>
  </si>
  <si>
    <t>lot</t>
  </si>
  <si>
    <t>Professional service</t>
  </si>
  <si>
    <t>Legal/tenure due diligence</t>
  </si>
  <si>
    <t>Legal fee in CAPEX</t>
  </si>
  <si>
    <t>Reconnaissance &amp; community check</t>
  </si>
  <si>
    <t>Travel package in CAPEX</t>
  </si>
  <si>
    <t>Drone/boundary/topo survey</t>
  </si>
  <si>
    <t>Soil composite sampling</t>
  </si>
  <si>
    <t>sample</t>
  </si>
  <si>
    <t>Lab/survey package</t>
  </si>
  <si>
    <t>Safeguard</t>
  </si>
  <si>
    <t>E&amp;S/HCV baseline</t>
  </si>
  <si>
    <t>Consultant package</t>
  </si>
  <si>
    <t>HCV marking &amp; exclusion</t>
  </si>
  <si>
    <t>Direct field crew</t>
  </si>
  <si>
    <t>Selective zero-burn clearing</t>
  </si>
  <si>
    <t>Manual crew; machines contracted separately</t>
  </si>
  <si>
    <t>Biomass chipping/stacking/mulch</t>
  </si>
  <si>
    <t>No burning</t>
  </si>
  <si>
    <t>Layout</t>
  </si>
  <si>
    <t>Staking rows/contours</t>
  </si>
  <si>
    <t>ha net</t>
  </si>
  <si>
    <t>Survey pegs/rope</t>
  </si>
  <si>
    <t>Spread compost/manure/dolomite</t>
  </si>
  <si>
    <t>Tractor + hand spread</t>
  </si>
  <si>
    <t>Planting</t>
  </si>
  <si>
    <t>Tree holes 60x60x60</t>
  </si>
  <si>
    <t>hole</t>
  </si>
  <si>
    <t>Earth auger + manual finishing</t>
  </si>
  <si>
    <t>Banana holes 40x40x40</t>
  </si>
  <si>
    <t>Auger/manual</t>
  </si>
  <si>
    <t>Plant coconut &amp; durian</t>
  </si>
  <si>
    <t>plant</t>
  </si>
  <si>
    <t>Handle graft union carefully</t>
  </si>
  <si>
    <t>Plant banana</t>
  </si>
  <si>
    <t>Two planting waves</t>
  </si>
  <si>
    <t>Plant gamal/indigofera/serai</t>
  </si>
  <si>
    <t>Support species</t>
  </si>
  <si>
    <t>Install/commission irrigation</t>
  </si>
  <si>
    <t>Portable pumps, tanks, mainline</t>
  </si>
  <si>
    <t>Gap filling/sulaman</t>
  </si>
  <si>
    <t>Use reserved seedlings</t>
  </si>
  <si>
    <t>Sow cover crops/insectary</t>
  </si>
  <si>
    <t>Staggered strips</t>
  </si>
  <si>
    <t>Initial weeding/scouting/mulch</t>
  </si>
  <si>
    <t>Survival protection</t>
  </si>
  <si>
    <t>TOTAL BIAYA TENAGA LAPANG LANGSUNG</t>
  </si>
  <si>
    <t>HOK BULANAN — SKENARIO TERPILIH</t>
  </si>
  <si>
    <t>B. Kebutuhan HOK pemeliharaan tahunan — HOK panen sudah masuk biaya per unit</t>
  </si>
  <si>
    <t>Weeding/groundcover management</t>
  </si>
  <si>
    <t>HOK/ha</t>
  </si>
  <si>
    <t>Banana suckering &amp; sanitation</t>
  </si>
  <si>
    <t>Fertilizer/compost application</t>
  </si>
  <si>
    <t>Tree training/pruning</t>
  </si>
  <si>
    <t>Plant health scouting/biosecurity</t>
  </si>
  <si>
    <t>Supplemental irrigation</t>
  </si>
  <si>
    <t>Gap filling/replanting</t>
  </si>
  <si>
    <t>Manual road/drain upkeep</t>
  </si>
  <si>
    <t>Mapping/biodiversity field monitoring</t>
  </si>
  <si>
    <t>TOTAL HOK PROYEK</t>
  </si>
  <si>
    <t>HOK/year</t>
  </si>
  <si>
    <t>Rata-rata kru lapang</t>
  </si>
  <si>
    <t>people</t>
  </si>
  <si>
    <t>Kru lapang puncak (1,35×)</t>
  </si>
  <si>
    <t>Peralatan, Mesin, Kendaraan, dan APD</t>
  </si>
  <si>
    <t>Jumlah alat dihitung otomatis dari luas dan jumlah lokasi. Harga satuan tetap terbuka; metode beli/sewa dipilih otomatis pada 20_Operasi_Efisien.</t>
  </si>
  <si>
    <t>Kategori</t>
  </si>
  <si>
    <t>Barang</t>
  </si>
  <si>
    <t>Spesifikasi/penggunaan</t>
  </si>
  <si>
    <t>Metode</t>
  </si>
  <si>
    <t>Harga satuan</t>
  </si>
  <si>
    <t>Total 1 lokasi</t>
  </si>
  <si>
    <t>Total 4 lokasi</t>
  </si>
  <si>
    <t>Umur manfaat</t>
  </si>
  <si>
    <t>Penggantian/perawatan</t>
  </si>
  <si>
    <t>Dasar/keyakinan</t>
  </si>
  <si>
    <t>Dasar per 100 ha</t>
  </si>
  <si>
    <t>Kenaikan per lokasi ekstra</t>
  </si>
  <si>
    <t>Minimum per lokasi</t>
  </si>
  <si>
    <t>Hand tools</t>
  </si>
  <si>
    <t>Cangkul heavy duty</t>
  </si>
  <si>
    <t>Soil work and circle weeding</t>
  </si>
  <si>
    <t>Buy</t>
  </si>
  <si>
    <t>Replace 35% every 3y</t>
  </si>
  <si>
    <t>Peak planting crew / Medium</t>
  </si>
  <si>
    <t>Sekop</t>
  </si>
  <si>
    <t>Hole finishing/compost</t>
  </si>
  <si>
    <t>Crew allocation / Medium</t>
  </si>
  <si>
    <t>Garpu tanah</t>
  </si>
  <si>
    <t>Compost/mulch</t>
  </si>
  <si>
    <t>Replace as damaged</t>
  </si>
  <si>
    <t>Linggis</t>
  </si>
  <si>
    <t>Rocky soil/markers</t>
  </si>
  <si>
    <t>Parang/sabit</t>
  </si>
  <si>
    <t>Slashing/sanitation</t>
  </si>
  <si>
    <t>Replace 50% every 2y</t>
  </si>
  <si>
    <t>Peak crew / Medium</t>
  </si>
  <si>
    <t>Gergaji pangkas</t>
  </si>
  <si>
    <t>Tree training</t>
  </si>
  <si>
    <t>Sharpen annually</t>
  </si>
  <si>
    <t>1 per field team / Medium</t>
  </si>
  <si>
    <t>Gunting pangkas</t>
  </si>
  <si>
    <t>Sanitary pruning</t>
  </si>
  <si>
    <t>Disinfect between blocks</t>
  </si>
  <si>
    <t>1 per small team / Medium</t>
  </si>
  <si>
    <t>Pole pruner</t>
  </si>
  <si>
    <t>Coconut/durian canopy</t>
  </si>
  <si>
    <t>Inspect poles annually</t>
  </si>
  <si>
    <t>1 per 5 ha / Low</t>
  </si>
  <si>
    <t>Tugal/manual auger</t>
  </si>
  <si>
    <t>Support plants/cover</t>
  </si>
  <si>
    <t>Planting crew / Medium</t>
  </si>
  <si>
    <t>Angkong 100 L</t>
  </si>
  <si>
    <t>Material and harvest movement</t>
  </si>
  <si>
    <t>Wheel/bearing annual</t>
  </si>
  <si>
    <t>1 per 2-3 workers / Medium</t>
  </si>
  <si>
    <t>Measurement</t>
  </si>
  <si>
    <t>Tape/rope/staking kit</t>
  </si>
  <si>
    <t>set</t>
  </si>
  <si>
    <t>Annual replenishment</t>
  </si>
  <si>
    <t>Layout teams / Medium</t>
  </si>
  <si>
    <t>Soil auger</t>
  </si>
  <si>
    <t>Composite samples</t>
  </si>
  <si>
    <t>Clean between sites</t>
  </si>
  <si>
    <t>1-2 per site / Medium</t>
  </si>
  <si>
    <t>pH/EC/moisture kit</t>
  </si>
  <si>
    <t>Field screening</t>
  </si>
  <si>
    <t>Calibrate annually</t>
  </si>
  <si>
    <t>1-2 per site / Low</t>
  </si>
  <si>
    <t>Handheld GPS</t>
  </si>
  <si>
    <t>Field verification</t>
  </si>
  <si>
    <t>Battery/map update</t>
  </si>
  <si>
    <t>1 per mapping team / Low</t>
  </si>
  <si>
    <t>Automatic weather station</t>
  </si>
  <si>
    <t>Rain/temp/wind</t>
  </si>
  <si>
    <t>Sensor calibration</t>
  </si>
  <si>
    <t>1 per 50 ha / Low</t>
  </si>
  <si>
    <t>Platform scale</t>
  </si>
  <si>
    <t>Harvest/inputs</t>
  </si>
  <si>
    <t>Block handling / Low</t>
  </si>
  <si>
    <t>Communication</t>
  </si>
  <si>
    <t>Two-way radio</t>
  </si>
  <si>
    <t>Safety/field coordination</t>
  </si>
  <si>
    <t>Battery replacement</t>
  </si>
  <si>
    <t>Supervisors/foremen / Low</t>
  </si>
  <si>
    <t>Machines</t>
  </si>
  <si>
    <t>Brush cutter 2-stroke</t>
  </si>
  <si>
    <t>Mechanical weed control</t>
  </si>
  <si>
    <t>Spare parts + 8%/yr</t>
  </si>
  <si>
    <t>1 per 4-5 ha / Medium</t>
  </si>
  <si>
    <t>Chainsaw</t>
  </si>
  <si>
    <t>Selective clearing/sanitation</t>
  </si>
  <si>
    <t>Certified operators only</t>
  </si>
  <si>
    <t>Earth auger</t>
  </si>
  <si>
    <t>Planting holes</t>
  </si>
  <si>
    <t>Bits/spares 10%/yr</t>
  </si>
  <si>
    <t>Peak hole crew / Medium</t>
  </si>
  <si>
    <t>Knapsack sprayer 16 L</t>
  </si>
  <si>
    <t>Biological/botanical inputs</t>
  </si>
  <si>
    <t>Dedicated units by material</t>
  </si>
  <si>
    <t>1 per application team / Medium</t>
  </si>
  <si>
    <t>Power sprayer</t>
  </si>
  <si>
    <t>Hotspot/large application</t>
  </si>
  <si>
    <t>Hose/nozzle annual</t>
  </si>
  <si>
    <t>Portable water pump</t>
  </si>
  <si>
    <t>Establishment irrigation</t>
  </si>
  <si>
    <t>Service every 250h</t>
  </si>
  <si>
    <t>Pond/tank support / Low</t>
  </si>
  <si>
    <t>Processing</t>
  </si>
  <si>
    <t>Compost/chipper shredder</t>
  </si>
  <si>
    <t>Biomass/compost</t>
  </si>
  <si>
    <t>Blade/engine annual</t>
  </si>
  <si>
    <t>Central vs satellite sites / Low</t>
  </si>
  <si>
    <t>Mechanization</t>
  </si>
  <si>
    <t>45 hp tractor + implements</t>
  </si>
  <si>
    <t>Ripping, hauling, mowing</t>
  </si>
  <si>
    <t>5% annual maintenance</t>
  </si>
  <si>
    <t>1 per 50-100 ha / Low</t>
  </si>
  <si>
    <t>Tractor trailer</t>
  </si>
  <si>
    <t>Compost/harvest haul</t>
  </si>
  <si>
    <t>Tyres/bearings</t>
  </si>
  <si>
    <t>2 per tractor / Low</t>
  </si>
  <si>
    <t>Vehicles</t>
  </si>
  <si>
    <t>4x4 pickup</t>
  </si>
  <si>
    <t>People, inputs, harvest</t>
  </si>
  <si>
    <t>Fuel/maintenance in OPEX</t>
  </si>
  <si>
    <t>Operational allowance / Low</t>
  </si>
  <si>
    <t>Field motorcycle</t>
  </si>
  <si>
    <t>Foremen/scouting</t>
  </si>
  <si>
    <t>Service monthly</t>
  </si>
  <si>
    <t>Power</t>
  </si>
  <si>
    <t>Portable generator</t>
  </si>
  <si>
    <t>Nursery/basecamp backup</t>
  </si>
  <si>
    <t>Fuel in OPEX</t>
  </si>
  <si>
    <t>1 per key facility / Low</t>
  </si>
  <si>
    <t>Safety</t>
  </si>
  <si>
    <t>PPE complete set</t>
  </si>
  <si>
    <t>Boots, gloves, helmet, glasses, mask</t>
  </si>
  <si>
    <t>Replace damaged/expired</t>
  </si>
  <si>
    <t>Fire/first aid/spill kit</t>
  </si>
  <si>
    <t>Per site package</t>
  </si>
  <si>
    <t>Annual inspection</t>
  </si>
  <si>
    <t>Mandatory / Medium</t>
  </si>
  <si>
    <t>Contracted</t>
  </si>
  <si>
    <t>Excavator/bulldozer</t>
  </si>
  <si>
    <t>Clearing/earthworks</t>
  </si>
  <si>
    <t>Included</t>
  </si>
  <si>
    <t>day</t>
  </si>
  <si>
    <t>In contractor rate</t>
  </si>
  <si>
    <t>Not purchased; avoid double count</t>
  </si>
  <si>
    <t>Road roller/grader</t>
  </si>
  <si>
    <t>Road construction</t>
  </si>
  <si>
    <t>In road unit rate</t>
  </si>
  <si>
    <t>Survey drone/LiDAR</t>
  </si>
  <si>
    <t>Orthomosaic/topo</t>
  </si>
  <si>
    <t>Outsource</t>
  </si>
  <si>
    <t>Annual monitoring separate</t>
  </si>
  <si>
    <t>Specialist service</t>
  </si>
  <si>
    <t>TOTAL AWAL PERALATAN DAN MESIN</t>
  </si>
  <si>
    <t>Baris tambahan peralatan</t>
  </si>
  <si>
    <t>Tambahan</t>
  </si>
  <si>
    <t>Peralatan tambahan 1</t>
  </si>
  <si>
    <t>Isi spesifikasi</t>
  </si>
  <si>
    <t>Beli</t>
  </si>
  <si>
    <t>Isi jadwal</t>
  </si>
  <si>
    <t>Asumsi pengguna</t>
  </si>
  <si>
    <t>Peralatan tambahan 2</t>
  </si>
  <si>
    <t>Peralatan tambahan 3</t>
  </si>
  <si>
    <t>Peralatan tambahan 4</t>
  </si>
  <si>
    <t>Peralatan tambahan 5</t>
  </si>
  <si>
    <t>Peralatan tambahan 6</t>
  </si>
  <si>
    <t>Peralatan tambahan 7</t>
  </si>
  <si>
    <t>Peralatan tambahan 8</t>
  </si>
  <si>
    <t>Peralatan tambahan 9</t>
  </si>
  <si>
    <t>Peralatan tambahan 10</t>
  </si>
  <si>
    <t>Rencana Input Pertanian 10 Tahun</t>
  </si>
  <si>
    <t>Volume dolomit, kompos, pupuk, pembenah, benih penutup tanah, serta bahan PHT dihitung otomatis dari luas/populasi dan umur tanaman. Harga satuan tetap dapat diedit.</t>
  </si>
  <si>
    <t>Status organik</t>
  </si>
  <si>
    <t>Aturan aplikasi</t>
  </si>
  <si>
    <t>Jumlah 10 tahun</t>
  </si>
  <si>
    <t>Biaya nominal 10 tahun</t>
  </si>
  <si>
    <t>Synthetic fertilizer</t>
  </si>
  <si>
    <t>Urea</t>
  </si>
  <si>
    <t>Vegetative N: banana, coconut, durian</t>
  </si>
  <si>
    <t>kg</t>
  </si>
  <si>
    <t>Prohibited organic</t>
  </si>
  <si>
    <t>3 splits for new banana; 2 splits trees</t>
  </si>
  <si>
    <t>ZA</t>
  </si>
  <si>
    <t>N + S for young trees</t>
  </si>
  <si>
    <t>Soil/leaf-test adjusted</t>
  </si>
  <si>
    <t>SP-36</t>
  </si>
  <si>
    <t>P for root establishment</t>
  </si>
  <si>
    <t>Do not blanket apply without P test</t>
  </si>
  <si>
    <t>K for banana and young trees</t>
  </si>
  <si>
    <t>Prohibited/restricted</t>
  </si>
  <si>
    <t>Split, avoid salt injury</t>
  </si>
  <si>
    <t>Phonska/NPK</t>
  </si>
  <si>
    <t>Compound fertilizer after vegetative stage</t>
  </si>
  <si>
    <t>Only if synthetic phase extends beyond Y2</t>
  </si>
  <si>
    <t>Organic matter</t>
  </si>
  <si>
    <t>Soil C, structure, microbial activity</t>
  </si>
  <si>
    <t>Permitted if compliant</t>
  </si>
  <si>
    <t>50% of annual organic matter plan</t>
  </si>
  <si>
    <t>Pupuk kandang fermented</t>
  </si>
  <si>
    <t>Organic nutrient &amp; biology</t>
  </si>
  <si>
    <t>50%; verify maturity/pathogens/metals</t>
  </si>
  <si>
    <t>Dolomite maintenance</t>
  </si>
  <si>
    <t>pH, Ca, Mg</t>
  </si>
  <si>
    <t>Conditional</t>
  </si>
  <si>
    <t>Every 2y only if lime requirement supports</t>
  </si>
  <si>
    <t>Organic mineral</t>
  </si>
  <si>
    <t>P in transition/organic phase</t>
  </si>
  <si>
    <t>LSO approval</t>
  </si>
  <si>
    <t>Starts after synthetic phase</t>
  </si>
  <si>
    <t>Approved K/Mg input</t>
  </si>
  <si>
    <t>K/Mg in transition/organic phase</t>
  </si>
  <si>
    <t>Leaf-test driven</t>
  </si>
  <si>
    <t>Soil-borne disease suppression</t>
  </si>
  <si>
    <t>Generally permitted</t>
  </si>
  <si>
    <t>2 applications; carrier quality critical</t>
  </si>
  <si>
    <t>Bioinsecticide</t>
  </si>
  <si>
    <t>Banana weevil/coconut beetle IPM</t>
  </si>
  <si>
    <t>2 targeted rounds; humidity/viability matter</t>
  </si>
  <si>
    <t>Caterpillars only</t>
  </si>
  <si>
    <t>2 rounds allowance, threshold-based</t>
  </si>
  <si>
    <t>Neem/azadirachtin</t>
  </si>
  <si>
    <t>Sucking/chewing pest suppression</t>
  </si>
  <si>
    <t>L</t>
  </si>
  <si>
    <t>Check product</t>
  </si>
  <si>
    <t>3 targeted rounds; not calendar spraying</t>
  </si>
  <si>
    <t>Copper-based input</t>
  </si>
  <si>
    <t>Diagnosed fungal/bacterial hotspots</t>
  </si>
  <si>
    <t>Restricted/LSO approval</t>
  </si>
  <si>
    <t>50% area x 2 rounds allowance</t>
  </si>
  <si>
    <t>Oryctes/Rhynchophorus surveillance</t>
  </si>
  <si>
    <t>lure</t>
  </si>
  <si>
    <t>Permitted</t>
  </si>
  <si>
    <t>1 trap/2 ha, lure quarterly</t>
  </si>
  <si>
    <t>Monitoring flying insects</t>
  </si>
  <si>
    <t>10/ha x 2 replacements</t>
  </si>
  <si>
    <t>Disinfectant</t>
  </si>
  <si>
    <t>Tools, footwear, nursery</t>
  </si>
  <si>
    <t>Dedicated banana tools/footbath</t>
  </si>
  <si>
    <t>Glyphosate spot only</t>
  </si>
  <si>
    <t>Hard-to-control weeds</t>
  </si>
  <si>
    <t>Transition years only; no paraquat; spot, not blanket</t>
  </si>
  <si>
    <t>Chemical contingency</t>
  </si>
  <si>
    <t>Registered fungicide</t>
  </si>
  <si>
    <t>Only laboratory/field diagnosis</t>
  </si>
  <si>
    <t>25% hotspot allowance in transition</t>
  </si>
  <si>
    <t>Registered insecticide</t>
  </si>
  <si>
    <t>Only threshold &amp; registered label</t>
  </si>
  <si>
    <t>B. Ringkasan biaya input pertanian tahunan</t>
  </si>
  <si>
    <t>Kelompok biaya</t>
  </si>
  <si>
    <t>Pupuk sintetis</t>
  </si>
  <si>
    <t>Bahan organik dan tanah</t>
  </si>
  <si>
    <t>Biologi dan PHT</t>
  </si>
  <si>
    <t>Proteksi konvensional</t>
  </si>
  <si>
    <t>TOTAL BIAYA INPUT PERTANIAN</t>
  </si>
  <si>
    <t>RAB CAPEX Rinci: 1 Lokasi dan 4 Lokasi</t>
  </si>
  <si>
    <t>Rincian investasi awal dari kajian lahan, persiapan, infrastruktur, bibit, penanaman, alat, pemetaan, dan cadangan. Bandingkan satu dan empat lokasi serta periksa agar biaya kontraktor tidak menghitung tenaga atau alat yang sama dua kali.</t>
  </si>
  <si>
    <t>Uraian</t>
  </si>
  <si>
    <t>Penggerak</t>
  </si>
  <si>
    <t>Terpilih</t>
  </si>
  <si>
    <t>Dasar/sumber/pengecualian</t>
  </si>
  <si>
    <t>A Land</t>
  </si>
  <si>
    <t>Land acquisition/lease</t>
  </si>
  <si>
    <t>Gross ha</t>
  </si>
  <si>
    <t>OPEN: zero until title/valuation DD</t>
  </si>
  <si>
    <t>A Assessment</t>
  </si>
  <si>
    <t>Desktop GIS shortlist</t>
  </si>
  <si>
    <t>Public data screening; 2-3 weeks</t>
  </si>
  <si>
    <t>Legal/title/overlap due diligence</t>
  </si>
  <si>
    <t>No-go if unresolved tenure/community conflict</t>
  </si>
  <si>
    <t>Reconnaissance/community verification</t>
  </si>
  <si>
    <t>3-person team, travel allowance</t>
  </si>
  <si>
    <t>A Survey</t>
  </si>
  <si>
    <t>gross ha</t>
  </si>
  <si>
    <t>Boundary/topo/hydrology survey</t>
  </si>
  <si>
    <t>Quote after accuracy specification</t>
  </si>
  <si>
    <t>Soil composite laboratory</t>
  </si>
  <si>
    <t>Field heterogeneity increases samples for split sites</t>
  </si>
  <si>
    <t>Soil profile/infiltration pits</t>
  </si>
  <si>
    <t>pit</t>
  </si>
  <si>
    <t>1 per ~10 ha plus site minimum</t>
  </si>
  <si>
    <t>Water quality tests</t>
  </si>
  <si>
    <t>Dry/wet season sources</t>
  </si>
  <si>
    <t>A Safeguard</t>
  </si>
  <si>
    <t>E&amp;S, HCV and community baseline</t>
  </si>
  <si>
    <t>Natural forest/protected/HCV = no-go</t>
  </si>
  <si>
    <t>A Design</t>
  </si>
  <si>
    <t>Farm master plan &amp; BOQ design</t>
  </si>
  <si>
    <t>Road, drain, water, planting plan</t>
  </si>
  <si>
    <t>B Land prep</t>
  </si>
  <si>
    <t>Selective clearing contractor/equipment</t>
  </si>
  <si>
    <t>Zero burning; excludes direct HOK</t>
  </si>
  <si>
    <t>Direct field HOK from Workplan</t>
  </si>
  <si>
    <t>calculated</t>
  </si>
  <si>
    <t>Rp</t>
  </si>
  <si>
    <t>Only Cost flag=1 tasks</t>
  </si>
  <si>
    <t>Deep ripping/spot cultivation</t>
  </si>
  <si>
    <t>net ha</t>
  </si>
  <si>
    <t>After compaction assessment</t>
  </si>
  <si>
    <t>Contour/erosion control earthworks</t>
  </si>
  <si>
    <t>Vetiver/check dams not blanket terracing</t>
  </si>
  <si>
    <t>B Soil</t>
  </si>
  <si>
    <t>Initial compost (50%)</t>
  </si>
  <si>
    <t>ton</t>
  </si>
  <si>
    <t>Mature bulk compost</t>
  </si>
  <si>
    <t>Initial fermented manure (50%)</t>
  </si>
  <si>
    <t>Verify quality before spreading</t>
  </si>
  <si>
    <t>Initial dolomite</t>
  </si>
  <si>
    <t>Conditional on lime requirement</t>
  </si>
  <si>
    <t>C Road</t>
  </si>
  <si>
    <t>Main/collection roads</t>
  </si>
  <si>
    <t>m</t>
  </si>
  <si>
    <t>One-site grid vs split access</t>
  </si>
  <si>
    <t>Field tracks</t>
  </si>
  <si>
    <t>Design after slope/topo</t>
  </si>
  <si>
    <t>C Drain</t>
  </si>
  <si>
    <t>Field drains</t>
  </si>
  <si>
    <t>Durian and banana require drainage</t>
  </si>
  <si>
    <t>Culverts/cross drains</t>
  </si>
  <si>
    <t>Hydrology design required</t>
  </si>
  <si>
    <t>C Boundary</t>
  </si>
  <si>
    <t>Square geometry: split sites double perimeter</t>
  </si>
  <si>
    <t>C Facility</t>
  </si>
  <si>
    <t>Satellite version may be smaller; conservative duplication</t>
  </si>
  <si>
    <t>Acclimatization, quarantine, input store</t>
  </si>
  <si>
    <t>C Water</t>
  </si>
  <si>
    <t>Reservoir/pump/tank/mainline</t>
  </si>
  <si>
    <t>Supplemental only; borehole not assumed</t>
  </si>
  <si>
    <t>C Power</t>
  </si>
  <si>
    <t>Power/comms/security infrastructure</t>
  </si>
  <si>
    <t>Solar/backup/CCTV allowance</t>
  </si>
  <si>
    <t>C Mobilization</t>
  </si>
  <si>
    <t>Heavy equipment mobilization</t>
  </si>
  <si>
    <t>Distance-dependent</t>
  </si>
  <si>
    <t>D Planting</t>
  </si>
  <si>
    <t>All planting stock</t>
  </si>
  <si>
    <t>Procurement incl. 10% reserve</t>
  </si>
  <si>
    <t>Seedling freight/handling</t>
  </si>
  <si>
    <t>% stock</t>
  </si>
  <si>
    <t>Higher logistics for split sites</t>
  </si>
  <si>
    <t>Quarantine/acclimatization/QC</t>
  </si>
  <si>
    <t>Critical for banana tissue culture</t>
  </si>
  <si>
    <t>Mycorrhiza/root inoculant</t>
  </si>
  <si>
    <t>tree kg</t>
  </si>
  <si>
    <t>Product quality/spec to verify</t>
  </si>
  <si>
    <t>D Ecology</t>
  </si>
  <si>
    <t>Cover crop/insectary establishment</t>
  </si>
  <si>
    <t>Biaya penutup tanah dan strip pendukung sudah dihitung pada 17_Model_Fleksibel agar tidak dihitung ganda</t>
  </si>
  <si>
    <t>E Equipment</t>
  </si>
  <si>
    <t>Tools, machines, vehicles, PPE</t>
  </si>
  <si>
    <t>equipment</t>
  </si>
  <si>
    <t>Detailed in 06_Equipment_Tools</t>
  </si>
  <si>
    <t>F Systems</t>
  </si>
  <si>
    <t>Certification/ESG/traceability Y0</t>
  </si>
  <si>
    <t>system</t>
  </si>
  <si>
    <t>Split-site system/training uplift</t>
  </si>
  <si>
    <t>F Payroll</t>
  </si>
  <si>
    <t>Development-year permanent payroll</t>
  </si>
  <si>
    <t>annual</t>
  </si>
  <si>
    <t>Management staff only; direct field crew elsewhere</t>
  </si>
  <si>
    <t>SUBTOTAL SEBELUM CADANGAN</t>
  </si>
  <si>
    <t>CADANGAN (tidak termasuk akuisisi lahan)</t>
  </si>
  <si>
    <t>TOTAL INVESTASI AWAL</t>
  </si>
  <si>
    <t>Rencana Biaya Operasional 10 Tahun</t>
  </si>
  <si>
    <t>Proyeksi biaya operasional nominal Tahun 1–10: staf, HOK, input, perawatan, penggantian alat, panen, sertifikasi, dan biaya tambahan aktif. Perubahan upah, inflasi, luas, lokasi, dosis, atau aktivitas akan mengalir ke total tahunan.</t>
  </si>
  <si>
    <t>A. Biaya operasi tahunan</t>
  </si>
  <si>
    <t>Uraian biaya</t>
  </si>
  <si>
    <t>Gaji staf tetap</t>
  </si>
  <si>
    <t>HOK pemeliharaan langsung</t>
  </si>
  <si>
    <t>Input pertanian</t>
  </si>
  <si>
    <t>Cadangan perbaikan peralatan</t>
  </si>
  <si>
    <t>BBM, listrik, dan air</t>
  </si>
  <si>
    <t>Perawatan jalan dan drainase</t>
  </si>
  <si>
    <t>Stok pembibitan dan sulaman</t>
  </si>
  <si>
    <t>Sertifikasi, ESG, dan pemetaan</t>
  </si>
  <si>
    <t>Administrasi, keamanan, bahan habis pakai, dan OPEX tambahan</t>
  </si>
  <si>
    <t>Panen, pengemasan, dan angkut kebun</t>
  </si>
  <si>
    <t>TOTAL OPEX</t>
  </si>
  <si>
    <t>B. Staf tetap dan dasar gaji bulanan</t>
  </si>
  <si>
    <t>Jabatan</t>
  </si>
  <si>
    <t>Gaji bulanan</t>
  </si>
  <si>
    <t>Beban</t>
  </si>
  <si>
    <t>Tahunan 1 lokasi</t>
  </si>
  <si>
    <t>Tahunan 4 lokasi</t>
  </si>
  <si>
    <t>Manajer kebun</t>
  </si>
  <si>
    <t>Agronomis/ketua kesehatan tanaman</t>
  </si>
  <si>
    <t>Administrasi/keuangan</t>
  </si>
  <si>
    <t>Pengawas lokasi</t>
  </si>
  <si>
    <t>Mandor</t>
  </si>
  <si>
    <t>Keamanan</t>
  </si>
  <si>
    <t>Penanggung jawab gudang/pembibitan</t>
  </si>
  <si>
    <t>Mekanik/pengemudi</t>
  </si>
  <si>
    <t>TOTAL GAJI TAHUNAN STAF TETAP</t>
  </si>
  <si>
    <t>C. Scenario helper totals</t>
  </si>
  <si>
    <t>Pembantu skenario</t>
  </si>
  <si>
    <t>OPEX 1 lokasi</t>
  </si>
  <si>
    <t>OPEX 4 lokasi</t>
  </si>
  <si>
    <t>Baris tambahan staf</t>
  </si>
  <si>
    <t>Staf tambahan 1</t>
  </si>
  <si>
    <t>Staf tambahan 2</t>
  </si>
  <si>
    <t>Staf tambahan 3</t>
  </si>
  <si>
    <t>Staf tambahan 4</t>
  </si>
  <si>
    <t>Staf tambahan 5</t>
  </si>
  <si>
    <t>Staf tambahan 6</t>
  </si>
  <si>
    <t>Produksi dan Pendapatan 10 Tahun</t>
  </si>
  <si>
    <t>Menghitung produksi dan pendapatan per komoditas berdasarkan tanaman hidup, kurva hasil menurut umur, harga kebun, dan eskalasi harga. Pisang menopang kas awal, kelapa mulai ringan pada Tahun 3, dan durian dasar pada Tahun 5; opsi hanya masuk bila diaktifkan.</t>
  </si>
  <si>
    <t>Rumpun pisang dipertahankan</t>
  </si>
  <si>
    <t>Hasil pisang kg/rumpun</t>
  </si>
  <si>
    <t>Pisang layak jual kg</t>
  </si>
  <si>
    <t>Harga pisang Rp/kg</t>
  </si>
  <si>
    <t>PENDAPATAN PISANG</t>
  </si>
  <si>
    <t>Pohon kelapa hidup</t>
  </si>
  <si>
    <t>Butir kelapa/pohon</t>
  </si>
  <si>
    <t>Kelapa layak jual (butir)</t>
  </si>
  <si>
    <t>Harga kelapa Rp/butir</t>
  </si>
  <si>
    <t>PENDAPATAN KELAPA</t>
  </si>
  <si>
    <t>Pohon durian hidup</t>
  </si>
  <si>
    <t>Hasil durian kg/pohon</t>
  </si>
  <si>
    <t>Durian layak jual kg</t>
  </si>
  <si>
    <t>Harga durian Rp/kg</t>
  </si>
  <si>
    <t>PENDAPATAN DURIAN</t>
  </si>
  <si>
    <t>PENDAPATAN OPSI DAN TAMBAHAN</t>
  </si>
  <si>
    <t>TOTAL PENDAPATAN</t>
  </si>
  <si>
    <t>Biaya panen/pengemasan pisang</t>
  </si>
  <si>
    <t>Biaya panen/pengumpulan kelapa</t>
  </si>
  <si>
    <t>Biaya panen/grading durian</t>
  </si>
  <si>
    <t>TOTAL BIAYA PANEN VARIABEL</t>
  </si>
  <si>
    <t>Arus Kas Proyek dan Hasil Investasi</t>
  </si>
  <si>
    <t>Menggabungkan pendapatan, OPEX, dan CAPEX menjadi arus kas proyek, arus kas kumulatif, NPV, IRR, tahun pengembalian, dan kebutuhan pendanaan puncak. Hasil negatif berarti desain komersial perlu diperbaiki sebelum investasi, bukan menghapus pengendalian teknis yang penting.</t>
  </si>
  <si>
    <t>T0</t>
  </si>
  <si>
    <t>OPEX</t>
  </si>
  <si>
    <t>CAPEX awal/lanjutan</t>
  </si>
  <si>
    <t>ARUS KAS PROYEK</t>
  </si>
  <si>
    <t>Faktor diskonto</t>
  </si>
  <si>
    <t>Arus kas terdiskonto</t>
  </si>
  <si>
    <t>Penanda kumulatif positif</t>
  </si>
  <si>
    <t>Ukuran hasil investasi</t>
  </si>
  <si>
    <t>NPV pada tingkat diskonto</t>
  </si>
  <si>
    <t>IRR 10 tahun</t>
  </si>
  <si>
    <t>Kebutuhan pendanaan puncak</t>
  </si>
  <si>
    <t>Rasio pendapatan/biaya terdiskonto</t>
  </si>
  <si>
    <t>Horizon model</t>
  </si>
  <si>
    <t>Model utama kini sudah memasukkan nanas aktif. Untuk efisiensi alat, kompos, PHT, sertifikasi sederhana, produk kelapa, masyarakat, dan karbon, gunakan 19_Optimasi_10Tahun; jangan menjumlahkan kedua arus kas secara manual.</t>
  </si>
  <si>
    <t>Perbandingan Skenario: Satu Lokasi dan Empat Lokasi</t>
  </si>
  <si>
    <t>Membandingkan satu lokasi dengan empat lokasi pada produksi agronomis yang sama, sehingga selisih terutama menunjukkan duplikasi perimeter, fasilitas, alat, staf, mobilisasi, dan logistik. Gunakan untuk menilai biaya fragmentasi kebun.</t>
  </si>
  <si>
    <t>Satu lokasi</t>
  </si>
  <si>
    <t>Empat lokasi</t>
  </si>
  <si>
    <t>Interpretasi</t>
  </si>
  <si>
    <t>Duplikasi sarana fisik</t>
  </si>
  <si>
    <t>Pendapatan nominal 10 tahun</t>
  </si>
  <si>
    <t>Asumsi produksi sama</t>
  </si>
  <si>
    <t>OPEX nominal 10 tahun</t>
  </si>
  <si>
    <t>Ukuran keputusan</t>
  </si>
  <si>
    <t>Tingkat hasil</t>
  </si>
  <si>
    <t>Waktu pemulihan</t>
  </si>
  <si>
    <t>Arus kas tahunan per skenario</t>
  </si>
  <si>
    <t>Metric</t>
  </si>
  <si>
    <t>Y0</t>
  </si>
  <si>
    <t>Cash flow 1 block</t>
  </si>
  <si>
    <t>Cumulative 1 block</t>
  </si>
  <si>
    <t>Cash flow 4 sites</t>
  </si>
  <si>
    <t>Cumulative 4 sites</t>
  </si>
  <si>
    <t>Sensitivitas NPV terhadap Harga dan Hasil</t>
  </si>
  <si>
    <t>Menunjukkan bagaimana NPV berubah bila harga jual dan hasil biologis bergerak di bawah atau di atas kasus dasar. Tabel ini adalah uji ketahanan, bukan prakiraan; fokus pada kombinasi harga-hasil yang membuat proyek layak atau tetap merugi.</t>
  </si>
  <si>
    <t>NPV (Rp) by price multiplier and yield multiplier</t>
  </si>
  <si>
    <t>Hasil \ Harga</t>
  </si>
  <si>
    <t>Interpretation</t>
  </si>
  <si>
    <t>Tabel ini bukan prakiraan; tabel menunjukkan ketergantungan proyek pada harga kebun dan hasil biologis aktual.</t>
  </si>
  <si>
    <t>Tidak ada premi organik pada kasus dasar. Perjanjian offtake dan spesifikasi mutu perlu diperoleh sebelum keputusan investasi akhir.</t>
  </si>
  <si>
    <t>Durian merupakan penggerak nilai jangka panjang terbesar sekaligus risiko proyeksi terbesar; validasi penyerbukan, batang bawah, air, penyakit, dan pasar.</t>
  </si>
  <si>
    <t>Jika NPV dasar negatif, perubahan spesifikasi infrastruktur harus melalui kajian teknik; jangan menghapus drainase, biosekuriti, atau kendali mutu bibit.</t>
  </si>
  <si>
    <t>Pemetaan, Transisi Organik, Sertifikasi, dan ESG</t>
  </si>
  <si>
    <t>Rencana biaya dan waktu untuk pemetaan, sistem ketertelusuran, pelatihan, pengujian, biodiversitas, transisi organik, audit, sertifikasi, dan surveilans. Jadwal sertifikasi hanya untuk anggaran dan harus dikonfirmasi tertulis oleh LSO.</t>
  </si>
  <si>
    <t>Alur kerja</t>
  </si>
  <si>
    <t>Keluaran/persyaratan</t>
  </si>
  <si>
    <t>Status/catatan</t>
  </si>
  <si>
    <t>Riwayat lahan</t>
  </si>
  <si>
    <t>3+ year land/input history, maps, no-go areas</t>
  </si>
  <si>
    <t>Required before conversion claim</t>
  </si>
  <si>
    <t>SPM/RMO</t>
  </si>
  <si>
    <t>Organic management plan, field IDs, input approval</t>
  </si>
  <si>
    <t>Setup Y0 + annual maintenance</t>
  </si>
  <si>
    <t>Ketertelusuran</t>
  </si>
  <si>
    <t>GIS, lots, harvest records, audit trail</t>
  </si>
  <si>
    <t>Digital setup; annual license/support</t>
  </si>
  <si>
    <t>Pelatihan</t>
  </si>
  <si>
    <t>Biosecurity, allowed inputs, records, PPE</t>
  </si>
  <si>
    <t>Annual refresher</t>
  </si>
  <si>
    <t>Laboratorium</t>
  </si>
  <si>
    <t>Soil/water/residue/leaf tests</t>
  </si>
  <si>
    <t>Annual, risk-based</t>
  </si>
  <si>
    <t>Biodiversitas</t>
  </si>
  <si>
    <t>Baseline + annual monitoring</t>
  </si>
  <si>
    <t>Habitats, erosion, water</t>
  </si>
  <si>
    <t>Pra-audit</t>
  </si>
  <si>
    <t>Gap assessment before certification application</t>
  </si>
  <si>
    <t>Year = synthetic phase + conversion</t>
  </si>
  <si>
    <t>Sertifikasi</t>
  </si>
  <si>
    <t>LSO application, inspection, reviewer, certificate</t>
  </si>
  <si>
    <t>Year after conversion; travel separate</t>
  </si>
  <si>
    <t>Surveilans</t>
  </si>
  <si>
    <t>Annual inspection after certification</t>
  </si>
  <si>
    <t>Fees depend days/travel</t>
  </si>
  <si>
    <t>Karbon/MRV</t>
  </si>
  <si>
    <t>Optional carbon baseline</t>
  </si>
  <si>
    <t>Not in base case</t>
  </si>
  <si>
    <t>TOTAL SERTIFIKASI DAN ESG</t>
  </si>
  <si>
    <t>Aturan kritis</t>
  </si>
  <si>
    <t>Urea, ZA, SP-36, KCl/MOP, Phonska/NPK, glifosat, dan pestisida konvensional otomatis dihentikan setelah fase input sintetis.</t>
  </si>
  <si>
    <t>Waktu sertifikasi hanya untuk anggaran. Mintakan penetapan tertulis dari LSO mengenai awal konversi dan tanggal kelayakan sertifikasi.</t>
  </si>
  <si>
    <t>Baseline konservatif disimpan untuk pembanding. Alternatif ICS kelompok yang lebih sederhana dan tarif LSO terurai tersedia di 20_Operasi_Efisien; penyederhanaan tidak menghapus inspeksi, bukti, laboratorium berbasis risiko, atau ketentuan LSO.</t>
  </si>
  <si>
    <t>Pemeriksaan Model dan Peringatan Kritis</t>
  </si>
  <si>
    <t>Pemeriksaan integritas rumus, konsistensi luas, keterikatan CAPEX/arus kas, fase input sintetis, serta cakupan proyeksi. Status PASS berarti model menghitung secara konsisten pada asumsi saat ini—bukan berarti lahan atau investasinya otomatis layak.</t>
  </si>
  <si>
    <t>Pemeriksaan</t>
  </si>
  <si>
    <t>Aktual</t>
  </si>
  <si>
    <t>Harapan</t>
  </si>
  <si>
    <t>Toleransi</t>
  </si>
  <si>
    <t>Lokasi perbaikan</t>
  </si>
  <si>
    <t>Luas: efektif + non-tanam = bruto</t>
  </si>
  <si>
    <t>02_Assumptions!C24:C26</t>
  </si>
  <si>
    <t>Plant populations are positive</t>
  </si>
  <si>
    <t>Planting design</t>
  </si>
  <si>
    <t>CAPEX selected scenario ties</t>
  </si>
  <si>
    <t>CAPEX scenario selector</t>
  </si>
  <si>
    <t>Cash flow row ties revenue, OPEX, CAPEX</t>
  </si>
  <si>
    <t>Cash Flow</t>
  </si>
  <si>
    <t>Synthetic input phase is within model</t>
  </si>
  <si>
    <t>Assumptions C17</t>
  </si>
  <si>
    <t>Organic certification begins after conversion</t>
  </si>
  <si>
    <t>Certification plan</t>
  </si>
  <si>
    <t>Land cost input is non-negative</t>
  </si>
  <si>
    <t>Assumptions C16</t>
  </si>
  <si>
    <t>Revenue and OPEX timelines cover 10 years</t>
  </si>
  <si>
    <t>Production/OPEX</t>
  </si>
  <si>
    <t>STATUS MODEL</t>
  </si>
  <si>
    <t>Peringatan yang tidak menggagalkan rumus</t>
  </si>
  <si>
    <t>Biaya akuisisi/sewa lahan tetap Rp0 sampai ada calon nyata dan uji legal/valuasi.</t>
  </si>
  <si>
    <t>Tanah, air, lereng, banjir, dan sejarah penyakit dapat mengubah kebutuhan dolomit, drainase, irigasi, dan survival.</t>
  </si>
  <si>
    <t>Harga berkeyakinan rendah adalah asumsi anggaran; dapatkan sedikitnya tiga penawaran setara sebelum persetujuan.</t>
  </si>
  <si>
    <t>Harga pendapatan adalah asumsi tingkat kebun, bukan kontrak. Tidak ada premi organik atau monetisasi manfaat penutup tanah.</t>
  </si>
  <si>
    <t>Input pupuk/pestisida sintetis bertentangan dengan klaim organik dan dihentikan setelah fase yang ditetapkan.</t>
  </si>
  <si>
    <t>PPN, pajak badan, biaya pembiayaan, penyusutan, pajak transaksi lahan, dan pengolahan luar kebun dikecualikan.</t>
  </si>
  <si>
    <t>Pemeriksaan skenario optimasi</t>
  </si>
  <si>
    <t>Nilai aktual</t>
  </si>
  <si>
    <t>Batas/harapan</t>
  </si>
  <si>
    <t>Tindakan</t>
  </si>
  <si>
    <t>Arus kas kumulatif optimasi T10</t>
  </si>
  <si>
    <t>Harus positif pada Tahun 10</t>
  </si>
  <si>
    <t>Perbaiki penggerak yang didukung bukti</t>
  </si>
  <si>
    <t>Proporsi kelapa reject yang diproses</t>
  </si>
  <si>
    <t>Tidak boleh melebihi reject di luar packout dasar</t>
  </si>
  <si>
    <t>Turunkan share pengolahan</t>
  </si>
  <si>
    <t>Hibah besar yang belum awarded</t>
  </si>
  <si>
    <t>Default harus nol sebelum award</t>
  </si>
  <si>
    <t>Isi hanya setelah kontrak</t>
  </si>
  <si>
    <t>Kas bankable tanpa hibah kecil dan karbon</t>
  </si>
  <si>
    <t>Harus tetap positif sebelum pendanaan program diakui</t>
  </si>
  <si>
    <t>Kurangi biaya atau tambah offtake terkontrak</t>
  </si>
  <si>
    <t>Audit rekonsiliasi independen tersedia di 23_Audit_Formula dan 24_Audit_Tahunan; STATUS MODEL hanya PASS bila seluruh kelompok pemeriksaan lolos.</t>
  </si>
  <si>
    <t>Sumber dan Jejak Audit</t>
  </si>
  <si>
    <t>Jejak audit untuk setiap asumsi teknis, hukum, harga, dan tolok ukur yang digunakan. Perbarui sumber berkeyakinan rendah dengan hasil uji lapangan, kontrak, atau sedikitnya tiga penawaran pemasok sebelum persetujuan investasi.</t>
  </si>
  <si>
    <t>ID</t>
  </si>
  <si>
    <t>Topik</t>
  </si>
  <si>
    <t>Data yang digunakan</t>
  </si>
  <si>
    <t>Judul sumber</t>
  </si>
  <si>
    <t>URL</t>
  </si>
  <si>
    <t>Terbit/per tanggal</t>
  </si>
  <si>
    <t>Diakses</t>
  </si>
  <si>
    <t>User decision</t>
  </si>
  <si>
    <t>Banyumas baseline; 100 ha; 1 vs 4 sites</t>
  </si>
  <si>
    <t>Conversation requirements</t>
  </si>
  <si>
    <t>User-provided</t>
  </si>
  <si>
    <t>2026-08-26</t>
  </si>
  <si>
    <t>S01</t>
  </si>
  <si>
    <t>Durian bearing</t>
  </si>
  <si>
    <t>Grafted/okulasi durian starts 4-6 years</t>
  </si>
  <si>
    <t>Kementan: Teknologi Multiplikasi Vegetatif</t>
  </si>
  <si>
    <t>https://repository.pertanian.go.id/server/api/core/bitstreams/f955febe-a389-4923-83be-a883f5eed703/content</t>
  </si>
  <si>
    <t>2019</t>
  </si>
  <si>
    <t>Base revenue starts Y5; Y4 not assumed</t>
  </si>
  <si>
    <t>Banana agronomy</t>
  </si>
  <si>
    <t>10-15 t/ha common, 35-40 potential; spacing; manure; Urea/SP36/KCl doses; Trichoderma</t>
  </si>
  <si>
    <t>Kementan: Teknologi Budidaya Pisang</t>
  </si>
  <si>
    <t>https://repository.pertanian.go.id/server/api/core/bitstreams/650af8ff-94fb-4a63-816a-1cb30eea671c/content</t>
  </si>
  <si>
    <t>2023 repository</t>
  </si>
  <si>
    <t>Model is lower density agroforestry</t>
  </si>
  <si>
    <t>Dolomite</t>
  </si>
  <si>
    <t>1.0-1.5 t/ha for acidic soil in horticultural guide</t>
  </si>
  <si>
    <t>Kementan: Budi Daya Tanaman Hortikultura</t>
  </si>
  <si>
    <t>https://repository.pertanian.go.id/server/api/core/bitstreams/956a1e47-84bc-474e-8784-1f998e5fe29e/content</t>
  </si>
  <si>
    <t>2022</t>
  </si>
  <si>
    <t>Final dose from lime requirement</t>
  </si>
  <si>
    <t>Coconut price</t>
  </si>
  <si>
    <t>Farmgate ordinary coconut Rp2,000-3,000/butir</t>
  </si>
  <si>
    <t>Kementan: call to raise coconut buying price</t>
  </si>
  <si>
    <t>https://www.pertanian.go.id/?act=view&amp;id=7236&amp;show=news</t>
  </si>
  <si>
    <t>2025-10-28</t>
  </si>
  <si>
    <t>Model uses Rp3,000/no aromatic premium</t>
  </si>
  <si>
    <t>Banana farmgate</t>
  </si>
  <si>
    <t>Cavendish price Rp6,000/kg and around Rp120k/tree</t>
  </si>
  <si>
    <t>Banyuwangi Regency</t>
  </si>
  <si>
    <t>https://banyuwangikab.go.id/berita/harga-stabil-dan-banyak-diminati-banyuwangi-pacu-produksi-pisang-cavendish</t>
  </si>
  <si>
    <t>2024-07-03</t>
  </si>
  <si>
    <t>Used as base 2026 planning price; update locally</t>
  </si>
  <si>
    <t>Durian price</t>
  </si>
  <si>
    <t>Purwokerto local and Bawor retail price ranges</t>
  </si>
  <si>
    <t>RRI Purwokerto</t>
  </si>
  <si>
    <t>https://rri.co.id/purwokerto/umkm/1254378/puncak-musim-penghujan-harga-durian-di-purwokerto-mengalami-peningkatan</t>
  </si>
  <si>
    <t>2025-01-14</t>
  </si>
  <si>
    <t>Farmgate model is conservative but still low confidence</t>
  </si>
  <si>
    <t>UMK Banyumas Rp2,474,598.99/month</t>
  </si>
  <si>
    <t>Central Java Governor Decree 100.3.3.1/505/2025</t>
  </si>
  <si>
    <t>https://jdih.jatengprov.go.id/inventarisasi-hukum/download/kepgub_100-3-3-1-505_th_2025</t>
  </si>
  <si>
    <t>2025-12-24</t>
  </si>
  <si>
    <t>Loaded HOK includes benefit allowance</t>
  </si>
  <si>
    <t>Mapping</t>
  </si>
  <si>
    <t>51-100 ha mapping benchmark Rp250k/ha</t>
  </si>
  <si>
    <t>Technogis mapping pilot price</t>
  </si>
  <si>
    <t>https://www.technogis.co.id/harga-jasa-pilot-drone-pemetaan-profesional-bersertifikat-termurah-di-indonesia/</t>
  </si>
  <si>
    <t>2025-04-24</t>
  </si>
  <si>
    <t>Vendor benchmark; scope/accuracy varies</t>
  </si>
  <si>
    <t>Soil laboratory</t>
  </si>
  <si>
    <t>Official parameter tariffs and PP PNBP basis</t>
  </si>
  <si>
    <t>BRMP Soil &amp; Fertilizer Laboratory</t>
  </si>
  <si>
    <t>https://tanahpupuk.brmp.pertanian.go.id/layanan/layanan/layanan-pengujian-analisa-tanah-pupuk-tanaman-dan-air-irigasi</t>
  </si>
  <si>
    <t>2026 website</t>
  </si>
  <si>
    <t>Package allowance includes multiple parameters/logistics</t>
  </si>
  <si>
    <t>Input prices</t>
  </si>
  <si>
    <t>Retail benchmarks: Urea, SP-36, NPK, glyphosate</t>
  </si>
  <si>
    <t>Happy Tani fertilizer listing</t>
  </si>
  <si>
    <t>https://www.happyshopingbatam.com/product-category/pupuk/</t>
  </si>
  <si>
    <t>Bulk delivered procurement requires tender</t>
  </si>
  <si>
    <t>Organic matter price</t>
  </si>
  <si>
    <t>Retail/bulk market reference; model uses Rp0.9-1.0m/t delivered</t>
  </si>
  <si>
    <t>Indotrading compost suppliers</t>
  </si>
  <si>
    <t>https://www.indotrading.com/company_pupuk-kompos_7132/</t>
  </si>
  <si>
    <t>Quality/freight dominate</t>
  </si>
  <si>
    <t>S12</t>
  </si>
  <si>
    <t>Organic certification</t>
  </si>
  <si>
    <t>Registration, inspection, reviewer and surveillance tariff components</t>
  </si>
  <si>
    <t>LeSOS certification costs</t>
  </si>
  <si>
    <t>https://lesosindonesia.com/s_dana</t>
  </si>
  <si>
    <t>Travel, days and scope vary</t>
  </si>
  <si>
    <t>Plantation cost norms</t>
  </si>
  <si>
    <t>Kelapa seedlings 110/ha @ Rp50k; HOK benchmark Rp110k</t>
  </si>
  <si>
    <t>East Kalimantan Plantation Development Unit Cost 2024</t>
  </si>
  <si>
    <t>https://disbun.kaltimprov.go.id/download/satuan-biaya-pembangunan-perkebunan-tahun-2024</t>
  </si>
  <si>
    <t>2024</t>
  </si>
  <si>
    <t>Used as reasonableness benchmark, not copied total</t>
  </si>
  <si>
    <t>S14</t>
  </si>
  <si>
    <t>Organic standard</t>
  </si>
  <si>
    <t>SNI 6729:2025 transition and 2026 implementation note</t>
  </si>
  <si>
    <t>ICERT: SNI 6729:2025</t>
  </si>
  <si>
    <t>https://icert.id/terbit-sni-67292025-sistem-pertanian-organik/</t>
  </si>
  <si>
    <t>2025-10-30</t>
  </si>
  <si>
    <t>Written LSO confirmation still required</t>
  </si>
  <si>
    <t>Support seedlings</t>
  </si>
  <si>
    <t>Indigofera/durian/serai/kelapa nursery listing</t>
  </si>
  <si>
    <t>ForestaMart government marketplace</t>
  </si>
  <si>
    <t>https://forestamart.bp2sdm.kehutanan.go.id/index.php/detail-produk/bibit-indigofera/4d544577</t>
  </si>
  <si>
    <t>Model prices include bulk/logistics allowances</t>
  </si>
  <si>
    <t>Banana seedlings</t>
  </si>
  <si>
    <t>Tissue-culture banana listings around Rp14.5k-18k</t>
  </si>
  <si>
    <t>Marketplace benchmark</t>
  </si>
  <si>
    <t>https://www.blibli.com/jual/kultur-jaringan-pisang</t>
  </si>
  <si>
    <t>2026-08</t>
  </si>
  <si>
    <t>Require disease-free certification and batch QA</t>
  </si>
  <si>
    <t>S17</t>
  </si>
  <si>
    <t>Coconut bearing</t>
  </si>
  <si>
    <t>Genjah Pandan Wangi starts around 2-3 years</t>
  </si>
  <si>
    <t>Ditjenbun variety description</t>
  </si>
  <si>
    <t>https://ditjenbun.pertanian.go.id/deskripsi-varietas-kelapa-genjah-pandan-wangi-dan-kebun-sumber-benihnya-di-indonesia/</t>
  </si>
  <si>
    <t>2022-12-05</t>
  </si>
  <si>
    <t>Model uses light Y3 crop</t>
  </si>
  <si>
    <t>S19</t>
  </si>
  <si>
    <t>Budidaya nanas</t>
  </si>
  <si>
    <t>Pedoman pembibitan sampai panen; buah aksesion unggul &gt;1.000 g</t>
  </si>
  <si>
    <t>Petunjuk Teknis Budidaya Nenas</t>
  </si>
  <si>
    <t>https://repository.pertanian.go.id/items/ed0e90fe-90c6-4119-9cd6-221ade7a5dd9</t>
  </si>
  <si>
    <t>2008</t>
  </si>
  <si>
    <t>Model lorong memakai kerapatan jauh di bawah monokultur; validasi cahaya dan varietas</t>
  </si>
  <si>
    <t>S20</t>
  </si>
  <si>
    <t>Penutup tanah legum</t>
  </si>
  <si>
    <t>Penutup tanah legum memperbaiki sifat tanah, menambat N, menghasilkan bahan organik, dan membantu infiltrasi</t>
  </si>
  <si>
    <t>Teknik Konservasi Tanah Secara Vegetatif</t>
  </si>
  <si>
    <t>https://repository.pertanian.go.id/bitstreams/721ac5a2-a87d-46c1-9400-62c235f0bf34/download</t>
  </si>
  <si>
    <t>2006</t>
  </si>
  <si>
    <t>Arachis pintoi dipakai sebagai penutup rendah; lingkar batang tetap dijaga bersih</t>
  </si>
  <si>
    <t>S21</t>
  </si>
  <si>
    <t>Mucuna/benguk</t>
  </si>
  <si>
    <t>Biomassa Mucuna dilaporkan mengandung N, P, dan K dan dapat menjadi sumber hara/mulsa</t>
  </si>
  <si>
    <t>Opsi nonaktif; perlu dikendalikan agar tidak memanjat tanaman inti</t>
  </si>
  <si>
    <t>S22</t>
  </si>
  <si>
    <t>Crotalaria</t>
  </si>
  <si>
    <t>Beberapa spesies Crotalaria bersifat antagonis terhadap nematoda tertentu; manfaat harus disesuaikan dengan diagnosis OPT</t>
  </si>
  <si>
    <t>Alelopati pada Pola Tanam Kopi dan Teknik Pengendalian</t>
  </si>
  <si>
    <t>https://repository.pertanian.go.id/bitstreams/946c3d1b-10c2-44bc-8935-d8c1258404e4/download</t>
  </si>
  <si>
    <t>2014</t>
  </si>
  <si>
    <t>Bukan klaim pengendalian umum; opsi nonaktif hingga ada diagnosis</t>
  </si>
  <si>
    <t>Model Fleksibel dan Variabel Tambahan</t>
  </si>
  <si>
    <t>Area ekstensi untuk menambah atau menonaktifkan spesies, alat, staf, CAPEX, OPEX, dan pendapatan tanpa merusak rumus utama. Gunakan Aktif=1 untuk memasukkan baris dan Aktif=0 untuk mengeluarkannya; jangan mengganti sel formula berwarna hijau.</t>
  </si>
  <si>
    <t>A. Spesies opsional dan spesies tambahan dalam matriks agroforestri</t>
  </si>
  <si>
    <t>Peran</t>
  </si>
  <si>
    <t>Kerapatan/ha efektif</t>
  </si>
  <si>
    <t>Cadangan bibit</t>
  </si>
  <si>
    <t>Harga bibit</t>
  </si>
  <si>
    <t>Biaya bibit</t>
  </si>
  <si>
    <t>HOK tanam/tanaman</t>
  </si>
  <si>
    <t>Biaya HOK tanam T0</t>
  </si>
  <si>
    <t>Tanaman sela produktif pada lorong cukup cahaya</t>
  </si>
  <si>
    <t>Kerapatan rendah; bibit bulk Rp1.800/batang, wajib quotation dan uji cahaya</t>
  </si>
  <si>
    <t>Pueraria javanica + Arachis pintoi</t>
  </si>
  <si>
    <t>Mosaik penutup tanah legum untuk lorong dan lingkar luar batang</t>
  </si>
  <si>
    <t>Pueraria untuk lorong terbuka dan Arachis di area rendah; penghematan gulma dimonetisasi konservatif di 20_Operasi_Efisien</t>
  </si>
  <si>
    <t>Crotalaria juncea</t>
  </si>
  <si>
    <t>Pupuk hijau dan strip serangga berguna</t>
  </si>
  <si>
    <t>Gunakan terbatas dan spesifik lokasi; manfaat nematoda bergantung spesies OPT</t>
  </si>
  <si>
    <t>Penutup tanah dan sumber biomassa N-P-K</t>
  </si>
  <si>
    <t>Harus dikendalikan agar tidak memanjat tanaman inti</t>
  </si>
  <si>
    <t>Vetiver</t>
  </si>
  <si>
    <t>Strip kontur dan pengendali erosi</t>
  </si>
  <si>
    <t>Aktifkan bila kemiringan/hidrologi memerlukan; bukan pengganti desain teknik</t>
  </si>
  <si>
    <t>Tithonia</t>
  </si>
  <si>
    <t>Pagar biomassa dan daur ulang hara</t>
  </si>
  <si>
    <t>Perlu pangkas dan benamkan biomassa; cegah penyebaran tidak terkendali</t>
  </si>
  <si>
    <t>Tambahan 5</t>
  </si>
  <si>
    <t>Isi peran</t>
  </si>
  <si>
    <t>Baris cadangan</t>
  </si>
  <si>
    <t>Tambahan 6</t>
  </si>
  <si>
    <t>Tambahan 7</t>
  </si>
  <si>
    <t>Tambahan 8</t>
  </si>
  <si>
    <t>TOTAL SPESIES OPSIONAL/TAMBAHAN</t>
  </si>
  <si>
    <t>B. Produksi, pendapatan, dan biaya panen spesies opsional/tambahan</t>
  </si>
  <si>
    <t>Harga jual dasar</t>
  </si>
  <si>
    <t>Biaya panen/unit</t>
  </si>
  <si>
    <t>Pendapatan T1</t>
  </si>
  <si>
    <t>Pendapatan T2</t>
  </si>
  <si>
    <t>Pendapatan T3</t>
  </si>
  <si>
    <t>Pendapatan T4</t>
  </si>
  <si>
    <t>Pendapatan T5</t>
  </si>
  <si>
    <t>Pendapatan T6</t>
  </si>
  <si>
    <t>Pendapatan T7</t>
  </si>
  <si>
    <t>Pendapatan T8</t>
  </si>
  <si>
    <t>Pendapatan T9</t>
  </si>
  <si>
    <t>Pendapatan T10</t>
  </si>
  <si>
    <t>Biaya panen T1</t>
  </si>
  <si>
    <t>Biaya panen T2</t>
  </si>
  <si>
    <t>Biaya panen T3</t>
  </si>
  <si>
    <t>Biaya panen T4</t>
  </si>
  <si>
    <t>Biaya panen T5</t>
  </si>
  <si>
    <t>Biaya panen T6</t>
  </si>
  <si>
    <t>Biaya panen T7</t>
  </si>
  <si>
    <t>Biaya panen T8</t>
  </si>
  <si>
    <t>Biaya panen T9</t>
  </si>
  <si>
    <t>Biaya panen T10</t>
  </si>
  <si>
    <t>Hasil kg layak jual/tanaman: panen utama + ratoon; harga tingkat kebun, tanpa premi</t>
  </si>
  <si>
    <t>Pueraria + Arachis</t>
  </si>
  <si>
    <t>Tidak ada pendapatan langsung; manfaat hanya berupa penghematan HOK yang diberi batas konservatif</t>
  </si>
  <si>
    <t>TOTAL PENDAPATAN SPESIES OPSIONAL/TAMBAHAN</t>
  </si>
  <si>
    <t>TOTAL BIAYA PANEN SPESIES OPSIONAL/TAMBAHAN</t>
  </si>
  <si>
    <t>C. Input pertanian spesies opsional/tambahan</t>
  </si>
  <si>
    <t>Nama input/komoditas</t>
  </si>
  <si>
    <t>Basis hidup</t>
  </si>
  <si>
    <t>Harga per basis</t>
  </si>
  <si>
    <t>Dosis T1</t>
  </si>
  <si>
    <t>Dosis T2</t>
  </si>
  <si>
    <t>Dosis T3</t>
  </si>
  <si>
    <t>Dosis T4</t>
  </si>
  <si>
    <t>Dosis T5</t>
  </si>
  <si>
    <t>Dosis T6</t>
  </si>
  <si>
    <t>Dosis T7</t>
  </si>
  <si>
    <t>Dosis T8</t>
  </si>
  <si>
    <t>Dosis T9</t>
  </si>
  <si>
    <t>Dosis T10</t>
  </si>
  <si>
    <t>Biaya T1</t>
  </si>
  <si>
    <t>Biaya T2</t>
  </si>
  <si>
    <t>Biaya T3</t>
  </si>
  <si>
    <t>Biaya T4</t>
  </si>
  <si>
    <t>Biaya T5</t>
  </si>
  <si>
    <t>Biaya T6</t>
  </si>
  <si>
    <t>Biaya T7</t>
  </si>
  <si>
    <t>Biaya T8</t>
  </si>
  <si>
    <t>Biaya T9</t>
  </si>
  <si>
    <t>Biaya T10</t>
  </si>
  <si>
    <t>Biaya input Rp/tanaman/tahun; total biaya per ha tetap dibandingkan benchmark usahatani</t>
  </si>
  <si>
    <t>Biaya input per pohon/tahun; belum termasuk penyadapan</t>
  </si>
  <si>
    <t>TOTAL BIAYA INPUT SPESIES OPSIONAL/TAMBAHAN</t>
  </si>
  <si>
    <t>D. HOK pemeliharaan spesies opsional/tambahan</t>
  </si>
  <si>
    <t>Aktivitas/komoditas</t>
  </si>
  <si>
    <t>HOK/basis T1</t>
  </si>
  <si>
    <t>HOK/basis T2</t>
  </si>
  <si>
    <t>HOK/basis T3</t>
  </si>
  <si>
    <t>HOK/basis T4</t>
  </si>
  <si>
    <t>HOK/basis T5</t>
  </si>
  <si>
    <t>HOK/basis T6</t>
  </si>
  <si>
    <t>HOK/basis T7</t>
  </si>
  <si>
    <t>HOK/basis T8</t>
  </si>
  <si>
    <t>HOK/basis T9</t>
  </si>
  <si>
    <t>HOK/basis T10</t>
  </si>
  <si>
    <t>HOK T1</t>
  </si>
  <si>
    <t>HOK T2</t>
  </si>
  <si>
    <t>HOK T3</t>
  </si>
  <si>
    <t>HOK T4</t>
  </si>
  <si>
    <t>HOK T5</t>
  </si>
  <si>
    <t>HOK T6</t>
  </si>
  <si>
    <t>HOK T7</t>
  </si>
  <si>
    <t>HOK T8</t>
  </si>
  <si>
    <t>HOK T9</t>
  </si>
  <si>
    <t>HOK T10</t>
  </si>
  <si>
    <t>Pemeliharaan berkerapatan rendah; HOK tetap perlu divalidasi pada demplot</t>
  </si>
  <si>
    <t>Pembentukan penutup tanah dan penyiangan lingkar batang; kebutuhan turun setelah tutupan terbentuk</t>
  </si>
  <si>
    <t>Penaburan, pemotongan, dan pembenaman Crotalaria; aktifkan hanya bila sesuai diagnosis</t>
  </si>
  <si>
    <t>Pengendalian sulur Mucuna agar tidak memanjat tanaman inti</t>
  </si>
  <si>
    <t>Pemeliharaan strip vetiver setelah pembentukan</t>
  </si>
  <si>
    <t>Pemangkasan Tithonia dan pengembalian biomassa sebagai mulsa</t>
  </si>
  <si>
    <t>TOTAL HOK SPESIES OPSIONAL/TAMBAHAN</t>
  </si>
  <si>
    <t>E. CAPEX tambahan — baris cadangan</t>
  </si>
  <si>
    <t>Nama biaya</t>
  </si>
  <si>
    <t>Rasio per basis</t>
  </si>
  <si>
    <t>CAPEX tambahan 1</t>
  </si>
  <si>
    <t>Nilai tetap</t>
  </si>
  <si>
    <t>paket</t>
  </si>
  <si>
    <t>CAPEX tambahan 2</t>
  </si>
  <si>
    <t>CAPEX tambahan 3</t>
  </si>
  <si>
    <t>CAPEX tambahan 4</t>
  </si>
  <si>
    <t>CAPEX tambahan 5</t>
  </si>
  <si>
    <t>CAPEX tambahan 6</t>
  </si>
  <si>
    <t>CAPEX tambahan 7</t>
  </si>
  <si>
    <t>CAPEX tambahan 8</t>
  </si>
  <si>
    <t>CAPEX tambahan 9</t>
  </si>
  <si>
    <t>CAPEX tambahan 10</t>
  </si>
  <si>
    <t>TOTAL CAPEX TAMBAHAN</t>
  </si>
  <si>
    <t>F. OPEX tambahan — baris cadangan</t>
  </si>
  <si>
    <t>Tahun mulai</t>
  </si>
  <si>
    <t>Tahun akhir</t>
  </si>
  <si>
    <t>OPEX tambahan 1</t>
  </si>
  <si>
    <t>OPEX tambahan 2</t>
  </si>
  <si>
    <t>OPEX tambahan 3</t>
  </si>
  <si>
    <t>OPEX tambahan 4</t>
  </si>
  <si>
    <t>OPEX tambahan 5</t>
  </si>
  <si>
    <t>OPEX tambahan 6</t>
  </si>
  <si>
    <t>OPEX tambahan 7</t>
  </si>
  <si>
    <t>OPEX tambahan 8</t>
  </si>
  <si>
    <t>OPEX tambahan 9</t>
  </si>
  <si>
    <t>OPEX tambahan 10</t>
  </si>
  <si>
    <t>TOTAL OPEX TAMBAHAN</t>
  </si>
  <si>
    <t>G. Pendapatan tambahan — baris cadangan</t>
  </si>
  <si>
    <t>Nama pendapatan</t>
  </si>
  <si>
    <t>Volume per basis</t>
  </si>
  <si>
    <t>Harga jual</t>
  </si>
  <si>
    <t>Pendapatan tambahan 1</t>
  </si>
  <si>
    <t>Pendapatan tambahan 2</t>
  </si>
  <si>
    <t>Pendapatan tambahan 3</t>
  </si>
  <si>
    <t>Pendapatan tambahan 4</t>
  </si>
  <si>
    <t>Pendapatan tambahan 5</t>
  </si>
  <si>
    <t>Pendapatan tambahan 6</t>
  </si>
  <si>
    <t>Pendapatan tambahan 7</t>
  </si>
  <si>
    <t>Pendapatan tambahan 8</t>
  </si>
  <si>
    <t>Pendapatan tambahan 9</t>
  </si>
  <si>
    <t>Pendapatan tambahan 10</t>
  </si>
  <si>
    <t>TOTAL PENDAPATAN TAMBAHAN</t>
  </si>
  <si>
    <t>H. Peta ketergantungan model</t>
  </si>
  <si>
    <t>Input yang diubah</t>
  </si>
  <si>
    <t>Penggerak langsung</t>
  </si>
  <si>
    <t>Dampak berikutnya</t>
  </si>
  <si>
    <t>Lembar keluaran</t>
  </si>
  <si>
    <t>Cara menonaktifkan</t>
  </si>
  <si>
    <t>Cara menambah</t>
  </si>
  <si>
    <t>Peringatan</t>
  </si>
  <si>
    <t>Areal efektif, populasi, HOK, sarana</t>
  </si>
  <si>
    <t>CAPEX, OPEX, produksi, arus kas</t>
  </si>
  <si>
    <t>01, 04–13</t>
  </si>
  <si>
    <t>Tidak disarankan 0</t>
  </si>
  <si>
    <t>Ubah 02!C6</t>
  </si>
  <si>
    <t>Uji ulang tata ruang</t>
  </si>
  <si>
    <t>Terhubung</t>
  </si>
  <si>
    <t>Jumlah lokasi</t>
  </si>
  <si>
    <t>Duplikasi akses, sarana, alat, staf</t>
  </si>
  <si>
    <t>CAPEX/OPEX skenario</t>
  </si>
  <si>
    <t>08, 09, 12</t>
  </si>
  <si>
    <t>Pilih 1–4</t>
  </si>
  <si>
    <t>Ubah 02!C8</t>
  </si>
  <si>
    <t>Lokasi terpisah menambah perimeter</t>
  </si>
  <si>
    <t>Kerapatan tanaman</t>
  </si>
  <si>
    <t>Populasi dan bibit</t>
  </si>
  <si>
    <t>Input, HOK, hasil</t>
  </si>
  <si>
    <t>04, 07, 10</t>
  </si>
  <si>
    <t>Aktif=0</t>
  </si>
  <si>
    <t>Ubah 02!C26:C31</t>
  </si>
  <si>
    <t>Cek kompetisi tajuk</t>
  </si>
  <si>
    <t>Nanas/penutup tanah</t>
  </si>
  <si>
    <t>Bibit, HOK, input, hasil/penghematan</t>
  </si>
  <si>
    <t>CAPEX, OPEX, pendapatan</t>
  </si>
  <si>
    <t>17 lalu 08–11</t>
  </si>
  <si>
    <t>02!C156:C157=0</t>
  </si>
  <si>
    <t>02!C156:C157=1</t>
  </si>
  <si>
    <t>Validasi cahaya, kompetisi, dan pasar</t>
  </si>
  <si>
    <t>Biaya per baris</t>
  </si>
  <si>
    <t>Total dan arus kas</t>
  </si>
  <si>
    <t>06–11, 17</t>
  </si>
  <si>
    <t>Aktif=0 atau harga=0</t>
  </si>
  <si>
    <t>Isi baris cadangan</t>
  </si>
  <si>
    <t>Gunakan penawaran</t>
  </si>
  <si>
    <t>Variabel tambahan</t>
  </si>
  <si>
    <t>Basis × rasio × harga</t>
  </si>
  <si>
    <t>CAPEX/OPEX/pendapatan</t>
  </si>
  <si>
    <t>17</t>
  </si>
  <si>
    <t>Jangan hapus baris total</t>
  </si>
  <si>
    <t>Kurva hasil</t>
  </si>
  <si>
    <t>Volume jual</t>
  </si>
  <si>
    <t>Pendapatan dan biaya panen</t>
  </si>
  <si>
    <t>10, 17</t>
  </si>
  <si>
    <t>Isi T1–T10</t>
  </si>
  <si>
    <t>Kalibrasi data lapang</t>
  </si>
  <si>
    <t>Panduan Membaca Setiap Sheet</t>
  </si>
  <si>
    <t>Panduan ini memakai mode dua penggerak: luas kebun dan jumlah lokasi. Asumsi harga/biaya tetap bisa diubah secara opsional; semua output lainnya mengikuti formula.</t>
  </si>
  <si>
    <t>Alur penggunaan yang disarankan</t>
  </si>
  <si>
    <t>Orientasi</t>
  </si>
  <si>
    <t>00_Cover → 18_Panduan_Per_Sheet → 01_Dashboard</t>
  </si>
  <si>
    <t>Pahami ruang lingkup, batasan, cara kerja model, dan posisi ekonomi awal sebelum mengubah angka.</t>
  </si>
  <si>
    <t>Tetapkan dasar</t>
  </si>
  <si>
    <t>02_Assumptions → 03_Land_Screening → 04_Planting_Design</t>
  </si>
  <si>
    <t>Masukkan penggerak proyek, saring calon lahan, lalu periksa desain populasi agroforestri terpadu.</t>
  </si>
  <si>
    <t>Bangun anggaran</t>
  </si>
  <si>
    <t>05_Workplan_Labor → 06_Equipment_Tools → 07_Agri_Inputs → 08_CAPEX_RAB → 09_OPEX_10Y → 14_Certification_ESG → 17_Model_Fleksibel → 20_Operasi_Efisien</t>
  </si>
  <si>
    <t>Validasi volume kerja, alat, input, investasi, biaya tahunan, kewajiban sertifikasi, dan kebutuhan tambahan.</t>
  </si>
  <si>
    <t>Uji hasil dan putuskan</t>
  </si>
  <si>
    <t>10_Production_Revenue → 11_Cash_Flow → 19_Optimasi_10Tahun → 21_Pendapatan_Tambahan → 13_Sensitivity → 15_Checks → 16/22_Sources</t>
  </si>
  <si>
    <t>Nilai produksi, arus kas, biaya fragmentasi, ketahanan skenario, integritas rumus, dan kekuatan bukti.</t>
  </si>
  <si>
    <t>No.</t>
  </si>
  <si>
    <t>Nama sheet</t>
  </si>
  <si>
    <t>Tujuan/fungsi</t>
  </si>
  <si>
    <t>Cara membaca</t>
  </si>
  <si>
    <t>Input dan keterkaitan</t>
  </si>
  <si>
    <t>Keputusan/peringatan</t>
  </si>
  <si>
    <t>00_Cover</t>
  </si>
  <si>
    <t>Halaman pembuka dan batas penggunaan model.</t>
  </si>
  <si>
    <t>Baca tujuan, konsep agroforestri terpadu, legenda warna, cara penggunaan, dan pengecualian. Sheet ini menjelaskan apa yang dihitung dan apa yang belum termasuk.</t>
  </si>
  <si>
    <t>Tidak ada perhitungan utama yang perlu diubah di sini. Cover mengarahkan pengguna ke asumsi, pemeriksaan, sumber, dan panduan.</t>
  </si>
  <si>
    <t>Pastikan seluruh pengguna menyepakati ruang lingkup sebelum menggunakan angka untuk persetujuan investasi.</t>
  </si>
  <si>
    <t>01_Dashboard</t>
  </si>
  <si>
    <t>Ringkasan eksekutif investasi dan operasi.</t>
  </si>
  <si>
    <t>Mulai dari luas bruto/efektif, investasi awal, pendanaan puncak, NPV/IRR, populasi, dan kru puncak. Lanjutkan ke grafik pendapatan, arus kas tahunan, arus kas kumulatif, serta perbandingan satu dan empat lokasi.</t>
  </si>
  <si>
    <t>Menarik hasil dari 02, 04, 05, 08, 09, 10, 11, dan 12. Tidak untuk diisi manual.</t>
  </si>
  <si>
    <t>NPV negatif atau pengembalian lewat Tahun 10 menunjukkan kebutuhan optimasi desain, produktivitas, harga, pasar, atau horizon—bukan alasan menghapus drainase, biosekuriti, atau mutu bibit.</t>
  </si>
  <si>
    <t>02_Assumptions</t>
  </si>
  <si>
    <t>Pusat kendali seluruh penggerak model.</t>
  </si>
  <si>
    <t>Baca per kelompok: proyek/finansial, luas, kepadatan, harga bibit dan hasil, tenaga kerja, produktivitas, input, sertifikasi, serta faktor skenario. Sel kuning dengan angka biru adalah input; sel hijau adalah rumus tertaut.</t>
  </si>
  <si>
    <t>Luas bruto, area efektif, jumlah lokasi, kerapatan, harga, upah, inflasi, dosis, survival, yield, dan fase sintetis mengubah hampir seluruh sheet.</t>
  </si>
  <si>
    <t>Ganti asumsi berkeyakinan rendah dengan hasil survei, uji laboratorium, kontrak pembeli, dan penawaran pemasok. Hindari menimpa sel formula.</t>
  </si>
  <si>
    <t>03_Land_Screening</t>
  </si>
  <si>
    <t>Menyeleksi calon lahan dan menghentikan lokasi berisiko tinggi.</t>
  </si>
  <si>
    <t>Isi skor 1–5 hanya jika tersedia bukti. Bandingkan skor berbobot calon A–D, lalu periksa gerbang legal, HCV/hutan, banjir, air, penyakit pisang, dan lereng. Bagian terakhir menunjukkan proses uji tuntas empat minggu.</t>
  </si>
  <si>
    <t>Skor dan status calon lahan diisi pengguna. Hasilnya menjadi dasar sebelum biaya pembukaan, survei detail, dan desain final dikeluarkan.</t>
  </si>
  <si>
    <t>Setiap gerbang Tidak Layak mengalahkan skor agregat. Tidak ada calon yang boleh dianggap siap hanya karena nilai totalnya tinggi.</t>
  </si>
  <si>
    <t>04_Planting_Design</t>
  </si>
  <si>
    <t>Mengubah luas menjadi populasi dan kebutuhan bibit dalam satu matriks agroforestri.</t>
  </si>
  <si>
    <t>Periksa area efektif, kerapatan dan populasi kelapa, durian, pisang, gamal, Indigofera, serai wangi, penutup tanah, serta opsi. Lihat kebutuhan cadangan, bibit dibeli, tanaman hidup, harga, dan total pengadaan.</t>
  </si>
  <si>
    <t>Mengikuti luas efektif, kerapatan, cadangan bibit, survival, dan harga dari 02 serta opsi dari 17. Mengalir ke HOK, input, CAPEX, produksi, dan revenue.</t>
  </si>
  <si>
    <t>Populasi adalah rancangan awal. Finalisasi jarak dan posisi di lapangan berdasarkan kontur, cahaya, air, akses, dan ukuran tajuk dewasa; bukan membagi kebun menjadi blok komoditas.</t>
  </si>
  <si>
    <t>05_Workplan_Labor</t>
  </si>
  <si>
    <t>Menghitung urutan pekerjaan, HOK, durasi, dan kebutuhan kru.</t>
  </si>
  <si>
    <t>Baca pekerjaan Tahun 0 dari asesmen sampai penanaman, kemudian HOK bulanan dan pemeliharaan tahunan. Total HOK dibagi hari kerja untuk memperoleh kru rata-rata; kru puncak memasukkan faktor kebutuhan puncak.</t>
  </si>
  <si>
    <t>Jumlah pekerjaan mengikuti luas, populasi, unit infrastruktur, dan lokasi. HOK/unit, upah, hari kerja, serta faktor puncak berasal dari 02 dan baris tambahan dari 17.</t>
  </si>
  <si>
    <t>Gunakan untuk rencana rekrutmen, kontraktor, mobilisasi, dan kalender kerja. Pastikan tarif kontraktor yang sudah termasuk tenaga tidak dihitung kembali sebagai HOK langsung.</t>
  </si>
  <si>
    <t>06_Equipment_Tools</t>
  </si>
  <si>
    <t>Merinci alat produksi, mesin, kendaraan, APD, dan penggantian.</t>
  </si>
  <si>
    <t>Untuk setiap item, lihat kategori, fungsi, jumlah per 100 ha, jumlah minimum per lokasi, unit, harga, total satu/empat lokasi, umur pakai, siklus penggantian, dan kenaikan akibat lokasi tambahan.</t>
  </si>
  <si>
    <t>Jumlah mengikuti luas dan lokasi; harga serta umur pakai dapat diubah. Total alat mengalir ke CAPEX dan penggantian/perawatan OPEX.</t>
  </si>
  <si>
    <t>Tentukan beli atau sewa berdasarkan jam pakai, dukungan servis, akses suku cadang, dan risiko alat menganggur. Validasi spesifikasi dengan kondisi lereng, jalan, dan air.</t>
  </si>
  <si>
    <t>07_Agri_Inputs</t>
  </si>
  <si>
    <t>Menghitung input pertanian per tahun secara terperinci.</t>
  </si>
  <si>
    <t>Baca komoditas, jenis input, alasan penggunaan, dosis, frekuensi, harga, serta jumlah dan biaya Tahun 1–10. Baris total merangkum kebutuhan input tahunan seluruh sistem agroforestri.</t>
  </si>
  <si>
    <t>Volume mengikuti luas/populasi yang memenuhi syarat, tanaman hidup, dosis, frekuensi, fase umur, inflasi, dan penghentian input sintetis. Opsi aktif dari 17 ikut masuk.</t>
  </si>
  <si>
    <t>Dosis adalah allowance perencanaan. Uji tanah, daun, air, riwayat lahan, diagnosis OPT, label resmi, masa tunggu, dan standar organik harus menentukan aplikasi nyata.</t>
  </si>
  <si>
    <t>08_CAPEX_RAB</t>
  </si>
  <si>
    <t>Menggabungkan seluruh investasi awal proyek.</t>
  </si>
  <si>
    <t>Telaah per tahap: lahan/asesmen, survei, persiapan, tanah, jalan/drainase, batas, fasilitas, mobilisasi, penanaman, alat, sistem, dan cadangan. Bandingkan total satu lokasi, empat lokasi, dan skenario terpilih.</t>
  </si>
  <si>
    <t>Menarik jumlah dan harga dari 02, 04, 05, 06, 14, dan 17. Jumlah lokasi menggandakan komponen yang minimum per lokasi atau mengikuti perimeter/mobilisasi.</t>
  </si>
  <si>
    <t>Biaya lahan masih Rp0 sampai ada objek nyata. Gunakan BOQ teknik dan sedikitnya tiga quotation untuk item material; cegah duplikasi tenaga, alat, atau fasilitas.</t>
  </si>
  <si>
    <t>09_OPEX_10Y</t>
  </si>
  <si>
    <t>Menghitung biaya operasional nominal selama 10 tahun.</t>
  </si>
  <si>
    <t>Baca total tahunan menurut staf tetap, HOK, input, perawatan, penggantian alat, pengendalian gulma, panen, sertifikasi, serta biaya tambahan. Bagian staf menunjukkan jabatan dan perbedaan kebutuhan satu/empat lokasi.</t>
  </si>
  <si>
    <t>Mengikuti upah, inflasi, jumlah lokasi, HOK, input, aset, panen, sertifikasi, dan baris tambahan aktif. Menjadi pengurang pada arus kas.</t>
  </si>
  <si>
    <t>Bedakan biaya tetap, biaya berbasis luas, biaya berbasis lokasi, dan biaya variabel panen. Gunakan angka nominal untuk kebutuhan kas dan jangan mencampurnya dengan harga riil tanpa penyesuaian.</t>
  </si>
  <si>
    <t>10_Production_Revenue</t>
  </si>
  <si>
    <t>Memproyeksikan hasil dan pendapatan tiap komoditas.</t>
  </si>
  <si>
    <t>Untuk pisang, kelapa, durian, dan opsi tambahan, baca populasi hidup, hasil per tanaman/rumpun menurut umur, harga tingkat kebun, pendapatan per tahun, serta biaya panen variabel.</t>
  </si>
  <si>
    <t>Mengikuti tanaman hidup dari 04/17, kurva hasil, harga, eskalasi, survival, dan status aktif. Total pendapatan masuk ke 11; biaya panen masuk ke OPEX.</t>
  </si>
  <si>
    <t>Tidak ada premi organik dalam kasus dasar. Konfirmasi varietas, naungan, pola produksi, mutu, kehilangan panen, kapasitas pasar, dan kontrak offtake sebelum mengandalkan proyeksi.</t>
  </si>
  <si>
    <t>11_Cash_Flow</t>
  </si>
  <si>
    <t>Mengukur kebutuhan kas dan kelayakan finansial proyek.</t>
  </si>
  <si>
    <t>Arus kas proyek = pendapatan dikurangi OPEX dan CAPEX. Baca arus kas tahunan, kumulatif, NPV pada tingkat diskonto, IRR bila tersedia, tahun pengembalian, pendanaan puncak, dan rasio manfaat-biaya terdiskonto.</t>
  </si>
  <si>
    <t>Menarik CAPEX dari 08, OPEX dari 09, revenue dari 10, dan tingkat diskonto dari 02. Semua perubahan penggerak utama mengalir ke hasil ini.</t>
  </si>
  <si>
    <t>Gunakan NPV untuk keputusan ekonomi dan pendanaan puncak untuk kebutuhan modal. Jika arus kas tidak berganti tanda secara valid, IRR dapat tidak bermakna; jangan memaksakan interpretasi.</t>
  </si>
  <si>
    <t>12_Scenario_1v4</t>
  </si>
  <si>
    <t>Mengisolasi biaya fragmentasi satu lokasi versus empat lokasi.</t>
  </si>
  <si>
    <t>Bandingkan investasi awal, pendapatan, OPEX, NPV, IRR, tahun pengembalian, pendanaan puncak, serta arus kas tahunan/kumulatif kedua konfigurasi.</t>
  </si>
  <si>
    <t>Produksi agronomis sengaja dibuat sama; perbedaan terutama berasal dari perimeter, fasilitas, alat minimum, mobilisasi, staf, keamanan, dan logistik per lokasi.</t>
  </si>
  <si>
    <t>Jika empat lokasi dipilih karena ketersediaan lahan, manfaat pengurangan risiko atau akses pasar harus dinilai terpisah karena belum dimonetisasi otomatis dalam model.</t>
  </si>
  <si>
    <t>13_Sensitivity</t>
  </si>
  <si>
    <t>Menguji ketahanan NPV terhadap harga dan hasil.</t>
  </si>
  <si>
    <t>Pilih baris pengali hasil dan kolom pengali harga. Sel perpotongan menunjukkan NPV bila kedua perubahan terjadi bersamaan; warna merah-kuning-hijau membantu membaca zona risiko dan kelayakan.</t>
  </si>
  <si>
    <t>Tabel menghitung ulang pendapatan dan biaya panen variabel dari skenario satu lokasi. Kasus dasar berada pada 100% hasil dan 100% harga.</t>
  </si>
  <si>
    <t>Gunakan untuk menetapkan harga minimum kontrak, target hasil, dan margin pengaman. Tabel ini tidak menggantikan skenario penyakit, keterlambatan panen, CAPEX membengkak, atau perubahan kualitas.</t>
  </si>
  <si>
    <t>14_Certification_ESG</t>
  </si>
  <si>
    <t>Merencanakan biaya keberlanjutan, transisi organik, dan audit.</t>
  </si>
  <si>
    <t>Baca setiap alur kerja dari riwayat lahan, rencana pengelolaan, ketertelusuran, pelatihan, laboratorium, biodiversitas, pra-audit, sertifikasi, surveilans, hingga opsi karbon/MRV. Kolom Tahun 0–10 menunjukkan ritme biaya.</t>
  </si>
  <si>
    <t>Dipengaruhi inflasi, luas, tahun akhir input sintetis, masa konversi, dan sakelar Aktif. Total mengalir ke CAPEX/OPEX sesuai periode.</t>
  </si>
  <si>
    <t>Sertifikasi tidak otomatis hanya karena biaya tersedia. Minta LSO menetapkan ruang lingkup, awal konversi, input yang diizinkan, jadwal inspeksi, dan tanggal kelayakan klaim.</t>
  </si>
  <si>
    <t>15_Checks</t>
  </si>
  <si>
    <t>Memastikan rumus dan hubungan utama tetap konsisten.</t>
  </si>
  <si>
    <t>Periksa setiap baris Aktual, Harapan, Selisih, Toleransi, Status, dan Lokasi perbaikan. STATUS MODEL harus PASS sebelum workbook digunakan; baca juga seluruh peringatan yang tidak menggagalkan rumus.</t>
  </si>
  <si>
    <t>Mengawasi konsistensi luas, populasi, CAPEX, arus kas, fase sintetis, biaya lahan, dan panjang proyeksi. Status berubah saat hubungan model rusak.</t>
  </si>
  <si>
    <t>PASS hanya berarti struktur matematika konsisten pada input saat ini. Persetujuan lahan, agronomi, pasar, legal, ESG, dan pembiayaan tetap membutuhkan verifikasi terpisah.</t>
  </si>
  <si>
    <t>16_Sources</t>
  </si>
  <si>
    <t>Mendokumentasikan asal dan kualitas setiap asumsi.</t>
  </si>
  <si>
    <t>Cari ID sumber yang muncul pada 02 atau catatan lain, lalu baca topik, data yang digunakan, judul, URL, tanggal, tingkat keyakinan, dan catatan penerapan.</t>
  </si>
  <si>
    <t>Sumber resmi/teknis memiliki keyakinan lebih tinggi; benchmark retail atau pemasok hanya allowance. Tambahkan baris baru ketika asumsi diperbarui.</t>
  </si>
  <si>
    <t>Simpan hasil laboratorium, quotation, kontrak, peta, dan persetujuan sebagai bukti proyek. Jangan membiarkan harga rendah-keyakinan menjadi dasar persetujuan tanpa validasi.</t>
  </si>
  <si>
    <t>17_Model_Fleksibel</t>
  </si>
  <si>
    <t>Memberi ruang penambahan dan penghapusan variabel tanpa merusak model utama.</t>
  </si>
  <si>
    <t>Bagian A untuk spesies, B untuk kurva hasil dan pendapatan opsi, C untuk HOK, D untuk input, E untuk alat, F untuk staf, G untuk CAPEX, H untuk OPEX, dan I untuk pendapatan tambahan.</t>
  </si>
  <si>
    <t>Isi baris cadangan, tentukan basis/driver, masukkan harga atau dosis, lalu gunakan Aktif=1. Aktif=0 mengeluarkan baris dari total tanpa menghapus referensi.</t>
  </si>
  <si>
    <t>Gunakan driver yang benar—ha bruto, ha efektif, lokasi, populasi, hasil, kru, atau nilai tetap. Jangan menimpa sel formula; bila hubungan kausal baru tidak tersedia, dokumentasikan dan uji pada 15_Checks.</t>
  </si>
  <si>
    <t>19_Optimasi_10Tahun</t>
  </si>
  <si>
    <t>Menggabungkan seluruh penghematan dan pendapatan tambahan ke arus kas 10 tahun.</t>
  </si>
  <si>
    <t>Bandingkan model utama + nanas dengan optimasi; fokus pada kas kumulatif T10, NPV, IRR, pendanaan puncak, dan jembatan pengungkit.</t>
  </si>
  <si>
    <t>Menarik data dari 10, 11, 20, dan 21. Tidak diisi manual.</t>
  </si>
  <si>
    <t>Untung nominal tidak otomatis berarti NPV positif. Jangan menaikkan yield/harga tanpa bukti.</t>
  </si>
  <si>
    <t>20_Operasi_Efisien</t>
  </si>
  <si>
    <t>Menghitung beli/sewa, rightsizing alat, kompos, penutup tanah, PHT, dan sertifikasi kelompok.</t>
  </si>
  <si>
    <t>Ubah sakelar, hari sewa, biaya, share kompos, reduksi gulma/PHT, dan biaya sertifikasi; lihat total penyesuaian tahunan.</t>
  </si>
  <si>
    <t>Mengikuti luas, inflasi, alat dasar, HOK, input, dan tarif sertifikasi.</t>
  </si>
  <si>
    <t>Quotation dan data utilisasi mengalahkan asumsi. Jangan menurunkan keselamatan/biosekuriti.</t>
  </si>
  <si>
    <t>21_Pendapatan_Tambahan</t>
  </si>
  <si>
    <t>Menghitung kacang tanah, produk kelapa reject, lidi, karbon, pendanaan masyarakat, dan ringkasan nanas.</t>
  </si>
  <si>
    <t>Periksa mass balance, harga, yield, haircut, biaya toll-processing, dan expected funding.</t>
  </si>
  <si>
    <t>Area masyarakat fleksibel; pengolahan hanya dari reject; carbon memakai haircut dan agregator.</t>
  </si>
  <si>
    <t>Hibah besar default 0. Kas bankable mengakui grant hanya setelah award.</t>
  </si>
  <si>
    <t>22_Sumber_Optimasi</t>
  </si>
  <si>
    <t>Mendokumentasikan bukti dan tingkat keyakinan seluruh pengungkit optimasi.</t>
  </si>
  <si>
    <t>Cari ID OPT/ASM dari sheet 20–21, baca URL, cara penerapan, dan validasi wajib.</t>
  </si>
  <si>
    <t>Tidak ada rumus utama; tambahkan hasil quotation, kontrak, demplot, dan MRV.</t>
  </si>
  <si>
    <t>ASM-QUOTE/RISK/PILOT bukan fakta pasar dan tidak boleh dipakai sebagai approval final.</t>
  </si>
  <si>
    <t>Prinsip penggunaan setelah optimasi</t>
  </si>
  <si>
    <t>Target untung Tahun 10 dibangun dari penghematan yang dapat ditelusuri dan pendapatan yang dikenai biaya, mass balance, serta haircut risiko. Untuk keputusan bankable, nolkan pendanaan yang belum dikontrak, ganti quotation rendah-keyakinan, dan jalankan kembali 19_Optimasi_10Tahun serta 15_Checks.</t>
  </si>
  <si>
    <t>Optimasi CAPEX dan OPEX Operasional</t>
  </si>
  <si>
    <t>Metode beli/sewa dan jumlah alat dipilih otomatis dari luas serta jumlah lokasi. Harga beli dan tarif sewa tetap dapat diedit sebagai asumsi opsional.</t>
  </si>
  <si>
    <t>A. Opsi beli atau sewa untuk alat dengan pasar sewa</t>
  </si>
  <si>
    <t>Alat/paket</t>
  </si>
  <si>
    <t>Nilai beli awal</t>
  </si>
  <si>
    <t>Sewa per hari</t>
  </si>
  <si>
    <t>Hari T0</t>
  </si>
  <si>
    <t>Hari T1</t>
  </si>
  <si>
    <t>Hari T2</t>
  </si>
  <si>
    <t>Hari T3</t>
  </si>
  <si>
    <t>Hari T4</t>
  </si>
  <si>
    <t>Hari T5</t>
  </si>
  <si>
    <t>Hari T6</t>
  </si>
  <si>
    <t>Hari T7</t>
  </si>
  <si>
    <t>Hari T8</t>
  </si>
  <si>
    <t>Hari T9</t>
  </si>
  <si>
    <t>Hari T10</t>
  </si>
  <si>
    <t>CAPEX T0 dipilih</t>
  </si>
  <si>
    <t>Sewa T1–T10</t>
  </si>
  <si>
    <t>Biaya beli 10Y</t>
  </si>
  <si>
    <t>Biaya sewa 10Y</t>
  </si>
  <si>
    <t>Lebih ekonomis</t>
  </si>
  <si>
    <t>Sumber/catatan</t>
  </si>
  <si>
    <t>Traktor 45 HP + implement + trailer</t>
  </si>
  <si>
    <t>Tarif traktor katalog Rp2,775 jt/hari; Rp3,2 jt adalah allowance termasuk implement/mobilisasi—minta quotation Banyumas</t>
  </si>
  <si>
    <t>Genset portabel 2 unit</t>
  </si>
  <si>
    <t>Sewa hanya saat gangguan/pekerjaan lapangan; listrik tetap memakai jaringan/solar dasar</t>
  </si>
  <si>
    <t>Pickup 4x4 sebanyak 2 unit</t>
  </si>
  <si>
    <t>Sewa dihitung unit-hari; pemakaian harian membuat pembelian lebih murah pada horizon 10 tahun</t>
  </si>
  <si>
    <t>B. Penyesuaian jumlah alat berdasarkan kru puncak dan kebutuhan satu lokasi</t>
  </si>
  <si>
    <t>Item</t>
  </si>
  <si>
    <t>Jumlah dasar</t>
  </si>
  <si>
    <t>Jumlah optimasi</t>
  </si>
  <si>
    <t>Harga/unit</t>
  </si>
  <si>
    <t>Nilai dasar</t>
  </si>
  <si>
    <t>Nilai optimasi</t>
  </si>
  <si>
    <t>Penghematan CAPEX</t>
  </si>
  <si>
    <t>Batas: jumlah optimasi dihitung dari kru puncak, luas, dan jumlah lokasi; angka ini bukan pengurangan standar keselamatan. Setiap pekerja aktif wajib menerima APD sesuai tugas dan jumlah harus dinaikkan bila pekerjaan berlangsung serempak.</t>
  </si>
  <si>
    <t>APD lengkap</t>
  </si>
  <si>
    <t>Radio dua arah</t>
  </si>
  <si>
    <t>Kit pH/EC/kelembapan</t>
  </si>
  <si>
    <t>GPS genggam</t>
  </si>
  <si>
    <t>TOTAL PENGHEMATAN JUMLAH ALAT</t>
  </si>
  <si>
    <t>C. Penggerak efisiensi kompos, penutup tanah, PHT, dan fasilitas modular</t>
  </si>
  <si>
    <t>Sumber ID</t>
  </si>
  <si>
    <t>Keyakinan</t>
  </si>
  <si>
    <t>Dampak T0</t>
  </si>
  <si>
    <t>Fasilitas kompos: lantai, atap, drainase lindi, ayakan/alat balik</t>
  </si>
  <si>
    <t>OPT09</t>
  </si>
  <si>
    <t>Shredder Rp85 juta sudah ada pada CAPEX dasar; dapatkan tiga quotation</t>
  </si>
  <si>
    <t>Biaya kas kompos internal</t>
  </si>
  <si>
    <t>ASM-QUOTE</t>
  </si>
  <si>
    <t>Bahan biomassa kebun + bahan kaya N lokal; belum termasuk biaya yang sudah ada</t>
  </si>
  <si>
    <t>Proporsi area tertutup Pueraria/Arachis</t>
  </si>
  <si>
    <t>% efektif</t>
  </si>
  <si>
    <t>OPT05</t>
  </si>
  <si>
    <t>Sama dengan 57,2 ha dari 88 ha efektif</t>
  </si>
  <si>
    <t>Efisiensi fasilitas modular</t>
  </si>
  <si>
    <t>Rp T0</t>
  </si>
  <si>
    <t>Target penghematan basecamp, gudang, air, dan power; hanya sah setelah BOQ/quotation</t>
  </si>
  <si>
    <t>Sakelar PHT berbasis ambang</t>
  </si>
  <si>
    <t>OPT10</t>
  </si>
  <si>
    <t>Mengurangi pemakaian allowance semprot; monitoring dan biosekuriti tetap</t>
  </si>
  <si>
    <t>Sakelar kompos internal</t>
  </si>
  <si>
    <t>Penghematan mulai T2; mutu wajib diuji</t>
  </si>
  <si>
    <t>Sakelar penutup tanah</t>
  </si>
  <si>
    <t>Penghematan HOK mulai setelah tutupan terbentuk</t>
  </si>
  <si>
    <t>Komponen</t>
  </si>
  <si>
    <t>Proporsi kompos internal</t>
  </si>
  <si>
    <t>Penghematan kompos/pukan</t>
  </si>
  <si>
    <t>Reduksi HOK gulma</t>
  </si>
  <si>
    <t>Penghematan penyiangan</t>
  </si>
  <si>
    <t>Reduksi allowance PHT</t>
  </si>
  <si>
    <t>Penghematan PHT</t>
  </si>
  <si>
    <t>Penghematan perawatan alat</t>
  </si>
  <si>
    <t>TOTAL EFISIENSI OPEX NON-SERTIFIKASI</t>
  </si>
  <si>
    <t>D. Sertifikasi kelompok/ICS yang disederhanakan tetapi tetap auditable</t>
  </si>
  <si>
    <t>Dasar biaya eksternal: tarif inti LeSOS sekitar Rp11,15 juta, ditambah hari inspektor, perjalanan, akomodasi, laboratorium, dan surveilans. Model memakai allowance Rp35 juta untuk audit sertifikasi serta biaya internal ICS/traceability terpisah. Ini menyederhanakan administrasi, bukan menghapus bukti, inspeksi internal, pengujian risiko, atau kewajiban LSO.</t>
  </si>
  <si>
    <t>Riwayat lahan dan peta awal</t>
  </si>
  <si>
    <t>ICS/rencana pengelolaan</t>
  </si>
  <si>
    <t>Ketertelusuran sederhana</t>
  </si>
  <si>
    <t>Pelatihan tahunan</t>
  </si>
  <si>
    <t>Uji lab berbasis risiko</t>
  </si>
  <si>
    <t>Biodiversitas dan safeguard</t>
  </si>
  <si>
    <t>Audit sertifikasi LSO</t>
  </si>
  <si>
    <t>GIS/drone tahunan</t>
  </si>
  <si>
    <t>TOTAL SERTIFIKASI OPTIMASI</t>
  </si>
  <si>
    <t>BASELINE WORKBOOK</t>
  </si>
  <si>
    <t>PENGHEMATAN SERTIFIKASI</t>
  </si>
  <si>
    <t>E. Ringkasan penyesuaian biaya untuk skenario optimasi</t>
  </si>
  <si>
    <t>CAPEX alat yang dihindari</t>
  </si>
  <si>
    <t>CAPEX rightsizing/fasilitas/sertifikasi</t>
  </si>
  <si>
    <t>CAPEX sewa pra-operasi + fasilitas kompos</t>
  </si>
  <si>
    <t>Penghematan penggantian alat</t>
  </si>
  <si>
    <t>OPEX sewa alat</t>
  </si>
  <si>
    <t>TOTAL PENGHEMATAN OPEX</t>
  </si>
  <si>
    <t>Pendapatan Tambahan dan Diversifikasi Produk</t>
  </si>
  <si>
    <t>Nanas aktif pada model utama; sheet ini menambahkan kacang tanah, pemanfaatan kelapa grade-B, lidi, carbon credit agregat, serta pendanaan masyarakat. Mass balance mencegah buah kelapa yang sama dihitung sebagai kelapa bulat dan produk olahan.</t>
  </si>
  <si>
    <t>A. Program masyarakat dan tanaman sela pangan</t>
  </si>
  <si>
    <t>Validasi</t>
  </si>
  <si>
    <t>Pendanaan masyarakat diperlakukan sebagai pendapatan bersyarat dengan haircut 50% dan batas Rp35 juta/tahun selama T1–T3. Nilai besar LCDI-ITF sengaja nonaktif: program 2026 memang membuka AFOLU dan batas proposal hampir Rp5 miliar, tetapi komposisi pembiayaannya dominan CAPEX dan selektif. Jangan menggunakan expected value sebagai jaminan pinjaman.</t>
  </si>
  <si>
    <t>Proporsi lahan dikelola bersama masyarakat</t>
  </si>
  <si>
    <t>Dapat diubah; seluruh kebun tetap satu matriks agroforestri</t>
  </si>
  <si>
    <t>Perjanjian peran, upah, hak hasil, dan safeguard</t>
  </si>
  <si>
    <t>Proporsi lorong cukup terbuka untuk kacang tanah</t>
  </si>
  <si>
    <t>% area masyarakat</t>
  </si>
  <si>
    <t>Hanya Tahun 1–2 sebelum naungan menutup</t>
  </si>
  <si>
    <t>Demplot, cahaya, erosi, rotasi penyakit</t>
  </si>
  <si>
    <t>Produktivitas kacang tanah</t>
  </si>
  <si>
    <t>t/ha/musim</t>
  </si>
  <si>
    <t>OPT06</t>
  </si>
  <si>
    <t>Tidak dinaikkan untuk manfaat fiksasi N</t>
  </si>
  <si>
    <t>Uji varietas dan kadar air jual</t>
  </si>
  <si>
    <t>Harga kacang tanah tingkat kebun</t>
  </si>
  <si>
    <t>ASM-PRICE</t>
  </si>
  <si>
    <t>Konservatif; ganti dengan kontrak/quotation</t>
  </si>
  <si>
    <t>Offtake lokal</t>
  </si>
  <si>
    <t>Biaya budidaya kacang tanah</t>
  </si>
  <si>
    <t>Rp/ha/musim</t>
  </si>
  <si>
    <t>OPT07</t>
  </si>
  <si>
    <t>Termasuk benih, olah lorong, input, HOK, panen</t>
  </si>
  <si>
    <t>RAB petani mitra</t>
  </si>
  <si>
    <t>Batas hibah kecil per tahun</t>
  </si>
  <si>
    <t>OPT04</t>
  </si>
  <si>
    <t>Mendekati rata-rata historis Rp12 miliar/383 penerima, bukan hak otomatis</t>
  </si>
  <si>
    <t>Harus ada surat/perjanjian hibah</t>
  </si>
  <si>
    <t>Probabilitas/realisasi pendanaan</t>
  </si>
  <si>
    <t>ASM-RISK</t>
  </si>
  <si>
    <t>Expected value; untuk kas bankable ubah 0 sampai kontrak ditandatangani</t>
  </si>
  <si>
    <t>Kontrak dan jadwal termin</t>
  </si>
  <si>
    <t>Biaya administrasi program</t>
  </si>
  <si>
    <t>% hibah</t>
  </si>
  <si>
    <t>Pelaporan, M&amp;E, safeguard</t>
  </si>
  <si>
    <t>RAB program</t>
  </si>
  <si>
    <t>Hibah rendah karbon besar</t>
  </si>
  <si>
    <t>OPT04B</t>
  </si>
  <si>
    <t>LCDI-ITF dapat mendanai proyek terpilih; tidak dibukukan sebelum perjanjian</t>
  </si>
  <si>
    <t>Aktifkan hanya setelah award</t>
  </si>
  <si>
    <t>Bagi hasil tambahan masyarakat</t>
  </si>
  <si>
    <t>% pendapatan proyek</t>
  </si>
  <si>
    <t>Isi sesuai kontrak bila selain upah/hibah</t>
  </si>
  <si>
    <t>Perjanjian kemitraan</t>
  </si>
  <si>
    <t>B. Mass balance produk kelapa grade-B/reject dan lidi</t>
  </si>
  <si>
    <t>Batas model</t>
  </si>
  <si>
    <t>Porsi reject yang diproses</t>
  </si>
  <si>
    <t>% reject</t>
  </si>
  <si>
    <t>Hanya buah di luar volume marketable dasar</t>
  </si>
  <si>
    <t>Tidak mengurangi pendapatan kelapa bulat</t>
  </si>
  <si>
    <t>Berat rata-rata buah kelapa genjah</t>
  </si>
  <si>
    <t>kg/butir</t>
  </si>
  <si>
    <t>OPT11</t>
  </si>
  <si>
    <t>Lebih rendah dari kelapa besar; timbang saat panen</t>
  </si>
  <si>
    <t>Input mass balance</t>
  </si>
  <si>
    <t>Sabut dari berat buah</t>
  </si>
  <si>
    <t>Komposisi buah matang generik</t>
  </si>
  <si>
    <t>Varietas dapat berbeda</t>
  </si>
  <si>
    <t>Tempurung dari berat buah</t>
  </si>
  <si>
    <t>Hasil cocofiber dari sabut</t>
  </si>
  <si>
    <t>kg/kg sabut</t>
  </si>
  <si>
    <t>OPT12</t>
  </si>
  <si>
    <t>Di bawah studi konversi 0,716</t>
  </si>
  <si>
    <t>Toll processing</t>
  </si>
  <si>
    <t>Harga cocofiber premium</t>
  </si>
  <si>
    <t>Harga bale volume besar</t>
  </si>
  <si>
    <t>Spesifikasi kadar air/kotoran</t>
  </si>
  <si>
    <t>Rendemen arang dari tempurung</t>
  </si>
  <si>
    <t>kg/kg tempurung</t>
  </si>
  <si>
    <t>OPT13</t>
  </si>
  <si>
    <t>Mendekati rendemen tertinggi studi retort 25,19%</t>
  </si>
  <si>
    <t>Kualitas retort</t>
  </si>
  <si>
    <t>Rendemen briket dari arang</t>
  </si>
  <si>
    <t>kg/kg arang</t>
  </si>
  <si>
    <t>Allowance kehilangan pencampuran/pencetakan</t>
  </si>
  <si>
    <t>Uji pabrik mitra</t>
  </si>
  <si>
    <t>Harga briket curah</t>
  </si>
  <si>
    <t>Harga wholesale perencanaan, bukan retail ekspor</t>
  </si>
  <si>
    <t>Quotation/offtake</t>
  </si>
  <si>
    <t>VCO per buah reject</t>
  </si>
  <si>
    <t>L/butir</t>
  </si>
  <si>
    <t>OPT14</t>
  </si>
  <si>
    <t>Di bawah studi 6,38 L/100 butir untuk mengakomodasi kelapa genjah</t>
  </si>
  <si>
    <t>Uji pilot</t>
  </si>
  <si>
    <t>Harga VCO ex-work</t>
  </si>
  <si>
    <t>Harga usaha kecil, bukan retail premium</t>
  </si>
  <si>
    <t>Kontrak bulk</t>
  </si>
  <si>
    <t>Biaya toll-processing per buah</t>
  </si>
  <si>
    <t>Termasuk pengupasan, ekstraksi, karbonisasi/briquetting, QA dasar</t>
  </si>
  <si>
    <t>Quotation mitra</t>
  </si>
  <si>
    <t>CAPEX QA, cuci, penyimpanan kecil</t>
  </si>
  <si>
    <t>Pengolahan utama ditolling, tidak membangun pabrik penuh</t>
  </si>
  <si>
    <t>Tiga quotation</t>
  </si>
  <si>
    <t>Lidi kering per pohon/tahun</t>
  </si>
  <si>
    <t>ASM-PILOT</t>
  </si>
  <si>
    <t>Pendapatan pilot; tidak mendorong pemangkasan berlebih</t>
  </si>
  <si>
    <t>Timbang hasil pangkasan normal</t>
  </si>
  <si>
    <t>Harga lidi curah</t>
  </si>
  <si>
    <t>OPT15</t>
  </si>
  <si>
    <t>Benchmark lidi sawit; wajib validasi untuk lidi kelapa</t>
  </si>
  <si>
    <t>Biaya pengumpulan/bersih lidi</t>
  </si>
  <si>
    <t>% pendapatan</t>
  </si>
  <si>
    <t>Padat karya; manfaat sosial lebih besar daripada margin kebun</t>
  </si>
  <si>
    <t>Catat HOK aktual</t>
  </si>
  <si>
    <t>C. Carbon credit melalui agregator—bukan proyek mandiri 100 ha</t>
  </si>
  <si>
    <t>Konsekuensi</t>
  </si>
  <si>
    <t>IDXCarbon mensyaratkan unit SPE-GRK yang telah melalui pengukuran, pelaporan, verifikasi, dan pencatatan. Pada skala 100 ha, pendapatan kotor bisa lebih kecil daripada biaya PDD/MRV bila berdiri sendiri. Karena itu model memakai agregator revenue-share dan haircut; carbon credit tidak dipakai sebagai pengungkit utama untuk mencapai untung.</t>
  </si>
  <si>
    <t>Area yang berpotensi eligible</t>
  </si>
  <si>
    <t>% area efektif</t>
  </si>
  <si>
    <t>Harus lulus baseline, legal, additionality, dan metodologi</t>
  </si>
  <si>
    <t>Dapat turun menjadi nol</t>
  </si>
  <si>
    <t>Pengurangan/serapan neto</t>
  </si>
  <si>
    <t>tCO2e/ha/tahun</t>
  </si>
  <si>
    <t>ASM-MRV</t>
  </si>
  <si>
    <t>Bukan hasil inventaris; hanya placeholder sensitif</t>
  </si>
  <si>
    <t>Ganti hasil PDD/MRV</t>
  </si>
  <si>
    <t>Harga unit karbon</t>
  </si>
  <si>
    <t>Rp/tCO2e</t>
  </si>
  <si>
    <t>OPT02</t>
  </si>
  <si>
    <t>Mendekati nilai transaksi rata-rata IDXCarbon historis</t>
  </si>
  <si>
    <t>Likuiditas rendah</t>
  </si>
  <si>
    <t>Buffer risiko</t>
  </si>
  <si>
    <t>% volume</t>
  </si>
  <si>
    <t>Menahan reversal/ketidakpastian</t>
  </si>
  <si>
    <t>Tidak dijual</t>
  </si>
  <si>
    <t>Probabilitas penerbitan</t>
  </si>
  <si>
    <t>Haircut atas eligibility, verifikasi, dan jadwal</t>
  </si>
  <si>
    <t>Expected value</t>
  </si>
  <si>
    <t>Bagian agregator/MRV</t>
  </si>
  <si>
    <t>Menghindari biaya proyek mandiri yang tidak ekonomis</t>
  </si>
  <si>
    <t>Minta proposal agregator</t>
  </si>
  <si>
    <t>Tahun mulai kredit</t>
  </si>
  <si>
    <t>Tidak ada kredit sebelum baseline dan verifikasi</t>
  </si>
  <si>
    <t>Dapat mundur</t>
  </si>
  <si>
    <t>D. Perhitungan tahunan pendapatan, biaya, dan pendanaan tambahan</t>
  </si>
  <si>
    <t>Luas kacang tanah (ha)</t>
  </si>
  <si>
    <t>Pendapatan kacang tanah</t>
  </si>
  <si>
    <t>Biaya kacang tanah</t>
  </si>
  <si>
    <t>Buah kelapa reject diproses</t>
  </si>
  <si>
    <t>Pendapatan VCO</t>
  </si>
  <si>
    <t>Pendapatan cocofiber</t>
  </si>
  <si>
    <t>Pendapatan briket</t>
  </si>
  <si>
    <t>Biaya toll-processing</t>
  </si>
  <si>
    <t>Pendapatan lidi</t>
  </si>
  <si>
    <t>Biaya lidi</t>
  </si>
  <si>
    <t>Carbon credit neto</t>
  </si>
  <si>
    <t>Pendanaan masyarakat neto</t>
  </si>
  <si>
    <t>Pendapatan tambahan bruto</t>
  </si>
  <si>
    <t>Biaya variabel tambahan</t>
  </si>
  <si>
    <t>PENDANAAN/OPEX OFFSET</t>
  </si>
  <si>
    <t>MARGIN TAMBAHAN BERSIH</t>
  </si>
  <si>
    <t>E. Nanas aktif pada model utama—ringkasan agar tidak dihitung ganda</t>
  </si>
  <si>
    <t>Biaya bibit + tanam</t>
  </si>
  <si>
    <t>Pendapatan nanas</t>
  </si>
  <si>
    <t>Input nanas</t>
  </si>
  <si>
    <t>HOK nanas</t>
  </si>
  <si>
    <t>Biaya panen nanas</t>
  </si>
  <si>
    <t>Margin nanas kumulatif</t>
  </si>
  <si>
    <t>Hasil</t>
  </si>
  <si>
    <t>Kelapa tidak dihitung ganda</t>
  </si>
  <si>
    <t>&gt;=0</t>
  </si>
  <si>
    <t>PASS</t>
  </si>
  <si>
    <t>Hanya reject di luar packout 90% yang diproses</t>
  </si>
  <si>
    <t>Carbon credit bukan pengungkit utama</t>
  </si>
  <si>
    <t>&lt;5% pendapatan tambahan</t>
  </si>
  <si>
    <t>Haircut + agregator diterapkan</t>
  </si>
  <si>
    <t>Hibah besar belum dibukukan</t>
  </si>
  <si>
    <t>Skenario Optimasi: Target Untung dalam 10 Tahun</t>
  </si>
  <si>
    <t>Membandingkan model utama setelah nanas aktif dengan skenario optimasi operasional dan pendapatan tambahan. Target utama adalah arus kas kumulatif nominal positif pada Tahun 10; NPV tetap ditampilkan terpisah dan tidak dipaksa positif.</t>
  </si>
  <si>
    <t>A. Ringkasan keputusan</t>
  </si>
  <si>
    <t>Skenario optimasi</t>
  </si>
  <si>
    <t>Kas investasi yang harus tersedia pada T0</t>
  </si>
  <si>
    <t>CAPEX T0 dan penggantian alat T5/T8</t>
  </si>
  <si>
    <t>Biaya operasi sesudah efisiensi dan biaya baru</t>
  </si>
  <si>
    <t>Pendapatan kebun + pendapatan tambahan; hibah besar tetap nol</t>
  </si>
  <si>
    <t>Pendapatan dikurangi seluruh CAPEX dan OPEX nominal</t>
  </si>
  <si>
    <t>NPV pada 12%</t>
  </si>
  <si>
    <t>Nilai waktu uang pada tingkat diskonto aktif</t>
  </si>
  <si>
    <t>Imbal hasil proyek selama horizon 10 tahun</t>
  </si>
  <si>
    <t>Defisit kumulatif maksimum yang harus dibiayai</t>
  </si>
  <si>
    <t>Tahun pertama arus kas kumulatif mencapai ≥ 0</t>
  </si>
  <si>
    <t>B. Arus kas optimasi per tahun</t>
  </si>
  <si>
    <t>TOTAL PENDAPATAN OPTIMASI</t>
  </si>
  <si>
    <t>TOTAL OPEX OPTIMASI</t>
  </si>
  <si>
    <t>TOTAL CAPEX OPTIMASI</t>
  </si>
  <si>
    <t>ARUS KAS KUMULATIF</t>
  </si>
  <si>
    <t>ARUS KAS TERDISKONTO</t>
  </si>
  <si>
    <t>C. Jembatan perbaikan terhadap model utama</t>
  </si>
  <si>
    <t>Model utama</t>
  </si>
  <si>
    <t>Pengungkit</t>
  </si>
  <si>
    <t>Dampak kas 10Y</t>
  </si>
  <si>
    <t>Jenis</t>
  </si>
  <si>
    <t>Ketergantungan bukti</t>
  </si>
  <si>
    <t>Status dasar</t>
  </si>
  <si>
    <t>Tindakan sebelum investasi</t>
  </si>
  <si>
    <t>Nanas berkerapatan rendah</t>
  </si>
  <si>
    <t>Pendapatan + biaya</t>
  </si>
  <si>
    <t>Demplot, bibit bulk, cahaya, offtake</t>
  </si>
  <si>
    <t>Kontrak bibit dan pembeli</t>
  </si>
  <si>
    <t>Sertifikasi kelompok/ICS</t>
  </si>
  <si>
    <t>CAPEX/OPEX turun</t>
  </si>
  <si>
    <t>Penawaran LSO dan ruang lingkup</t>
  </si>
  <si>
    <t>Minta proposal tertulis LSO</t>
  </si>
  <si>
    <t>PHT berbasis ambang</t>
  </si>
  <si>
    <t>OPEX turun</t>
  </si>
  <si>
    <t>Monitoring, ambang, diagnosis</t>
  </si>
  <si>
    <t>SOP scouting dan otorisasi aplikasi</t>
  </si>
  <si>
    <t>Kompos internal</t>
  </si>
  <si>
    <t>CAPEX + OPEX turun</t>
  </si>
  <si>
    <t>Mutu bahan, kapasitas, quotation</t>
  </si>
  <si>
    <t>Pilot tumpukan dan uji lab</t>
  </si>
  <si>
    <t>Pueraria/Arachis</t>
  </si>
  <si>
    <t>Tutupan aktual dan kompetisi</t>
  </si>
  <si>
    <t>Demplot per tipe lorong</t>
  </si>
  <si>
    <t>Sewa traktor/genset</t>
  </si>
  <si>
    <t>CAPEX turun, OPEX naik</t>
  </si>
  <si>
    <t>Hari pakai dan quotation</t>
  </si>
  <si>
    <t>Tender beli vs sewa</t>
  </si>
  <si>
    <t>Kelapa grade-B: VCO/fiber/briket</t>
  </si>
  <si>
    <t>Mass balance dan toll processor</t>
  </si>
  <si>
    <t>MoU toll processing/offtake</t>
  </si>
  <si>
    <t>Kacang tanah di lorong masyarakat</t>
  </si>
  <si>
    <t>Cahaya, hasil, harga</t>
  </si>
  <si>
    <t>Aktif T1–T2</t>
  </si>
  <si>
    <t>RAB kemitraan per ha</t>
  </si>
  <si>
    <t>Pendanaan masyarakat</t>
  </si>
  <si>
    <t>OPEX offset</t>
  </si>
  <si>
    <t>Award dan termin</t>
  </si>
  <si>
    <t>Kas bankable = 0 sebelum kontrak</t>
  </si>
  <si>
    <t>Carbon credit agregat</t>
  </si>
  <si>
    <t>Pendapatan kecil</t>
  </si>
  <si>
    <t>Eligibility, MRV, SPE-GRK</t>
  </si>
  <si>
    <t>Haircut</t>
  </si>
  <si>
    <t>Proposal agregator</t>
  </si>
  <si>
    <t>Batas keputusan</t>
  </si>
  <si>
    <t>Target T10 tidak boleh dicapai dengan menaikkan hasil durian, harga, atau survival tanpa bukti lapang/kontrak.</t>
  </si>
  <si>
    <t>Pendanaan masyarakat dan carbon credit tetap sensitif; ubah probabilitas menjadi 0 untuk kasus bankable sampai kontrak/eligibility tersedia.</t>
  </si>
  <si>
    <t>Pengolahan kelapa hanya memakai reject di luar packout dasar. Bila memakai buah grade-A, kurangi pendapatan kelapa bulat terlebih dahulu.</t>
  </si>
  <si>
    <t>D. Uji konservatif dan ketahanan laba</t>
  </si>
  <si>
    <t>Margin atas pendapatan</t>
  </si>
  <si>
    <t>Apa yang dikeluarkan</t>
  </si>
  <si>
    <t>Makna keputusan</t>
  </si>
  <si>
    <t>Optimasi expected-value</t>
  </si>
  <si>
    <t>Tidak ada</t>
  </si>
  <si>
    <t>Kas expected-value; masih memasukkan haircut pendanaan dan karbon.</t>
  </si>
  <si>
    <t>Bankable: tanpa hibah masyarakat dan karbon</t>
  </si>
  <si>
    <t>Hibah kecil dan carbon credit</t>
  </si>
  <si>
    <t>Kas yang lebih layak dipakai sebelum ada award, MRV, dan offtake.</t>
  </si>
  <si>
    <t>Konservatif: tambah tanpa penghematan fasilitas yang belum dikutip</t>
  </si>
  <si>
    <t>Ditambah Rp225 juta efisiensi fasilitas</t>
  </si>
  <si>
    <t>Menguji asumsi BOQ/quotation berkeyakinan rendah.</t>
  </si>
  <si>
    <t>Core: tambah tanpa diversifikasi kelapa grade-B</t>
  </si>
  <si>
    <t>Ditambah VCO, fiber, briket, dan lidi dari grade-B</t>
  </si>
  <si>
    <t>Menguji kebun tanpa ketergantungan unit hilir/offtake baru.</t>
  </si>
  <si>
    <t>Target buffer laba 5% dari pendapatan</t>
  </si>
  <si>
    <t>SASARAN</t>
  </si>
  <si>
    <t>—</t>
  </si>
  <si>
    <t>Buffer manajemen minimum; bukan jaminan kelayakan.</t>
  </si>
  <si>
    <t>Tambahan kas untuk mencapai buffer 5%</t>
  </si>
  <si>
    <t>Ruang perbaikan yang masih dibutuhkan agar margin nominal mencapai 5%.</t>
  </si>
  <si>
    <t>Sumber dan Basis Angka Skenario Optimasi</t>
  </si>
  <si>
    <t>Sumber resmi/primer diutamakan. ASM/QUOTE/PILOT bukan fakta pasar: angka tersebut sengaja diberi keyakinan rendah dan harus diganti dengan quotation, kontrak, hasil demplot, atau hasil MRV sebelum keputusan investasi.</t>
  </si>
  <si>
    <t>Angka yang dipakai</t>
  </si>
  <si>
    <t>Sumber/judul</t>
  </si>
  <si>
    <t>Cara penerapan</t>
  </si>
  <si>
    <t>Validasi wajib</t>
  </si>
  <si>
    <t>OPT01</t>
  </si>
  <si>
    <t>Tarif sertifikasi</t>
  </si>
  <si>
    <t>Core sekitar Rp11,15 juta + inspektor/perjalanan/lab</t>
  </si>
  <si>
    <t>LeSOS FAQ dan struktur dana</t>
  </si>
  <si>
    <t>https://lesosindonesia.com/faq</t>
  </si>
  <si>
    <t>Audit eksternal Rp35 juta; ICS internal terpisah</t>
  </si>
  <si>
    <t>Proposal LSO tertulis</t>
  </si>
  <si>
    <t>Carbon credit</t>
  </si>
  <si>
    <t>Harga rencana Rp50.000/tCO2e</t>
  </si>
  <si>
    <t>IDXCarbon data pasar dan nilai transaksi</t>
  </si>
  <si>
    <t>https://idxcarbon.co.id/id</t>
  </si>
  <si>
    <t>Harga setelah pembulatan konservatif; bukan jaminan likuiditas</t>
  </si>
  <si>
    <t>Term sheet pembeli/agregator</t>
  </si>
  <si>
    <t>OPT03</t>
  </si>
  <si>
    <t>SPE-GRK</t>
  </si>
  <si>
    <t>MRV dan registrasi wajib</t>
  </si>
  <si>
    <t>IDXCarbon Product SPE-GRK</t>
  </si>
  <si>
    <t>https://idxcarbon.co.id/id/product-spe-grk</t>
  </si>
  <si>
    <t>Tidak ada unit sebelum pengukuran, pelaporan, verifikasi, registrasi</t>
  </si>
  <si>
    <t>Metodologi/PDD/MRV</t>
  </si>
  <si>
    <t>Hibah kecil masyarakat</t>
  </si>
  <si>
    <t>Rp12 miliar/383 penerima; model cap Rp35 juta/tahun</t>
  </si>
  <si>
    <t>Kementerian Kehutanan—Layanan Dana Masyarakat</t>
  </si>
  <si>
    <t>https://www.kehutanan.go.id/pers/menhut-luncurkan-rencana-investasi-rbc-tahap-iv-dan-layanan-dana-masyarakat-untuk-lingkungan-small-grant-periode-iii</t>
  </si>
  <si>
    <t>Haircut 50% dan hanya T1–T3</t>
  </si>
  <si>
    <t>Surat award dan termin</t>
  </si>
  <si>
    <t>Maksimum proposal sekitar Rp4,97 miliar; dominan CAPEX</t>
  </si>
  <si>
    <t>BPDLH LCDI-ITF Tahap 2</t>
  </si>
  <si>
    <t>https://www.antaranews.com/berita/5526347/bpdlh-buka-program-pendanaan-hibah-tahap-2-untuk-proyek-rendah-karbon</t>
  </si>
  <si>
    <t>Sakelar default 0</t>
  </si>
  <si>
    <t>Award/perjanjian</t>
  </si>
  <si>
    <t>Pueraria/LCC</t>
  </si>
  <si>
    <t>Menutup tanah, N, bahan organik, menekan gulma</t>
  </si>
  <si>
    <t>Kementan—leguminosa penutup tanah</t>
  </si>
  <si>
    <t>https://repository.pertanian.go.id/bitstreams/c1b17b80-3c85-4cde-b7ee-651e95cd0b59/download</t>
  </si>
  <si>
    <t>Reduksi HOK dibatasi 20–30% hanya pada 65% area</t>
  </si>
  <si>
    <t>Demplot dan catatan HOK</t>
  </si>
  <si>
    <t>Asumsi 1,44 t/ha</t>
  </si>
  <si>
    <t>Kementan—Inovasi teknologi budidaya kacang tanah</t>
  </si>
  <si>
    <t>https://repository.pertanian.go.id/bitstreams/33f6c76b-71c3-46d9-9394-c107d77aa55e/download</t>
  </si>
  <si>
    <t>Hanya 6,16 ha lorong T1–T2</t>
  </si>
  <si>
    <t>Ubinan/demplot</t>
  </si>
  <si>
    <t>Model Rp12 juta/ha</t>
  </si>
  <si>
    <t>Analisis kelayakan usahatani kacang tanah</t>
  </si>
  <si>
    <t>https://jurnal.unpad.ac.id/agricore/article/download/64655/pdf</t>
  </si>
  <si>
    <t>Di atas biaya studi Rp4,72 juta/ha untuk margin konservatif</t>
  </si>
  <si>
    <t>RAB mitra lokal</t>
  </si>
  <si>
    <t>OPT08</t>
  </si>
  <si>
    <t>Biaya produksi sekitar Rp18,56 juta/MT; pendapatan kotor Rp68,74 juta/MT pada studi</t>
  </si>
  <si>
    <t>Analisis usahatani nanas</t>
  </si>
  <si>
    <t>https://repository.uir.ac.id/16456/1/174210253.pdf</t>
  </si>
  <si>
    <t>Model berkerapatan jauh lebih rendah dan biaya per ha sekitar benchmark</t>
  </si>
  <si>
    <t>Demplot/offtake</t>
  </si>
  <si>
    <t>OPT08B</t>
  </si>
  <si>
    <t>Bibit nanas</t>
  </si>
  <si>
    <t>Harga pasar massal dilaporkan sekitar Rp1.400/batang; model Rp1.800</t>
  </si>
  <si>
    <t>Benchmark pengadaan Subang</t>
  </si>
  <si>
    <t>https://subang.pikiran-rakyat.com/subang-raya/pr-659851639/dugaan-mark-up-harga-satuan-pengadaan-bibit-nanas-subang-program-upland-harga-jauh-di-atas-standar?page=all</t>
  </si>
  <si>
    <t>Allowance bulk + buffer</t>
  </si>
  <si>
    <t>Tiga quotation bibit bersertifikat</t>
  </si>
  <si>
    <t>Mesin kompos</t>
  </si>
  <si>
    <t>Pencacah 500 kg/jam Rp12,5 juta</t>
  </si>
  <si>
    <t>Pemasok mesin pencacah kompos</t>
  </si>
  <si>
    <t>https://www.trimasmitranusantara.com/product/mesin-pencacah-kompos-500kg-jam/</t>
  </si>
  <si>
    <t>Shredder dasar Rp85 juta tetap; fasilitas tambahan Rp150 juta allowance</t>
  </si>
  <si>
    <t>BOQ/quotation</t>
  </si>
  <si>
    <t>PHT</t>
  </si>
  <si>
    <t>PHT mengikuti diagnosis dan ambang</t>
  </si>
  <si>
    <t>Kementan—Pestisida nabati dan PHT</t>
  </si>
  <si>
    <t>https://repository.pertanian.go.id/server/api/core/bitstreams/14fbe21b-8d26-4e1e-a2c4-067e14366185/content</t>
  </si>
  <si>
    <t>Penghematan maksimum 25% dari line Biologi/PHT</t>
  </si>
  <si>
    <t>SOP dan log aplikasi</t>
  </si>
  <si>
    <t>Komposisi kelapa</t>
  </si>
  <si>
    <t>35% sabut, 12% tempurung, 28% daging, 25% air</t>
  </si>
  <si>
    <t>Journal of Food Science—coconut composition</t>
  </si>
  <si>
    <t>https://ift.onlinelibrary.wiley.com/doi/10.1111/1750-3841.14223</t>
  </si>
  <si>
    <t>Berat buah genjah diperkecil menjadi 0,8 kg/butir</t>
  </si>
  <si>
    <t>Timbang 100 buah</t>
  </si>
  <si>
    <t>Cocofiber</t>
  </si>
  <si>
    <t>Harga Rp2.600–2.800/kg; konversi studi 0,716</t>
  </si>
  <si>
    <t>Jurnal Agribisnis Indonesia—cocofiber</t>
  </si>
  <si>
    <t>https://www.cabidigitallibrary.org/doi/pdf/10.5555/20250295880</t>
  </si>
  <si>
    <t>Model memakai 45% recovery dan Rp2.800/kg</t>
  </si>
  <si>
    <t>Uji kadar air/offtake</t>
  </si>
  <si>
    <t>Arang tempurung</t>
  </si>
  <si>
    <t>Rendemen tertinggi 25,19%</t>
  </si>
  <si>
    <t>UNIB—retort arang tempurung kelapa</t>
  </si>
  <si>
    <t>https://repository.unib.ac.id/id/eprint/24710/</t>
  </si>
  <si>
    <t>Model membulatkan 25%</t>
  </si>
  <si>
    <t>Uji retort/toll processor</t>
  </si>
  <si>
    <t>VCO</t>
  </si>
  <si>
    <t>Harga rata-rata usaha Rp70.000/L; studi lain 6,38 L/100 butir</t>
  </si>
  <si>
    <t>Analisis profitabilitas VCO</t>
  </si>
  <si>
    <t>https://eprints.unram.ac.id/35716/2/Jurnal%20VCO_Wahyu%20Bintiopani_C1G018182.pdf</t>
  </si>
  <si>
    <t>Model 0,04 L/butir untuk kelapa genjah</t>
  </si>
  <si>
    <t>Pilot yield dan uji mutu</t>
  </si>
  <si>
    <t>Lidi</t>
  </si>
  <si>
    <t>Harga benchmark Rp2.000–4.300/kg untuk lidi sawit</t>
  </si>
  <si>
    <t>Benchmark pasar lidi</t>
  </si>
  <si>
    <t>https://riaupagi.com/news/bisnis-baru-riau-pelepah-dan-lidi-sawit-bisa-dikembangkan-202106289536/</t>
  </si>
  <si>
    <t>Model Rp3.500/kg dan hanya 0,25 kg/pohon/tahun</t>
  </si>
  <si>
    <t>Timbang/offtake lidi kelapa</t>
  </si>
  <si>
    <t>OPT16</t>
  </si>
  <si>
    <t>Sewa traktor</t>
  </si>
  <si>
    <t>Katalog Rp2,775 juta/unit</t>
  </si>
  <si>
    <t>Katalog INAPROC sewa traktor roda 4</t>
  </si>
  <si>
    <t>https://katalog.inaproc.id/solusi-klik/sewa-traktor-roda-4</t>
  </si>
  <si>
    <t>Model Rp3,2 juta/hari termasuk allowance implement/mobilisasi</t>
  </si>
  <si>
    <t>Quotation Banyumas</t>
  </si>
  <si>
    <t>OPT17</t>
  </si>
  <si>
    <t>Sewa pickup</t>
  </si>
  <si>
    <t>Katalog Rp809.190/unit-hari</t>
  </si>
  <si>
    <t>Katalog INAPROC sewa pickup</t>
  </si>
  <si>
    <t>https://katalog.inaproc.id/rahman-agxk/sewa-mobil-pickup</t>
  </si>
  <si>
    <t>Menunjukkan pembelian lebih murah untuk utilisasi harian</t>
  </si>
  <si>
    <t>Quotation/lease</t>
  </si>
  <si>
    <t>OPT18</t>
  </si>
  <si>
    <t>Sewa genset</t>
  </si>
  <si>
    <t>Rp500 ribu–1 juta/hari untuk 5–20 kVA</t>
  </si>
  <si>
    <t>Benchmark sewa genset</t>
  </si>
  <si>
    <t>https://www.pilarpower.com/daftar-harga-sewa-genset-2025/</t>
  </si>
  <si>
    <t>Model batas bawah Rp500 ribu/hari</t>
  </si>
  <si>
    <t>Quotation Semarang/Banyumas</t>
  </si>
  <si>
    <t>Harga vendor</t>
  </si>
  <si>
    <t>Nilai perencanaan, bukan fakta</t>
  </si>
  <si>
    <t>Wajib quotation</t>
  </si>
  <si>
    <t>Tidak boleh menjadi approval final</t>
  </si>
  <si>
    <t>Minimal tiga quotation setara</t>
  </si>
  <si>
    <t>Haircut risiko</t>
  </si>
  <si>
    <t>Probabilitas expected value</t>
  </si>
  <si>
    <t>Asumsi manajemen risiko</t>
  </si>
  <si>
    <t>Kas bankable harus memakai 0 sampai kontrak</t>
  </si>
  <si>
    <t>Persetujuan komite investasi</t>
  </si>
  <si>
    <t>Hasil pilot</t>
  </si>
  <si>
    <t>Placeholder pengukuran lapang</t>
  </si>
  <si>
    <t>Asumsi pilot</t>
  </si>
  <si>
    <t>Tidak boleh diskalakan sebelum data cukup</t>
  </si>
  <si>
    <t>Demplot/penimbangan</t>
  </si>
  <si>
    <t>Audit Formula dan Rekonsiliasi Skenario Optimasi</t>
  </si>
  <si>
    <t>Setiap KPI utama dihitung ulang dengan formula independen. Selisih di atas toleransi mengubah status menjadi REVIEW. PASS berarti aritmetika dan keterikatan rumus konsisten—bukan jaminan bahwa asumsi biologis, harga, quotation, atau lahan telah tervalidasi.</t>
  </si>
  <si>
    <t>A. Rekonsiliasi hasil finansial utama</t>
  </si>
  <si>
    <t>Nilai model</t>
  </si>
  <si>
    <t>Hitung ulang independen</t>
  </si>
  <si>
    <t>Rumus/interpretasi</t>
  </si>
  <si>
    <t>Tindakan bila gagal</t>
  </si>
  <si>
    <t>Total pendapatan tahunan</t>
  </si>
  <si>
    <t>Telusuri formula sumber dan perbaiki referensi</t>
  </si>
  <si>
    <t>Total OPEX tahunan</t>
  </si>
  <si>
    <t>CAPEX T0 + T5 + T8</t>
  </si>
  <si>
    <t>Jumlah arus kas proyek T0–T10</t>
  </si>
  <si>
    <t>Identitas laba nominal</t>
  </si>
  <si>
    <t>Pendapatan − OPEX − CAPEX</t>
  </si>
  <si>
    <t>Jumlah arus kas terdiskonto</t>
  </si>
  <si>
    <t>Defisit kumulatif maksimum</t>
  </si>
  <si>
    <t>Dashboard: investasi awal</t>
  </si>
  <si>
    <t>Dashboard harus sama dengan skenario aktif</t>
  </si>
  <si>
    <t>Dashboard: pendanaan puncak</t>
  </si>
  <si>
    <t>B. Pemeriksaan penggerak dan pencegahan hitung ganda</t>
  </si>
  <si>
    <t>Hitung ulang/batas</t>
  </si>
  <si>
    <t>CAPEX awal setelah cadangan</t>
  </si>
  <si>
    <t>Subtotal diganti lalu cadangan CAPEX dihitung ulang</t>
  </si>
  <si>
    <t>Periksa semua pengurangan/penambahan subtotal</t>
  </si>
  <si>
    <t>Luas kacang tanah masyarakat T1</t>
  </si>
  <si>
    <t>Luas bruto × efektif × 20% masyarakat × lorong terbuka</t>
  </si>
  <si>
    <t>Periksa penggerak C6–C7</t>
  </si>
  <si>
    <t>Populasi nanas aktif</t>
  </si>
  <si>
    <t>Aktif × densitas neto × areal efektif</t>
  </si>
  <si>
    <t>Periksa densitas dan luas efektif</t>
  </si>
  <si>
    <t>Porsi reject kelapa yang diproses</t>
  </si>
  <si>
    <t>Tidak boleh lebih dari reject di luar packout</t>
  </si>
  <si>
    <t>Turunkan porsi pemrosesan</t>
  </si>
  <si>
    <t>Hibah besar belum awarded</t>
  </si>
  <si>
    <t>Kas bankable mengakui nol sampai award</t>
  </si>
  <si>
    <t>Nolkan sampai kontrak</t>
  </si>
  <si>
    <t>Dashboard: NPV optimasi</t>
  </si>
  <si>
    <t>Perbaiki referensi Dashboard</t>
  </si>
  <si>
    <t>STATUS AUDIT FORMULA</t>
  </si>
  <si>
    <t>PASS hanya membuktikan rekonsiliasi matematis dan keterikatan antar-sheet.</t>
  </si>
  <si>
    <t>Batas audit: biaya lahan masih Rp0. Pajak, biaya pembiayaan, penyusutan, dan biaya transaksi tanah belum dimasukkan. Harga, hasil biologis, produktivitas kompos, penghematan penyiangan, quotation sewa, dan offtake produk kelapa tetap memerlukan bukti eksternal; audit formula tidak mengubah asumsi tersebut menjadi fakta.</t>
  </si>
  <si>
    <t>Audit Tahunan Pendapatan, OPEX, CAPEX, dan Arus Kas</t>
  </si>
  <si>
    <t>Nilai pada 19_Optimasi_10Tahun dibandingkan dengan hitung ulang komponen sumber untuk setiap tahun. Toleransi rekonsiliasi adalah Rp1 per baris per tahun.</t>
  </si>
  <si>
    <t>Rekonsiliasi T1–T10</t>
  </si>
  <si>
    <t>Status baris</t>
  </si>
  <si>
    <t>Pendapatan—model</t>
  </si>
  <si>
    <t>-</t>
  </si>
  <si>
    <t>Pendapatan—hitung ulang</t>
  </si>
  <si>
    <t>Selisih pendapatan</t>
  </si>
  <si>
    <t>OPEX—model</t>
  </si>
  <si>
    <t>OPEX—hitung ulang</t>
  </si>
  <si>
    <t>Selisih OPEX</t>
  </si>
  <si>
    <t>CAPEX—model</t>
  </si>
  <si>
    <t>CAPEX—hitung ulang</t>
  </si>
  <si>
    <t>Selisih CAPEX</t>
  </si>
  <si>
    <t>Arus kas—model</t>
  </si>
  <si>
    <t>Arus kas—hitung ulang</t>
  </si>
  <si>
    <t>Selisih arus kas</t>
  </si>
  <si>
    <t>STATUS TAHUN</t>
  </si>
  <si>
    <t>STATUS AUDIT TAHUNAN</t>
  </si>
  <si>
    <t>Metode: pendapatan = produksi dasar + pendapatan tambahan bruto; OPEX = OPEX dasar + biaya variabel tambahan − pendanaan/OPEX offset − efisiensi + sewa; CAPEX = penggantian dasar − penggantian alat yang dihindari; arus kas = pendapatan − OPEX − CAPEX. CAPEX T0 direkonsiliasi terpisah di 23_Audit_Formula.</t>
  </si>
  <si>
    <t>Peta Dua Penggerak dan Pemeriksaan Otomatis</t>
  </si>
  <si>
    <t>Hanya luas dan jumlah lokasi dibutuhkan untuk simulasi dasar. Harga/biaya adalah penyesuaian opsional; seluruh volume dan total tetap tertaut formula.</t>
  </si>
  <si>
    <t>Sel sumber</t>
  </si>
  <si>
    <t>Nilai aktif</t>
  </si>
  <si>
    <t>Penggerak utama</t>
  </si>
  <si>
    <t>Luas kebun</t>
  </si>
  <si>
    <t>02_Assumptions!C6</t>
  </si>
  <si>
    <t>02_Assumptions!C8</t>
  </si>
  <si>
    <t>Turunan</t>
  </si>
  <si>
    <t>Areal efektif</t>
  </si>
  <si>
    <t>02_Assumptions!C24</t>
  </si>
  <si>
    <t>Areal non-tanam</t>
  </si>
  <si>
    <t>02_Assumptions!C25</t>
  </si>
  <si>
    <t>Ekspektasi</t>
  </si>
  <si>
    <t>Mengikuti</t>
  </si>
  <si>
    <t>Luas</t>
  </si>
  <si>
    <t>Luas × proporsi efektif</t>
  </si>
  <si>
    <t>Populasi kelapa</t>
  </si>
  <si>
    <t>Areal efektif × kerapatan × faktor aktif</t>
  </si>
  <si>
    <t>Populasi durian</t>
  </si>
  <si>
    <t>Populasi pisang</t>
  </si>
  <si>
    <t>Populasi nanas</t>
  </si>
  <si>
    <t>Densitas bersih × areal efektif</t>
  </si>
  <si>
    <t>HOK persiapan lahan</t>
  </si>
  <si>
    <t>Luas/lokasi</t>
  </si>
  <si>
    <t>Tertaut jadwal tenaga kerja</t>
  </si>
  <si>
    <t>Volume kompos T1</t>
  </si>
  <si>
    <t>Luas/populasi</t>
  </si>
  <si>
    <t>Tertaut rencana input pertanian</t>
  </si>
  <si>
    <t>Jumlah APD optimasi</t>
  </si>
  <si>
    <t>Kru/lokasi</t>
  </si>
  <si>
    <t>Kru puncak × buffer keselamatan</t>
  </si>
  <si>
    <t>Metode traktor otomatis</t>
  </si>
  <si>
    <t>Luas/lokasi/harga</t>
  </si>
  <si>
    <t>Memilih biaya 10 tahun terendah</t>
  </si>
  <si>
    <t>STATUS MODEL DUA PENGGERAK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</si>
</sst>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Red]\(0.0%\);\-"/>
    <numFmt numFmtId="165" formatCode="&quot;Rp&quot;\ #,##0;[Red]\(&quot;Rp&quot;\ #,##0\);\-"/>
    <numFmt numFmtId="166" formatCode="#,##0.0;[Red]\(#,##0.0\);\-"/>
    <numFmt numFmtId="167" formatCode="0.000"/>
    <numFmt numFmtId="168" formatCode="#,##0;[Red]\(#,##0\);\-"/>
    <numFmt numFmtId="169" formatCode="&quot;Rp&quot;\ 0.0,,,&quot; bn&quot;;[Red]\(&quot;Rp&quot;\ 0.0,,,&quot; bn&quot;\);\-"/>
    <numFmt numFmtId="170" formatCode="0.00\x"/>
  </numFmts>
  <fonts count="41">
    <font>
      <sz val="11"/>
      <name val="Carlito"/>
    </font>
    <font>
      <b/>
      <sz val="16"/>
      <color rgb="FFFFFFFF"/>
      <name val="Arial"/>
    </font>
    <font>
      <i/>
      <sz val="10"/>
      <color rgb="FF595959"/>
      <name val="Arial"/>
    </font>
    <font>
      <b/>
      <sz val="10"/>
      <color rgb="FFFFFFFF"/>
      <name val="Arial"/>
    </font>
    <font>
      <b/>
      <sz val="9"/>
      <color rgb="FFFFFFFF"/>
      <name val="Arial"/>
    </font>
    <font>
      <sz val="9"/>
      <color rgb="FF0000FF"/>
      <name val="Arial"/>
    </font>
    <font>
      <sz val="9"/>
      <color rgb="FF008000"/>
      <name val="Arial"/>
    </font>
    <font>
      <b/>
      <sz val="9"/>
      <color rgb="FF000000"/>
      <name val="Arial"/>
    </font>
    <font>
      <sz val="9"/>
      <color rgb="FF000000"/>
      <name val="Arial"/>
    </font>
    <font>
      <b/>
      <sz val="9"/>
      <color rgb="FF008000"/>
      <name val="Arial"/>
    </font>
    <font>
      <b/>
      <sz val="9"/>
      <color rgb="FFC00000"/>
      <name val="Arial"/>
    </font>
    <font>
      <sz val="9"/>
      <color rgb="FF595959"/>
      <name val="Arial"/>
    </font>
    <font>
      <sz val="10"/>
      <color rgb="FF000000"/>
      <name val="Arial"/>
    </font>
    <font>
      <i/>
      <sz val="9"/>
      <color rgb="FF000000"/>
      <name val="Arial"/>
    </font>
    <font>
      <b/>
      <sz val="18"/>
      <color rgb="FFFFFFFF"/>
      <name val="Arial"/>
    </font>
    <font>
      <i/>
      <sz val="10"/>
      <color rgb="FF404040"/>
      <name val="Arial"/>
    </font>
    <font>
      <b/>
      <sz val="11"/>
      <color rgb="FFFFFFFF"/>
      <name val="Arial"/>
    </font>
    <font>
      <b/>
      <sz val="11"/>
      <color rgb="FF1F4E3D"/>
      <name val="Arial"/>
    </font>
    <font>
      <b/>
      <sz val="9"/>
      <color rgb="FF17365D"/>
      <name val="Arial"/>
    </font>
    <font>
      <b/>
      <sz val="9"/>
      <color rgb="FF1F4E3D"/>
      <name val="Arial"/>
    </font>
    <font>
      <sz val="11"/>
      <name val="Arial"/>
    </font>
    <font>
      <b/>
      <sz val="14"/>
      <color rgb="FF17365D"/>
      <name val="Arial"/>
    </font>
    <font>
      <sz val="8"/>
      <color rgb="FF0563C1"/>
      <name val="Arial"/>
    </font>
    <font>
      <b/>
      <sz val="13"/>
      <color rgb="FF17365D"/>
      <name val="Arial"/>
    </font>
    <font>
      <b/>
      <sz val="10"/>
      <color rgb="FF000000"/>
      <name val="Arial"/>
    </font>
    <font>
      <i/>
      <sz val="9"/>
      <color rgb="FF595959"/>
      <name val="Arial"/>
    </font>
    <font>
      <b/>
      <sz val="9"/>
      <color rgb="FF0070C0"/>
      <name val="Arial"/>
    </font>
    <font>
      <sz val="9"/>
      <color rgb="FF548235"/>
      <name val="Arial"/>
    </font>
    <font>
      <b/>
      <sz val="9"/>
      <color rgb="FF548235"/>
      <name val="Arial"/>
    </font>
    <font>
      <sz val="9"/>
      <color rgb="FF0070C0"/>
      <name val="Arial"/>
    </font>
    <font>
      <sz val="11"/>
      <color rgb="FF0070C0"/>
      <name val="Carlito"/>
    </font>
    <font>
      <b/>
      <sz val="10"/>
      <color rgb="FF0070C0"/>
      <name val="Arial"/>
    </font>
    <font>
      <b/>
      <sz val="16"/>
      <color rgb="FFFFFFFF"/>
      <name val="Carlito"/>
    </font>
    <font>
      <i/>
      <sz val="11"/>
      <color rgb="FF555555"/>
      <name val="Carlito"/>
    </font>
    <font>
      <b/>
      <sz val="11"/>
      <color rgb="FFFFFFFF"/>
      <name val="Carlito"/>
    </font>
    <font>
      <b/>
      <sz val="13"/>
      <color rgb="FF548235"/>
      <name val="Carlito"/>
    </font>
    <font>
      <b/>
      <sz val="11"/>
      <color rgb="FF0070C0"/>
      <name val="Carlito"/>
    </font>
    <font>
      <i/>
      <sz val="10"/>
      <color rgb="FF555555"/>
      <name val="Arial"/>
    </font>
    <font>
      <b/>
      <sz val="9"/>
      <color theme="0"/>
      <name val="Arial"/>
      <family val="2"/>
    </font>
    <font>
      <sz val="11"/>
      <color theme="0"/>
      <name val="Carlito"/>
    </font>
    <font>
      <b/>
      <sz val="9"/>
      <color theme="1"/>
      <name val="Arial"/>
      <family val="2"/>
    </font>
  </fonts>
  <fills count="40">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0F6B5D"/>
      </patternFill>
    </fill>
    <fill>
      <patternFill patternType="solid">
        <fgColor rgb="FFFFF2CC"/>
      </patternFill>
    </fill>
    <fill>
      <patternFill patternType="solid">
        <fgColor rgb="FFE2F0D9"/>
      </patternFill>
    </fill>
    <fill>
      <patternFill patternType="solid">
        <fgColor rgb="FFFCE4D6"/>
      </patternFill>
    </fill>
    <fill>
      <patternFill patternType="solid">
        <fgColor rgb="FF17365D"/>
      </patternFill>
    </fill>
    <fill>
      <patternFill patternType="solid">
        <fgColor rgb="FF1F4E78"/>
      </patternFill>
    </fill>
    <fill>
      <patternFill patternType="solid">
        <fgColor rgb="FF0F6B5D"/>
      </patternFill>
    </fill>
    <fill>
      <patternFill patternType="solid">
        <fgColor rgb="FFFFF2CC"/>
      </patternFill>
    </fill>
    <fill>
      <patternFill patternType="solid">
        <fgColor rgb="FFE2F0D9"/>
      </patternFill>
    </fill>
    <fill>
      <patternFill patternType="solid">
        <fgColor rgb="FF17365D"/>
      </patternFill>
    </fill>
    <fill>
      <patternFill patternType="solid">
        <fgColor rgb="FFD9EAF7"/>
      </patternFill>
    </fill>
    <fill>
      <patternFill patternType="solid">
        <fgColor rgb="FFF4F8FB"/>
      </patternFill>
    </fill>
    <fill>
      <patternFill patternType="solid">
        <fgColor rgb="FFE2F0D9"/>
      </patternFill>
    </fill>
    <fill>
      <patternFill patternType="solid">
        <fgColor rgb="FF006B54"/>
      </patternFill>
    </fill>
    <fill>
      <patternFill patternType="solid">
        <fgColor rgb="FFF2F2F2"/>
      </patternFill>
    </fill>
    <fill>
      <patternFill patternType="solid">
        <fgColor rgb="FFFFF2CC"/>
      </patternFill>
    </fill>
    <fill>
      <patternFill patternType="solid">
        <fgColor rgb="FF17365D"/>
      </patternFill>
    </fill>
    <fill>
      <patternFill patternType="solid">
        <fgColor rgb="FFD9EAF7"/>
      </patternFill>
    </fill>
    <fill>
      <patternFill patternType="solid">
        <fgColor rgb="FF1F4E78"/>
      </patternFill>
    </fill>
    <fill>
      <patternFill patternType="solid">
        <fgColor rgb="FF0F6B5D"/>
      </patternFill>
    </fill>
    <fill>
      <patternFill patternType="solid">
        <fgColor rgb="FFE2F0D9"/>
      </patternFill>
    </fill>
    <fill>
      <patternFill patternType="solid">
        <fgColor rgb="FFFCE4D6"/>
      </patternFill>
    </fill>
    <fill>
      <patternFill patternType="solid">
        <fgColor rgb="FFE7E6E6"/>
      </patternFill>
    </fill>
    <fill>
      <patternFill patternType="solid">
        <fgColor rgb="FF17365D"/>
      </patternFill>
    </fill>
    <fill>
      <patternFill patternType="solid">
        <fgColor rgb="FFD9EAF7"/>
      </patternFill>
    </fill>
    <fill>
      <patternFill patternType="solid">
        <fgColor rgb="FF1F4E78"/>
      </patternFill>
    </fill>
    <fill>
      <patternFill patternType="solid">
        <fgColor rgb="FF0F6B5D"/>
      </patternFill>
    </fill>
    <fill>
      <patternFill patternType="solid">
        <fgColor rgb="FFE2F0D9"/>
      </patternFill>
    </fill>
    <fill>
      <patternFill patternType="solid">
        <fgColor rgb="FFFCE4D6"/>
      </patternFill>
    </fill>
    <fill>
      <patternFill patternType="solid">
        <fgColor rgb="FF17365D"/>
      </patternFill>
    </fill>
    <fill>
      <patternFill patternType="solid">
        <fgColor rgb="FFD9EAF7"/>
      </patternFill>
    </fill>
    <fill>
      <patternFill patternType="solid">
        <fgColor rgb="FFF4B183"/>
      </patternFill>
    </fill>
    <fill>
      <patternFill patternType="solid">
        <fgColor rgb="FFFFF2CC"/>
      </patternFill>
    </fill>
    <fill>
      <patternFill patternType="solid">
        <fgColor rgb="FFE2F0D9"/>
      </patternFill>
    </fill>
    <fill>
      <patternFill patternType="solid">
        <fgColor rgb="FF0F6F61"/>
      </patternFill>
    </fill>
  </fills>
  <borders count="38">
    <border>
      <left/>
      <right/>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595959"/>
      </top>
      <bottom style="double">
        <color rgb="FF595959"/>
      </bottom>
      <diagonal/>
    </border>
    <border>
      <left/>
      <right/>
      <top style="thin">
        <color rgb="FF595959"/>
      </top>
      <bottom/>
      <diagonal/>
    </border>
    <border>
      <left/>
      <right/>
      <top/>
      <bottom style="double">
        <color rgb="FF595959"/>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005A47"/>
      </left>
      <right/>
      <top style="thin">
        <color rgb="FF005A47"/>
      </top>
      <bottom style="thin">
        <color rgb="FF005A47"/>
      </bottom>
      <diagonal/>
    </border>
    <border>
      <left/>
      <right/>
      <top style="thin">
        <color rgb="FF005A47"/>
      </top>
      <bottom style="thin">
        <color rgb="FF005A47"/>
      </bottom>
      <diagonal/>
    </border>
    <border>
      <left/>
      <right style="thin">
        <color rgb="FF005A47"/>
      </right>
      <top style="thin">
        <color rgb="FF005A47"/>
      </top>
      <bottom style="thin">
        <color rgb="FF005A47"/>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style="thin">
        <color rgb="FFF4B183"/>
      </left>
      <right/>
      <top style="thin">
        <color rgb="FFF4B183"/>
      </top>
      <bottom/>
      <diagonal/>
    </border>
    <border>
      <left/>
      <right/>
      <top style="thin">
        <color rgb="FFF4B183"/>
      </top>
      <bottom/>
      <diagonal/>
    </border>
    <border>
      <left/>
      <right style="thin">
        <color rgb="FFF4B183"/>
      </right>
      <top style="thin">
        <color rgb="FFF4B183"/>
      </top>
      <bottom/>
      <diagonal/>
    </border>
    <border>
      <left style="thin">
        <color rgb="FFF4B183"/>
      </left>
      <right/>
      <top/>
      <bottom/>
      <diagonal/>
    </border>
    <border>
      <left/>
      <right style="thin">
        <color rgb="FFF4B183"/>
      </right>
      <top/>
      <bottom/>
      <diagonal/>
    </border>
    <border>
      <left style="thin">
        <color rgb="FFF4B183"/>
      </left>
      <right/>
      <top/>
      <bottom style="thin">
        <color rgb="FFF4B183"/>
      </bottom>
      <diagonal/>
    </border>
    <border>
      <left/>
      <right/>
      <top/>
      <bottom style="thin">
        <color rgb="FFF4B183"/>
      </bottom>
      <diagonal/>
    </border>
    <border>
      <left/>
      <right style="thin">
        <color rgb="FFF4B183"/>
      </right>
      <top/>
      <bottom style="thin">
        <color rgb="FFF4B183"/>
      </bottom>
      <diagonal/>
    </border>
  </borders>
  <cellStyleXfs count="1">
    <xf numFmtId="0" fontId="0" fillId="0" borderId="0"/>
  </cellStyleXfs>
  <cellXfs count="316">
    <xf numFmtId="0" fontId="0" fillId="0" borderId="0" xfId="0"/>
    <xf numFmtId="0" fontId="2" fillId="3" borderId="0" xfId="0" applyNumberFormat="1" applyFont="1" applyFill="1" applyBorder="1" applyAlignment="1">
      <alignment vertical="center" wrapText="1"/>
    </xf>
    <xf numFmtId="0" fontId="7" fillId="5" borderId="1" xfId="0" applyNumberFormat="1" applyFont="1" applyFill="1" applyBorder="1" applyAlignment="1">
      <alignment horizontal="center" vertical="center" wrapText="1"/>
    </xf>
    <xf numFmtId="0" fontId="7" fillId="5" borderId="2" xfId="0" applyNumberFormat="1" applyFont="1" applyFill="1" applyBorder="1" applyAlignment="1">
      <alignment horizontal="center" vertical="center" wrapText="1"/>
    </xf>
    <xf numFmtId="0" fontId="7" fillId="5" borderId="3" xfId="0" applyNumberFormat="1" applyFont="1" applyFill="1" applyBorder="1" applyAlignment="1">
      <alignment horizontal="center" vertical="center" wrapText="1"/>
    </xf>
    <xf numFmtId="0" fontId="8" fillId="0" borderId="0" xfId="0" applyNumberFormat="1" applyFont="1" applyFill="1" applyBorder="1"/>
    <xf numFmtId="166" fontId="8" fillId="0" borderId="0" xfId="0" applyNumberFormat="1" applyFont="1" applyFill="1" applyBorder="1"/>
    <xf numFmtId="164" fontId="6" fillId="0" borderId="0" xfId="0" applyNumberFormat="1" applyFont="1" applyFill="1" applyBorder="1"/>
    <xf numFmtId="165" fontId="6" fillId="0" borderId="0" xfId="0" applyNumberFormat="1" applyFont="1" applyFill="1" applyBorder="1"/>
    <xf numFmtId="165" fontId="0" fillId="0" borderId="0" xfId="0" applyNumberFormat="1" applyFont="1" applyFill="1" applyBorder="1"/>
    <xf numFmtId="165" fontId="8" fillId="0" borderId="0" xfId="0" applyNumberFormat="1" applyFont="1" applyFill="1" applyBorder="1"/>
    <xf numFmtId="0" fontId="8" fillId="0" borderId="0" xfId="0" applyNumberFormat="1" applyFont="1" applyFill="1" applyBorder="1" applyAlignment="1">
      <alignment wrapText="1"/>
    </xf>
    <xf numFmtId="165" fontId="8" fillId="0" borderId="0" xfId="0" applyNumberFormat="1" applyFont="1" applyFill="1" applyBorder="1" applyAlignment="1">
      <alignment wrapText="1"/>
    </xf>
    <xf numFmtId="167" fontId="6" fillId="0" borderId="0" xfId="0" applyNumberFormat="1" applyFont="1" applyFill="1" applyBorder="1"/>
    <xf numFmtId="164" fontId="8" fillId="0" borderId="0" xfId="0" applyNumberFormat="1" applyFont="1" applyFill="1" applyBorder="1" applyAlignment="1">
      <alignment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center"/>
    </xf>
    <xf numFmtId="0" fontId="8" fillId="0" borderId="0" xfId="0" applyNumberFormat="1" applyFont="1" applyFill="1" applyBorder="1" applyAlignment="1">
      <alignment vertical="center"/>
    </xf>
    <xf numFmtId="0" fontId="8" fillId="0" borderId="0" xfId="0" applyNumberFormat="1" applyFont="1" applyFill="1" applyBorder="1" applyAlignment="1">
      <alignment vertical="center" wrapText="1"/>
    </xf>
    <xf numFmtId="0" fontId="7" fillId="0" borderId="0" xfId="0" applyNumberFormat="1" applyFont="1" applyFill="1" applyBorder="1" applyAlignment="1">
      <alignment vertical="center"/>
    </xf>
    <xf numFmtId="0" fontId="8" fillId="6" borderId="0" xfId="0" applyNumberFormat="1" applyFont="1" applyFill="1" applyBorder="1" applyAlignment="1">
      <alignment vertical="center"/>
    </xf>
    <xf numFmtId="0" fontId="8" fillId="8" borderId="0" xfId="0" applyNumberFormat="1" applyFont="1" applyFill="1" applyBorder="1" applyAlignment="1">
      <alignment vertical="center"/>
    </xf>
    <xf numFmtId="0" fontId="8" fillId="7" borderId="0" xfId="0" applyNumberFormat="1" applyFont="1" applyFill="1" applyBorder="1" applyAlignment="1">
      <alignment vertical="center"/>
    </xf>
    <xf numFmtId="165" fontId="8" fillId="0" borderId="0" xfId="0" applyNumberFormat="1" applyFont="1" applyFill="1" applyBorder="1" applyAlignment="1">
      <alignment vertical="center"/>
    </xf>
    <xf numFmtId="164" fontId="8" fillId="6" borderId="0" xfId="0" applyNumberFormat="1" applyFont="1" applyFill="1" applyBorder="1" applyAlignment="1">
      <alignment vertical="center"/>
    </xf>
    <xf numFmtId="166" fontId="8" fillId="0" borderId="0" xfId="0" applyNumberFormat="1" applyFont="1" applyFill="1" applyBorder="1" applyAlignment="1">
      <alignment vertical="center"/>
    </xf>
    <xf numFmtId="164" fontId="5" fillId="6" borderId="0" xfId="0" applyNumberFormat="1" applyFont="1" applyFill="1" applyBorder="1" applyAlignment="1">
      <alignment vertical="center"/>
    </xf>
    <xf numFmtId="166" fontId="8" fillId="6" borderId="0" xfId="0" applyNumberFormat="1" applyFont="1" applyFill="1" applyBorder="1" applyAlignment="1">
      <alignment vertical="center"/>
    </xf>
    <xf numFmtId="166" fontId="5" fillId="6" borderId="0" xfId="0" applyNumberFormat="1" applyFont="1" applyFill="1" applyBorder="1" applyAlignment="1">
      <alignment vertical="center"/>
    </xf>
    <xf numFmtId="167" fontId="8" fillId="6" borderId="0" xfId="0" applyNumberFormat="1" applyFont="1" applyFill="1" applyBorder="1" applyAlignment="1">
      <alignment vertical="center"/>
    </xf>
    <xf numFmtId="167" fontId="5" fillId="6" borderId="0" xfId="0" applyNumberFormat="1" applyFont="1" applyFill="1" applyBorder="1" applyAlignment="1">
      <alignment vertical="center"/>
    </xf>
    <xf numFmtId="164" fontId="8" fillId="0" borderId="0" xfId="0" applyNumberFormat="1" applyFont="1" applyFill="1" applyBorder="1" applyAlignment="1">
      <alignment vertical="center" wrapText="1"/>
    </xf>
    <xf numFmtId="0" fontId="8" fillId="6" borderId="0" xfId="0" applyNumberFormat="1" applyFont="1" applyFill="1" applyBorder="1" applyAlignment="1">
      <alignment vertical="center" wrapText="1"/>
    </xf>
    <xf numFmtId="164" fontId="7" fillId="7" borderId="4" xfId="0" applyNumberFormat="1" applyFont="1" applyFill="1" applyBorder="1" applyAlignment="1">
      <alignment vertical="center" wrapText="1"/>
    </xf>
    <xf numFmtId="168" fontId="8" fillId="0" borderId="0" xfId="0" applyNumberFormat="1" applyFont="1" applyFill="1" applyBorder="1" applyAlignment="1">
      <alignment vertical="center"/>
    </xf>
    <xf numFmtId="164" fontId="8" fillId="0" borderId="0" xfId="0" applyNumberFormat="1" applyFont="1" applyFill="1" applyBorder="1" applyAlignment="1">
      <alignment vertical="center"/>
    </xf>
    <xf numFmtId="165" fontId="7" fillId="7" borderId="4" xfId="0" applyNumberFormat="1" applyFont="1" applyFill="1" applyBorder="1" applyAlignment="1">
      <alignment vertical="center"/>
    </xf>
    <xf numFmtId="165" fontId="8" fillId="0" borderId="0" xfId="0" applyNumberFormat="1" applyFont="1" applyFill="1" applyBorder="1" applyAlignment="1">
      <alignment vertical="center" wrapText="1"/>
    </xf>
    <xf numFmtId="166" fontId="8" fillId="0" borderId="0" xfId="0" applyNumberFormat="1" applyFont="1" applyFill="1" applyBorder="1" applyAlignment="1">
      <alignment vertical="center" wrapText="1"/>
    </xf>
    <xf numFmtId="165" fontId="7" fillId="7" borderId="4" xfId="0" applyNumberFormat="1" applyFont="1" applyFill="1" applyBorder="1" applyAlignment="1">
      <alignment vertical="center" wrapText="1"/>
    </xf>
    <xf numFmtId="166" fontId="7" fillId="7" borderId="4" xfId="0" applyNumberFormat="1" applyFont="1" applyFill="1" applyBorder="1" applyAlignment="1">
      <alignment vertical="center" wrapText="1"/>
    </xf>
    <xf numFmtId="166" fontId="7" fillId="7" borderId="5" xfId="0" applyNumberFormat="1" applyFont="1" applyFill="1" applyBorder="1" applyAlignment="1">
      <alignment vertical="center" wrapText="1"/>
    </xf>
    <xf numFmtId="166" fontId="7" fillId="7" borderId="0" xfId="0" applyNumberFormat="1" applyFont="1" applyFill="1" applyBorder="1" applyAlignment="1">
      <alignment vertical="center" wrapText="1"/>
    </xf>
    <xf numFmtId="166" fontId="7" fillId="7" borderId="6" xfId="0" applyNumberFormat="1" applyFont="1" applyFill="1" applyBorder="1" applyAlignment="1">
      <alignment vertical="center" wrapText="1"/>
    </xf>
    <xf numFmtId="165" fontId="8" fillId="6" borderId="0" xfId="0" applyNumberFormat="1" applyFont="1" applyFill="1" applyBorder="1" applyAlignment="1">
      <alignment vertical="center" wrapText="1"/>
    </xf>
    <xf numFmtId="169" fontId="8" fillId="0" borderId="0" xfId="0" applyNumberFormat="1" applyFont="1" applyFill="1" applyBorder="1" applyAlignment="1">
      <alignment vertical="center" wrapText="1"/>
    </xf>
    <xf numFmtId="165" fontId="7" fillId="7" borderId="5" xfId="0" applyNumberFormat="1" applyFont="1" applyFill="1" applyBorder="1" applyAlignment="1">
      <alignment vertical="center" wrapText="1"/>
    </xf>
    <xf numFmtId="165" fontId="7" fillId="7" borderId="0" xfId="0" applyNumberFormat="1" applyFont="1" applyFill="1" applyBorder="1" applyAlignment="1">
      <alignment vertical="center" wrapText="1"/>
    </xf>
    <xf numFmtId="165" fontId="7" fillId="7" borderId="6" xfId="0" applyNumberFormat="1" applyFont="1" applyFill="1" applyBorder="1" applyAlignment="1">
      <alignment vertical="center" wrapText="1"/>
    </xf>
    <xf numFmtId="165" fontId="7" fillId="7" borderId="5" xfId="0" applyNumberFormat="1" applyFont="1" applyFill="1" applyBorder="1" applyAlignment="1">
      <alignment vertical="center"/>
    </xf>
    <xf numFmtId="165" fontId="7" fillId="7" borderId="6" xfId="0" applyNumberFormat="1" applyFont="1" applyFill="1" applyBorder="1" applyAlignment="1">
      <alignment vertical="center"/>
    </xf>
    <xf numFmtId="167" fontId="8" fillId="0" borderId="0" xfId="0" applyNumberFormat="1" applyFont="1" applyFill="1" applyBorder="1" applyAlignment="1">
      <alignment vertical="center"/>
    </xf>
    <xf numFmtId="0" fontId="7" fillId="7" borderId="5" xfId="0" applyNumberFormat="1" applyFont="1" applyFill="1" applyBorder="1" applyAlignment="1">
      <alignment vertical="center"/>
    </xf>
    <xf numFmtId="0" fontId="7" fillId="7" borderId="0" xfId="0" applyNumberFormat="1" applyFont="1" applyFill="1" applyBorder="1" applyAlignment="1">
      <alignment vertical="center"/>
    </xf>
    <xf numFmtId="164" fontId="7" fillId="7" borderId="0" xfId="0" applyNumberFormat="1" applyFont="1" applyFill="1" applyBorder="1" applyAlignment="1">
      <alignment vertical="center"/>
    </xf>
    <xf numFmtId="165" fontId="7" fillId="7" borderId="0" xfId="0" applyNumberFormat="1" applyFont="1" applyFill="1" applyBorder="1" applyAlignment="1">
      <alignment vertical="center"/>
    </xf>
    <xf numFmtId="0" fontId="7" fillId="7" borderId="6" xfId="0" applyNumberFormat="1" applyFont="1" applyFill="1" applyBorder="1" applyAlignment="1">
      <alignment vertical="center"/>
    </xf>
    <xf numFmtId="170" fontId="7" fillId="7" borderId="6" xfId="0" applyNumberFormat="1" applyFont="1" applyFill="1" applyBorder="1" applyAlignment="1">
      <alignment vertical="center"/>
    </xf>
    <xf numFmtId="165" fontId="7" fillId="5" borderId="0" xfId="0" applyNumberFormat="1" applyFont="1" applyFill="1" applyBorder="1" applyAlignment="1">
      <alignment horizontal="center" vertical="center"/>
    </xf>
    <xf numFmtId="164" fontId="7" fillId="5" borderId="0" xfId="0" applyNumberFormat="1" applyFont="1" applyFill="1" applyBorder="1" applyAlignment="1">
      <alignment horizontal="center" vertical="center"/>
    </xf>
    <xf numFmtId="0" fontId="7" fillId="7" borderId="4" xfId="0" applyNumberFormat="1" applyFont="1" applyFill="1" applyBorder="1" applyAlignment="1">
      <alignment vertical="center"/>
    </xf>
    <xf numFmtId="0" fontId="1" fillId="9" borderId="0" xfId="0" applyNumberFormat="1" applyFont="1" applyFill="1" applyBorder="1" applyAlignment="1">
      <alignment vertical="center"/>
    </xf>
    <xf numFmtId="0" fontId="3" fillId="10" borderId="0" xfId="0" applyNumberFormat="1" applyFont="1" applyFill="1" applyBorder="1" applyAlignment="1">
      <alignment vertical="center"/>
    </xf>
    <xf numFmtId="0" fontId="4" fillId="11" borderId="1" xfId="0" applyNumberFormat="1" applyFont="1" applyFill="1" applyBorder="1" applyAlignment="1">
      <alignment horizontal="center" vertical="center" wrapText="1"/>
    </xf>
    <xf numFmtId="0" fontId="4" fillId="11" borderId="2" xfId="0" applyNumberFormat="1" applyFont="1" applyFill="1" applyBorder="1" applyAlignment="1">
      <alignment horizontal="center" vertical="center" wrapText="1"/>
    </xf>
    <xf numFmtId="0" fontId="4" fillId="11" borderId="3" xfId="0" applyNumberFormat="1" applyFont="1" applyFill="1" applyBorder="1" applyAlignment="1">
      <alignment horizontal="center" vertical="center" wrapText="1"/>
    </xf>
    <xf numFmtId="166" fontId="6" fillId="0" borderId="0" xfId="0" applyNumberFormat="1" applyFont="1" applyFill="1" applyBorder="1" applyAlignment="1">
      <alignment vertical="center"/>
    </xf>
    <xf numFmtId="0" fontId="5" fillId="12" borderId="0" xfId="0" applyNumberFormat="1" applyFont="1" applyFill="1" applyBorder="1" applyAlignment="1">
      <alignment vertical="center"/>
    </xf>
    <xf numFmtId="164" fontId="5" fillId="12" borderId="0" xfId="0" applyNumberFormat="1" applyFont="1" applyFill="1" applyBorder="1" applyAlignment="1">
      <alignment vertical="center"/>
    </xf>
    <xf numFmtId="0" fontId="4" fillId="11" borderId="0" xfId="0" applyNumberFormat="1" applyFont="1" applyFill="1" applyBorder="1" applyAlignment="1">
      <alignment horizontal="center" vertical="center" wrapText="1"/>
    </xf>
    <xf numFmtId="0" fontId="6" fillId="0" borderId="0" xfId="0" applyNumberFormat="1" applyFont="1" applyFill="1" applyBorder="1"/>
    <xf numFmtId="0" fontId="7" fillId="11" borderId="0" xfId="0" applyNumberFormat="1" applyFont="1" applyFill="1" applyBorder="1" applyAlignment="1">
      <alignment horizontal="center" vertical="center" wrapText="1"/>
    </xf>
    <xf numFmtId="0" fontId="8" fillId="0" borderId="0" xfId="0" applyNumberFormat="1" applyFont="1" applyFill="1" applyBorder="1"/>
    <xf numFmtId="165" fontId="7" fillId="13" borderId="4" xfId="0" applyNumberFormat="1" applyFont="1" applyFill="1" applyBorder="1" applyAlignment="1">
      <alignment vertical="center"/>
    </xf>
    <xf numFmtId="0" fontId="8" fillId="0" borderId="0" xfId="0" applyNumberFormat="1" applyFont="1" applyFill="1" applyBorder="1" applyAlignment="1">
      <alignment vertical="center" wrapText="1"/>
    </xf>
    <xf numFmtId="168" fontId="8" fillId="0" borderId="0" xfId="0" applyNumberFormat="1" applyFont="1" applyFill="1" applyBorder="1" applyAlignment="1">
      <alignment vertical="center" wrapText="1"/>
    </xf>
    <xf numFmtId="164" fontId="8" fillId="12" borderId="0" xfId="0" applyNumberFormat="1" applyFont="1" applyFill="1" applyBorder="1" applyAlignment="1">
      <alignment vertical="center" wrapText="1"/>
    </xf>
    <xf numFmtId="165" fontId="8" fillId="12" borderId="0" xfId="0" applyNumberFormat="1" applyFont="1" applyFill="1" applyBorder="1" applyAlignment="1">
      <alignment vertical="center" wrapText="1"/>
    </xf>
    <xf numFmtId="167" fontId="8" fillId="12" borderId="0" xfId="0" applyNumberFormat="1" applyFont="1" applyFill="1" applyBorder="1" applyAlignment="1">
      <alignment vertical="center" wrapText="1"/>
    </xf>
    <xf numFmtId="0" fontId="8" fillId="12" borderId="0" xfId="0" applyNumberFormat="1" applyFont="1" applyFill="1" applyBorder="1" applyAlignment="1">
      <alignment vertical="center" wrapText="1"/>
    </xf>
    <xf numFmtId="165" fontId="7" fillId="13" borderId="4" xfId="0" applyNumberFormat="1" applyFont="1" applyFill="1" applyBorder="1" applyAlignment="1">
      <alignment vertical="center" wrapText="1"/>
    </xf>
    <xf numFmtId="166" fontId="8" fillId="12" borderId="0" xfId="0" applyNumberFormat="1" applyFont="1" applyFill="1" applyBorder="1" applyAlignment="1">
      <alignment vertical="center" wrapText="1"/>
    </xf>
    <xf numFmtId="165" fontId="7" fillId="13" borderId="5" xfId="0" applyNumberFormat="1" applyFont="1" applyFill="1" applyBorder="1" applyAlignment="1">
      <alignment vertical="center" wrapText="1"/>
    </xf>
    <xf numFmtId="165" fontId="7" fillId="13" borderId="6" xfId="0" applyNumberFormat="1" applyFont="1" applyFill="1" applyBorder="1" applyAlignment="1">
      <alignment vertical="center" wrapText="1"/>
    </xf>
    <xf numFmtId="166" fontId="7" fillId="13" borderId="4" xfId="0" applyNumberFormat="1" applyFont="1" applyFill="1" applyBorder="1" applyAlignment="1">
      <alignment vertical="center" wrapText="1"/>
    </xf>
    <xf numFmtId="168" fontId="7" fillId="13" borderId="4" xfId="0" applyNumberFormat="1" applyFont="1" applyFill="1" applyBorder="1" applyAlignment="1">
      <alignment vertical="center"/>
    </xf>
    <xf numFmtId="166" fontId="9" fillId="13" borderId="4" xfId="0" applyNumberFormat="1" applyFont="1" applyFill="1" applyBorder="1" applyAlignment="1">
      <alignment vertical="center"/>
    </xf>
    <xf numFmtId="165" fontId="5" fillId="12" borderId="0" xfId="0" applyNumberFormat="1" applyFont="1" applyFill="1" applyBorder="1" applyAlignment="1">
      <alignment vertical="center" wrapText="1"/>
    </xf>
    <xf numFmtId="168" fontId="6" fillId="6" borderId="0" xfId="0" applyNumberFormat="1" applyFont="1" applyFill="1" applyBorder="1" applyAlignment="1">
      <alignment vertical="center" wrapText="1"/>
    </xf>
    <xf numFmtId="165" fontId="6" fillId="0" borderId="0" xfId="0" applyNumberFormat="1" applyFont="1" applyFill="1" applyBorder="1" applyAlignment="1">
      <alignment vertical="center" wrapText="1"/>
    </xf>
    <xf numFmtId="165" fontId="7" fillId="13" borderId="0" xfId="0" applyNumberFormat="1" applyFont="1" applyFill="1" applyAlignment="1">
      <alignment vertical="center" wrapText="1"/>
    </xf>
    <xf numFmtId="166" fontId="6" fillId="6" borderId="0" xfId="0" applyNumberFormat="1" applyFont="1" applyFill="1" applyBorder="1" applyAlignment="1">
      <alignment vertical="center" wrapText="1"/>
    </xf>
    <xf numFmtId="165" fontId="9" fillId="13" borderId="5" xfId="0" applyNumberFormat="1" applyFont="1" applyFill="1" applyBorder="1" applyAlignment="1">
      <alignment vertical="center" wrapText="1"/>
    </xf>
    <xf numFmtId="165" fontId="9" fillId="13" borderId="0" xfId="0" applyNumberFormat="1" applyFont="1" applyFill="1" applyAlignment="1">
      <alignment vertical="center" wrapText="1"/>
    </xf>
    <xf numFmtId="165" fontId="9" fillId="13" borderId="6" xfId="0" applyNumberFormat="1" applyFont="1" applyFill="1" applyBorder="1" applyAlignment="1">
      <alignment vertical="center" wrapText="1"/>
    </xf>
    <xf numFmtId="164" fontId="7" fillId="5" borderId="2" xfId="0" applyNumberFormat="1" applyFont="1" applyFill="1" applyBorder="1" applyAlignment="1">
      <alignment horizontal="center" vertical="center" wrapText="1"/>
    </xf>
    <xf numFmtId="168" fontId="6" fillId="6" borderId="0" xfId="0" applyNumberFormat="1" applyFont="1" applyFill="1" applyBorder="1" applyAlignment="1">
      <alignment vertical="center"/>
    </xf>
    <xf numFmtId="165" fontId="6" fillId="0" borderId="0" xfId="0" applyNumberFormat="1" applyFont="1" applyFill="1" applyBorder="1" applyAlignment="1">
      <alignment vertical="center"/>
    </xf>
    <xf numFmtId="165" fontId="9" fillId="13" borderId="4" xfId="0" applyNumberFormat="1" applyFont="1" applyFill="1" applyBorder="1" applyAlignment="1">
      <alignment vertical="center"/>
    </xf>
    <xf numFmtId="166" fontId="9" fillId="13" borderId="0" xfId="0" applyNumberFormat="1" applyFont="1" applyFill="1" applyBorder="1" applyAlignment="1">
      <alignment vertical="center"/>
    </xf>
    <xf numFmtId="168" fontId="7" fillId="13" borderId="0" xfId="0" applyNumberFormat="1" applyFont="1" applyFill="1" applyBorder="1" applyAlignment="1">
      <alignment vertical="center"/>
    </xf>
    <xf numFmtId="164" fontId="0" fillId="0" borderId="0" xfId="0" applyNumberFormat="1" applyFont="1" applyFill="1" applyBorder="1" applyAlignment="1">
      <alignment vertical="center"/>
    </xf>
    <xf numFmtId="168" fontId="6" fillId="0" borderId="0" xfId="0" applyNumberFormat="1" applyFont="1" applyFill="1" applyBorder="1" applyAlignment="1">
      <alignment vertical="center"/>
    </xf>
    <xf numFmtId="0" fontId="0" fillId="0" borderId="0" xfId="0" applyNumberFormat="1" applyFont="1" applyFill="1" applyBorder="1" applyAlignment="1">
      <alignment vertical="center" wrapText="1"/>
    </xf>
    <xf numFmtId="0" fontId="12" fillId="0" borderId="0" xfId="0" applyNumberFormat="1" applyFont="1" applyFill="1" applyBorder="1" applyAlignment="1">
      <alignment vertical="center" wrapText="1"/>
    </xf>
    <xf numFmtId="0" fontId="8" fillId="16" borderId="16" xfId="0" applyNumberFormat="1" applyFont="1" applyFill="1" applyBorder="1" applyAlignment="1">
      <alignment vertical="center" wrapText="1"/>
    </xf>
    <xf numFmtId="0" fontId="8" fillId="16" borderId="19" xfId="0" applyNumberFormat="1" applyFont="1" applyFill="1" applyBorder="1" applyAlignment="1">
      <alignment vertical="center" wrapText="1"/>
    </xf>
    <xf numFmtId="0" fontId="8" fillId="16" borderId="22" xfId="0" applyNumberFormat="1" applyFont="1" applyFill="1" applyBorder="1" applyAlignment="1">
      <alignment vertical="center" wrapText="1"/>
    </xf>
    <xf numFmtId="0" fontId="17" fillId="17" borderId="15" xfId="0" applyNumberFormat="1" applyFont="1" applyFill="1" applyBorder="1" applyAlignment="1">
      <alignment horizontal="center" vertical="center" wrapText="1"/>
    </xf>
    <xf numFmtId="0" fontId="17" fillId="17" borderId="18" xfId="0" applyNumberFormat="1" applyFont="1" applyFill="1" applyBorder="1" applyAlignment="1">
      <alignment horizontal="center" vertical="center" wrapText="1"/>
    </xf>
    <xf numFmtId="0" fontId="17" fillId="17" borderId="21" xfId="0" applyNumberFormat="1" applyFont="1" applyFill="1" applyBorder="1" applyAlignment="1">
      <alignment horizontal="center" vertical="center" wrapText="1"/>
    </xf>
    <xf numFmtId="0" fontId="18" fillId="16" borderId="16" xfId="0" applyNumberFormat="1" applyFont="1" applyFill="1" applyBorder="1" applyAlignment="1">
      <alignment vertical="center" wrapText="1"/>
    </xf>
    <xf numFmtId="0" fontId="18" fillId="16" borderId="19" xfId="0" applyNumberFormat="1" applyFont="1" applyFill="1" applyBorder="1" applyAlignment="1">
      <alignment vertical="center" wrapText="1"/>
    </xf>
    <xf numFmtId="0" fontId="18" fillId="16" borderId="22" xfId="0" applyNumberFormat="1" applyFont="1" applyFill="1" applyBorder="1" applyAlignment="1">
      <alignment vertical="center" wrapText="1"/>
    </xf>
    <xf numFmtId="0" fontId="4" fillId="18" borderId="24" xfId="0" applyNumberFormat="1" applyFont="1" applyFill="1" applyBorder="1" applyAlignment="1">
      <alignment horizontal="center" vertical="center" wrapText="1"/>
    </xf>
    <xf numFmtId="0" fontId="4" fillId="18" borderId="25" xfId="0" applyNumberFormat="1" applyFont="1" applyFill="1" applyBorder="1" applyAlignment="1">
      <alignment horizontal="center" vertical="center" wrapText="1"/>
    </xf>
    <xf numFmtId="0" fontId="4" fillId="18" borderId="26" xfId="0" applyNumberFormat="1" applyFont="1" applyFill="1" applyBorder="1" applyAlignment="1">
      <alignment horizontal="center" vertical="center" wrapText="1"/>
    </xf>
    <xf numFmtId="0" fontId="8" fillId="0" borderId="27" xfId="0" applyNumberFormat="1" applyFont="1" applyFill="1" applyBorder="1" applyAlignment="1">
      <alignment vertical="top" wrapText="1"/>
    </xf>
    <xf numFmtId="0" fontId="8" fillId="0" borderId="28" xfId="0" applyNumberFormat="1" applyFont="1" applyFill="1" applyBorder="1" applyAlignment="1">
      <alignment vertical="top" wrapText="1"/>
    </xf>
    <xf numFmtId="0" fontId="8" fillId="0" borderId="29" xfId="0" applyNumberFormat="1" applyFont="1" applyFill="1" applyBorder="1" applyAlignment="1">
      <alignment vertical="top" wrapText="1"/>
    </xf>
    <xf numFmtId="0" fontId="19" fillId="17" borderId="27" xfId="0" applyNumberFormat="1" applyFont="1" applyFill="1" applyBorder="1" applyAlignment="1">
      <alignment horizontal="center" vertical="top" wrapText="1"/>
    </xf>
    <xf numFmtId="0" fontId="19" fillId="17" borderId="28" xfId="0" applyNumberFormat="1" applyFont="1" applyFill="1" applyBorder="1" applyAlignment="1">
      <alignment horizontal="center" vertical="top" wrapText="1"/>
    </xf>
    <xf numFmtId="0" fontId="19" fillId="17" borderId="29" xfId="0" applyNumberFormat="1" applyFont="1" applyFill="1" applyBorder="1" applyAlignment="1">
      <alignment horizontal="center" vertical="top" wrapText="1"/>
    </xf>
    <xf numFmtId="0" fontId="18" fillId="19" borderId="27" xfId="0" applyNumberFormat="1" applyFont="1" applyFill="1" applyBorder="1" applyAlignment="1">
      <alignment vertical="top" wrapText="1"/>
    </xf>
    <xf numFmtId="0" fontId="18" fillId="19" borderId="28" xfId="0" applyNumberFormat="1" applyFont="1" applyFill="1" applyBorder="1" applyAlignment="1">
      <alignment vertical="top" wrapText="1"/>
    </xf>
    <xf numFmtId="0" fontId="18" fillId="19" borderId="29" xfId="0" applyNumberFormat="1" applyFont="1" applyFill="1" applyBorder="1" applyAlignment="1">
      <alignment vertical="top" wrapText="1"/>
    </xf>
    <xf numFmtId="0" fontId="20" fillId="0" borderId="0" xfId="0" applyNumberFormat="1" applyFont="1" applyFill="1" applyBorder="1"/>
    <xf numFmtId="165" fontId="5" fillId="20" borderId="0" xfId="0" applyNumberFormat="1" applyFont="1" applyFill="1" applyBorder="1" applyAlignment="1">
      <alignment vertical="center" wrapText="1"/>
    </xf>
    <xf numFmtId="167" fontId="5" fillId="20" borderId="0" xfId="0" applyNumberFormat="1" applyFont="1" applyFill="1" applyBorder="1" applyAlignment="1">
      <alignment vertical="center" wrapText="1"/>
    </xf>
    <xf numFmtId="2" fontId="5" fillId="20" borderId="0" xfId="0" applyNumberFormat="1" applyFont="1" applyFill="1" applyBorder="1" applyAlignment="1">
      <alignment vertical="center" wrapText="1"/>
    </xf>
    <xf numFmtId="0" fontId="4" fillId="24" borderId="1" xfId="0" applyNumberFormat="1" applyFont="1" applyFill="1" applyBorder="1" applyAlignment="1">
      <alignment horizontal="center" vertical="center" wrapText="1"/>
    </xf>
    <xf numFmtId="0" fontId="4" fillId="24" borderId="2" xfId="0" applyNumberFormat="1" applyFont="1" applyFill="1" applyBorder="1" applyAlignment="1">
      <alignment horizontal="center" vertical="center" wrapText="1"/>
    </xf>
    <xf numFmtId="0" fontId="4" fillId="24" borderId="3" xfId="0" applyNumberFormat="1" applyFont="1" applyFill="1" applyBorder="1" applyAlignment="1">
      <alignment horizontal="center" vertical="center" wrapText="1"/>
    </xf>
    <xf numFmtId="0" fontId="5" fillId="20" borderId="0" xfId="0" applyNumberFormat="1" applyFont="1" applyFill="1" applyBorder="1"/>
    <xf numFmtId="165" fontId="5" fillId="20" borderId="0" xfId="0" applyNumberFormat="1" applyFont="1" applyFill="1" applyBorder="1"/>
    <xf numFmtId="166" fontId="5" fillId="20" borderId="0" xfId="0" applyNumberFormat="1" applyFont="1" applyFill="1" applyBorder="1"/>
    <xf numFmtId="165" fontId="7" fillId="25" borderId="4" xfId="0" applyNumberFormat="1" applyFont="1" applyFill="1" applyBorder="1"/>
    <xf numFmtId="0" fontId="11" fillId="26" borderId="0" xfId="0" applyNumberFormat="1" applyFont="1" applyFill="1" applyBorder="1" applyAlignment="1">
      <alignment wrapText="1"/>
    </xf>
    <xf numFmtId="164" fontId="5" fillId="20" borderId="0" xfId="0" applyNumberFormat="1" applyFont="1" applyFill="1" applyBorder="1"/>
    <xf numFmtId="165" fontId="6" fillId="20" borderId="0" xfId="0" applyNumberFormat="1" applyFont="1" applyFill="1" applyBorder="1"/>
    <xf numFmtId="2" fontId="5" fillId="20" borderId="0" xfId="0" applyNumberFormat="1" applyFont="1" applyFill="1" applyBorder="1"/>
    <xf numFmtId="165" fontId="7" fillId="25" borderId="5" xfId="0" applyNumberFormat="1" applyFont="1" applyFill="1" applyBorder="1"/>
    <xf numFmtId="165" fontId="7" fillId="25" borderId="6" xfId="0" applyNumberFormat="1" applyFont="1" applyFill="1" applyBorder="1"/>
    <xf numFmtId="165" fontId="6" fillId="0" borderId="0" xfId="0" applyNumberFormat="1" applyFont="1" applyFill="1" applyBorder="1" applyAlignment="1">
      <alignment wrapText="1"/>
    </xf>
    <xf numFmtId="0" fontId="22" fillId="0" borderId="0" xfId="0" applyNumberFormat="1" applyFont="1" applyFill="1" applyBorder="1" applyAlignment="1">
      <alignment wrapText="1"/>
    </xf>
    <xf numFmtId="0" fontId="0" fillId="0" borderId="0" xfId="0" applyNumberFormat="1" applyFont="1" applyFill="1" applyBorder="1"/>
    <xf numFmtId="164" fontId="0" fillId="0" borderId="0" xfId="0" applyNumberFormat="1" applyFont="1" applyFill="1" applyBorder="1" applyAlignment="1">
      <alignment wrapText="1"/>
    </xf>
    <xf numFmtId="165" fontId="0" fillId="0" borderId="0" xfId="0" applyNumberFormat="1" applyFont="1" applyFill="1" applyBorder="1" applyAlignment="1">
      <alignment wrapText="1"/>
    </xf>
    <xf numFmtId="0" fontId="7" fillId="2" borderId="0" xfId="0" applyNumberFormat="1" applyFont="1" applyFill="1" applyBorder="1" applyAlignment="1">
      <alignment vertical="top" wrapText="1"/>
    </xf>
    <xf numFmtId="0" fontId="8" fillId="8" borderId="31" xfId="0" applyNumberFormat="1" applyFont="1" applyFill="1" applyBorder="1" applyAlignment="1">
      <alignment vertical="top" wrapText="1"/>
    </xf>
    <xf numFmtId="0" fontId="8" fillId="8" borderId="32" xfId="0" applyNumberFormat="1" applyFont="1" applyFill="1" applyBorder="1" applyAlignment="1">
      <alignment vertical="top" wrapText="1"/>
    </xf>
    <xf numFmtId="0" fontId="8" fillId="8" borderId="0" xfId="0" applyNumberFormat="1" applyFont="1" applyFill="1" applyAlignment="1">
      <alignment vertical="top" wrapText="1"/>
    </xf>
    <xf numFmtId="0" fontId="8" fillId="8" borderId="34" xfId="0" applyNumberFormat="1" applyFont="1" applyFill="1" applyBorder="1" applyAlignment="1">
      <alignment vertical="top" wrapText="1"/>
    </xf>
    <xf numFmtId="0" fontId="8" fillId="8" borderId="36" xfId="0" applyNumberFormat="1" applyFont="1" applyFill="1" applyBorder="1" applyAlignment="1">
      <alignment vertical="top" wrapText="1"/>
    </xf>
    <xf numFmtId="0" fontId="8" fillId="8" borderId="37" xfId="0" applyNumberFormat="1" applyFont="1" applyFill="1" applyBorder="1" applyAlignment="1">
      <alignment vertical="top" wrapText="1"/>
    </xf>
    <xf numFmtId="0" fontId="18" fillId="25" borderId="0" xfId="0" applyNumberFormat="1" applyFont="1" applyFill="1" applyBorder="1" applyAlignment="1">
      <alignment horizontal="center" vertical="center" wrapText="1"/>
    </xf>
    <xf numFmtId="0" fontId="18" fillId="25" borderId="30" xfId="0" applyNumberFormat="1" applyFont="1" applyFill="1" applyBorder="1" applyAlignment="1">
      <alignment horizontal="center" vertical="center" wrapText="1"/>
    </xf>
    <xf numFmtId="0" fontId="18" fillId="25" borderId="33" xfId="0" applyNumberFormat="1" applyFont="1" applyFill="1" applyBorder="1" applyAlignment="1">
      <alignment horizontal="center" vertical="center" wrapText="1"/>
    </xf>
    <xf numFmtId="0" fontId="18" fillId="25" borderId="35" xfId="0" applyNumberFormat="1" applyFont="1" applyFill="1" applyBorder="1" applyAlignment="1">
      <alignment horizontal="center" vertical="center" wrapText="1"/>
    </xf>
    <xf numFmtId="0" fontId="18" fillId="27" borderId="0" xfId="0" applyNumberFormat="1" applyFont="1" applyFill="1" applyBorder="1" applyAlignment="1">
      <alignment vertical="top" wrapText="1"/>
    </xf>
    <xf numFmtId="0" fontId="18" fillId="27" borderId="31" xfId="0" applyNumberFormat="1" applyFont="1" applyFill="1" applyBorder="1" applyAlignment="1">
      <alignment vertical="top" wrapText="1"/>
    </xf>
    <xf numFmtId="0" fontId="18" fillId="27" borderId="0" xfId="0" applyNumberFormat="1" applyFont="1" applyFill="1" applyAlignment="1">
      <alignment vertical="top" wrapText="1"/>
    </xf>
    <xf numFmtId="0" fontId="18" fillId="27" borderId="36" xfId="0" applyNumberFormat="1" applyFont="1" applyFill="1" applyBorder="1" applyAlignment="1">
      <alignment vertical="top" wrapText="1"/>
    </xf>
    <xf numFmtId="0" fontId="4" fillId="31" borderId="0" xfId="0" applyNumberFormat="1" applyFont="1" applyFill="1" applyBorder="1" applyAlignment="1">
      <alignment horizontal="center" vertical="center" wrapText="1"/>
    </xf>
    <xf numFmtId="0" fontId="24" fillId="32" borderId="6" xfId="0" applyNumberFormat="1" applyFont="1" applyFill="1" applyBorder="1"/>
    <xf numFmtId="0" fontId="24" fillId="32" borderId="6" xfId="0" applyNumberFormat="1" applyFont="1" applyFill="1" applyBorder="1" applyAlignment="1">
      <alignment wrapText="1"/>
    </xf>
    <xf numFmtId="0" fontId="9" fillId="31" borderId="0" xfId="0" applyNumberFormat="1" applyFont="1" applyFill="1" applyBorder="1" applyAlignment="1">
      <alignment horizontal="center" vertical="center" wrapText="1"/>
    </xf>
    <xf numFmtId="0" fontId="7" fillId="31" borderId="0" xfId="0" applyNumberFormat="1" applyFont="1" applyFill="1" applyBorder="1" applyAlignment="1">
      <alignment horizontal="center" vertical="center" wrapText="1"/>
    </xf>
    <xf numFmtId="0" fontId="6" fillId="0" borderId="0" xfId="0" applyNumberFormat="1" applyFont="1" applyFill="1" applyBorder="1" applyAlignment="1">
      <alignment wrapText="1"/>
    </xf>
    <xf numFmtId="4" fontId="6" fillId="0" borderId="0" xfId="0" applyNumberFormat="1" applyFont="1" applyFill="1" applyBorder="1" applyAlignment="1">
      <alignment wrapText="1"/>
    </xf>
    <xf numFmtId="4" fontId="8" fillId="0" borderId="0" xfId="0" applyNumberFormat="1" applyFont="1" applyFill="1" applyBorder="1" applyAlignment="1">
      <alignment wrapText="1"/>
    </xf>
    <xf numFmtId="164" fontId="6" fillId="0" borderId="0" xfId="0" applyNumberFormat="1" applyFont="1" applyFill="1" applyBorder="1" applyAlignment="1">
      <alignment wrapText="1"/>
    </xf>
    <xf numFmtId="0" fontId="4" fillId="31" borderId="0" xfId="0" applyNumberFormat="1" applyFont="1" applyFill="1" applyBorder="1" applyAlignment="1">
      <alignment horizontal="center" vertical="center"/>
    </xf>
    <xf numFmtId="0" fontId="0" fillId="0" borderId="15" xfId="0" applyNumberFormat="1" applyFont="1" applyFill="1" applyBorder="1" applyAlignment="1">
      <alignment wrapText="1"/>
    </xf>
    <xf numFmtId="0" fontId="0" fillId="0" borderId="16" xfId="0" applyNumberFormat="1" applyFont="1" applyFill="1" applyBorder="1" applyAlignment="1">
      <alignment wrapText="1"/>
    </xf>
    <xf numFmtId="0" fontId="0" fillId="0" borderId="18" xfId="0" applyNumberFormat="1" applyFont="1" applyFill="1" applyBorder="1" applyAlignment="1">
      <alignment wrapText="1"/>
    </xf>
    <xf numFmtId="0" fontId="0" fillId="0" borderId="19" xfId="0" applyNumberFormat="1" applyFont="1" applyFill="1" applyBorder="1" applyAlignment="1">
      <alignment wrapText="1"/>
    </xf>
    <xf numFmtId="2" fontId="0" fillId="0" borderId="16" xfId="0" applyNumberFormat="1" applyFont="1" applyFill="1" applyBorder="1" applyAlignment="1">
      <alignment wrapText="1"/>
    </xf>
    <xf numFmtId="2" fontId="0" fillId="0" borderId="19" xfId="0" applyNumberFormat="1" applyFont="1" applyFill="1" applyBorder="1" applyAlignment="1">
      <alignment wrapText="1"/>
    </xf>
    <xf numFmtId="0" fontId="26" fillId="36" borderId="0" xfId="0" applyNumberFormat="1" applyFont="1" applyFill="1" applyBorder="1" applyAlignment="1">
      <alignment vertical="center"/>
    </xf>
    <xf numFmtId="164" fontId="8" fillId="37" borderId="0" xfId="0" applyNumberFormat="1" applyFont="1" applyFill="1" applyBorder="1" applyAlignment="1">
      <alignment vertical="center"/>
    </xf>
    <xf numFmtId="0" fontId="8" fillId="37" borderId="0" xfId="0" applyNumberFormat="1" applyFont="1" applyFill="1" applyBorder="1" applyAlignment="1">
      <alignment vertical="center"/>
    </xf>
    <xf numFmtId="165" fontId="8" fillId="37" borderId="0" xfId="0" applyNumberFormat="1" applyFont="1" applyFill="1" applyBorder="1" applyAlignment="1">
      <alignment vertical="center"/>
    </xf>
    <xf numFmtId="0" fontId="5" fillId="37" borderId="0" xfId="0" applyNumberFormat="1" applyFont="1" applyFill="1" applyBorder="1" applyAlignment="1">
      <alignment vertical="center"/>
    </xf>
    <xf numFmtId="164" fontId="5" fillId="37" borderId="0" xfId="0" applyNumberFormat="1" applyFont="1" applyFill="1" applyBorder="1" applyAlignment="1">
      <alignment vertical="center"/>
    </xf>
    <xf numFmtId="0" fontId="8" fillId="37" borderId="0" xfId="0" applyNumberFormat="1" applyFont="1" applyFill="1" applyBorder="1" applyAlignment="1">
      <alignment vertical="center"/>
    </xf>
    <xf numFmtId="0" fontId="7" fillId="37" borderId="2" xfId="0" applyNumberFormat="1" applyFont="1" applyFill="1" applyBorder="1" applyAlignment="1">
      <alignment horizontal="center" vertical="center" wrapText="1"/>
    </xf>
    <xf numFmtId="0" fontId="4" fillId="37" borderId="2" xfId="0" applyNumberFormat="1" applyFont="1" applyFill="1" applyBorder="1" applyAlignment="1">
      <alignment horizontal="center" vertical="center" wrapText="1"/>
    </xf>
    <xf numFmtId="166" fontId="8" fillId="37" borderId="0" xfId="0" applyNumberFormat="1" applyFont="1" applyFill="1" applyBorder="1" applyAlignment="1">
      <alignment vertical="center"/>
    </xf>
    <xf numFmtId="167" fontId="8" fillId="37" borderId="0" xfId="0" applyNumberFormat="1" applyFont="1" applyFill="1" applyBorder="1" applyAlignment="1">
      <alignment vertical="center"/>
    </xf>
    <xf numFmtId="0" fontId="0" fillId="37" borderId="0" xfId="0" applyNumberFormat="1" applyFont="1" applyFill="1" applyBorder="1" applyAlignment="1">
      <alignment vertical="center"/>
    </xf>
    <xf numFmtId="0" fontId="4" fillId="37" borderId="0" xfId="0" applyNumberFormat="1" applyFont="1" applyFill="1" applyBorder="1" applyAlignment="1">
      <alignment horizontal="center" vertical="center" wrapText="1"/>
    </xf>
    <xf numFmtId="165" fontId="5" fillId="37" borderId="0" xfId="0" applyNumberFormat="1" applyFont="1" applyFill="1" applyBorder="1" applyAlignment="1">
      <alignment vertical="center"/>
    </xf>
    <xf numFmtId="0" fontId="0" fillId="37" borderId="0" xfId="0" applyNumberFormat="1" applyFont="1" applyFill="1" applyBorder="1"/>
    <xf numFmtId="166" fontId="27" fillId="38" borderId="0" xfId="0" applyNumberFormat="1" applyFont="1" applyFill="1" applyBorder="1" applyAlignment="1">
      <alignment vertical="center"/>
    </xf>
    <xf numFmtId="0" fontId="28" fillId="38" borderId="0" xfId="0" applyNumberFormat="1" applyFont="1" applyFill="1" applyBorder="1"/>
    <xf numFmtId="165" fontId="29" fillId="37" borderId="0" xfId="0" applyNumberFormat="1" applyFont="1" applyFill="1" applyBorder="1"/>
    <xf numFmtId="0" fontId="27" fillId="38" borderId="0" xfId="0" applyNumberFormat="1" applyFont="1" applyFill="1" applyBorder="1"/>
    <xf numFmtId="165" fontId="29" fillId="37" borderId="0" xfId="0" applyNumberFormat="1" applyFont="1" applyFill="1" applyBorder="1" applyAlignment="1">
      <alignment vertical="center" wrapText="1"/>
    </xf>
    <xf numFmtId="0" fontId="29" fillId="37" borderId="0" xfId="0" applyNumberFormat="1" applyFont="1" applyFill="1" applyBorder="1" applyAlignment="1">
      <alignment vertical="center" wrapText="1"/>
    </xf>
    <xf numFmtId="0" fontId="30" fillId="37" borderId="0" xfId="0" applyNumberFormat="1" applyFont="1" applyFill="1" applyBorder="1" applyAlignment="1">
      <alignment vertical="center"/>
    </xf>
    <xf numFmtId="0" fontId="29" fillId="37" borderId="0" xfId="0" applyNumberFormat="1" applyFont="1" applyFill="1" applyBorder="1" applyAlignment="1">
      <alignment vertical="center"/>
    </xf>
    <xf numFmtId="0" fontId="34" fillId="39" borderId="0" xfId="0" applyNumberFormat="1" applyFont="1" applyFill="1" applyBorder="1" applyAlignment="1">
      <alignment wrapText="1"/>
    </xf>
    <xf numFmtId="0" fontId="36" fillId="36" borderId="16" xfId="0" applyNumberFormat="1" applyFont="1" applyFill="1" applyBorder="1" applyAlignment="1">
      <alignment wrapText="1"/>
    </xf>
    <xf numFmtId="0" fontId="36" fillId="36" borderId="19" xfId="0" applyNumberFormat="1" applyFont="1" applyFill="1" applyBorder="1" applyAlignment="1">
      <alignment wrapText="1"/>
    </xf>
    <xf numFmtId="0" fontId="0" fillId="38" borderId="19" xfId="0" applyNumberFormat="1" applyFont="1" applyFill="1" applyBorder="1" applyAlignment="1">
      <alignment wrapText="1"/>
    </xf>
    <xf numFmtId="0" fontId="1" fillId="9" borderId="0" xfId="0" applyNumberFormat="1" applyFont="1" applyFill="1" applyBorder="1" applyAlignment="1">
      <alignment vertical="center"/>
    </xf>
    <xf numFmtId="0" fontId="2" fillId="3" borderId="0" xfId="0" applyNumberFormat="1" applyFont="1" applyFill="1" applyBorder="1" applyAlignment="1">
      <alignment vertical="center" wrapText="1"/>
    </xf>
    <xf numFmtId="0" fontId="3" fillId="10" borderId="0" xfId="0" applyNumberFormat="1" applyFont="1" applyFill="1" applyBorder="1" applyAlignment="1">
      <alignment vertical="center"/>
    </xf>
    <xf numFmtId="0" fontId="8" fillId="3" borderId="0" xfId="0" applyNumberFormat="1" applyFont="1" applyFill="1" applyBorder="1" applyAlignment="1">
      <alignment vertical="center" wrapText="1"/>
    </xf>
    <xf numFmtId="0" fontId="8" fillId="8" borderId="0" xfId="0" applyNumberFormat="1" applyFont="1" applyFill="1" applyBorder="1" applyAlignment="1">
      <alignment vertical="center" wrapText="1"/>
    </xf>
    <xf numFmtId="0" fontId="7" fillId="4" borderId="0" xfId="0" applyNumberFormat="1" applyFont="1" applyFill="1" applyBorder="1" applyAlignment="1">
      <alignment vertical="center"/>
    </xf>
    <xf numFmtId="0" fontId="7" fillId="7" borderId="7" xfId="0" applyNumberFormat="1" applyFont="1" applyFill="1" applyBorder="1" applyAlignment="1">
      <alignment horizontal="center" vertical="center"/>
    </xf>
    <xf numFmtId="0" fontId="8" fillId="7" borderId="8" xfId="0" applyNumberFormat="1" applyFont="1" applyFill="1" applyBorder="1" applyAlignment="1">
      <alignment horizontal="center" vertical="center"/>
    </xf>
    <xf numFmtId="0" fontId="8" fillId="7" borderId="9" xfId="0" applyNumberFormat="1" applyFont="1" applyFill="1" applyBorder="1" applyAlignment="1">
      <alignment horizontal="center" vertical="center"/>
    </xf>
    <xf numFmtId="166" fontId="7" fillId="7" borderId="10" xfId="0" applyNumberFormat="1" applyFont="1" applyFill="1" applyBorder="1" applyAlignment="1">
      <alignment horizontal="center" vertical="center"/>
    </xf>
    <xf numFmtId="166" fontId="7" fillId="7" borderId="0" xfId="0" applyNumberFormat="1" applyFont="1" applyFill="1" applyBorder="1" applyAlignment="1">
      <alignment horizontal="center" vertical="center"/>
    </xf>
    <xf numFmtId="166" fontId="7" fillId="7" borderId="11" xfId="0" applyNumberFormat="1" applyFont="1" applyFill="1" applyBorder="1" applyAlignment="1">
      <alignment horizontal="center" vertical="center"/>
    </xf>
    <xf numFmtId="166" fontId="7" fillId="7" borderId="12" xfId="0" applyNumberFormat="1" applyFont="1" applyFill="1" applyBorder="1" applyAlignment="1">
      <alignment horizontal="center" vertical="center"/>
    </xf>
    <xf numFmtId="166" fontId="7" fillId="7" borderId="13" xfId="0" applyNumberFormat="1" applyFont="1" applyFill="1" applyBorder="1" applyAlignment="1">
      <alignment horizontal="center" vertical="center"/>
    </xf>
    <xf numFmtId="166" fontId="7" fillId="7" borderId="14" xfId="0" applyNumberFormat="1" applyFont="1" applyFill="1" applyBorder="1" applyAlignment="1">
      <alignment horizontal="center" vertical="center"/>
    </xf>
    <xf numFmtId="0" fontId="7" fillId="3" borderId="7" xfId="0" applyNumberFormat="1" applyFont="1" applyFill="1" applyBorder="1" applyAlignment="1">
      <alignment horizontal="center" vertical="center"/>
    </xf>
    <xf numFmtId="0" fontId="8" fillId="3" borderId="8" xfId="0" applyNumberFormat="1" applyFont="1" applyFill="1" applyBorder="1" applyAlignment="1">
      <alignment horizontal="center" vertical="center"/>
    </xf>
    <xf numFmtId="0" fontId="8" fillId="3" borderId="9" xfId="0" applyNumberFormat="1" applyFont="1" applyFill="1" applyBorder="1" applyAlignment="1">
      <alignment horizontal="center" vertical="center"/>
    </xf>
    <xf numFmtId="165" fontId="7" fillId="3" borderId="10" xfId="0" applyNumberFormat="1" applyFont="1" applyFill="1" applyBorder="1" applyAlignment="1">
      <alignment horizontal="center" vertical="center"/>
    </xf>
    <xf numFmtId="165" fontId="7" fillId="3" borderId="0" xfId="0" applyNumberFormat="1" applyFont="1" applyFill="1" applyBorder="1" applyAlignment="1">
      <alignment horizontal="center" vertical="center"/>
    </xf>
    <xf numFmtId="165" fontId="7" fillId="3" borderId="11" xfId="0" applyNumberFormat="1" applyFont="1" applyFill="1" applyBorder="1" applyAlignment="1">
      <alignment horizontal="center" vertical="center"/>
    </xf>
    <xf numFmtId="168" fontId="7" fillId="3" borderId="12" xfId="0" applyNumberFormat="1" applyFont="1" applyFill="1" applyBorder="1" applyAlignment="1">
      <alignment horizontal="center" vertical="center"/>
    </xf>
    <xf numFmtId="168" fontId="7" fillId="3" borderId="13" xfId="0" applyNumberFormat="1" applyFont="1" applyFill="1" applyBorder="1" applyAlignment="1">
      <alignment horizontal="center" vertical="center"/>
    </xf>
    <xf numFmtId="168" fontId="7" fillId="3" borderId="14" xfId="0" applyNumberFormat="1" applyFont="1" applyFill="1" applyBorder="1" applyAlignment="1">
      <alignment horizontal="center" vertical="center"/>
    </xf>
    <xf numFmtId="165" fontId="7" fillId="7" borderId="10" xfId="0" applyNumberFormat="1" applyFont="1" applyFill="1" applyBorder="1" applyAlignment="1">
      <alignment horizontal="center" vertical="center"/>
    </xf>
    <xf numFmtId="165" fontId="7" fillId="7" borderId="0" xfId="0" applyNumberFormat="1" applyFont="1" applyFill="1" applyBorder="1" applyAlignment="1">
      <alignment horizontal="center" vertical="center"/>
    </xf>
    <xf numFmtId="165" fontId="7" fillId="7" borderId="11" xfId="0" applyNumberFormat="1" applyFont="1" applyFill="1" applyBorder="1" applyAlignment="1">
      <alignment horizontal="center" vertical="center"/>
    </xf>
    <xf numFmtId="168" fontId="7" fillId="7" borderId="12" xfId="0" applyNumberFormat="1" applyFont="1" applyFill="1" applyBorder="1" applyAlignment="1">
      <alignment horizontal="center" vertical="center"/>
    </xf>
    <xf numFmtId="168" fontId="7" fillId="7" borderId="13" xfId="0" applyNumberFormat="1" applyFont="1" applyFill="1" applyBorder="1" applyAlignment="1">
      <alignment horizontal="center" vertical="center"/>
    </xf>
    <xf numFmtId="168" fontId="7" fillId="7" borderId="14" xfId="0" applyNumberFormat="1" applyFont="1" applyFill="1" applyBorder="1" applyAlignment="1">
      <alignment horizontal="center" vertical="center"/>
    </xf>
    <xf numFmtId="164" fontId="7" fillId="3" borderId="12" xfId="0" applyNumberFormat="1" applyFont="1" applyFill="1" applyBorder="1" applyAlignment="1">
      <alignment horizontal="center" vertical="center"/>
    </xf>
    <xf numFmtId="164" fontId="7" fillId="3" borderId="13" xfId="0" applyNumberFormat="1" applyFont="1" applyFill="1" applyBorder="1" applyAlignment="1">
      <alignment horizontal="center" vertical="center"/>
    </xf>
    <xf numFmtId="164" fontId="7" fillId="3" borderId="14" xfId="0" applyNumberFormat="1" applyFont="1" applyFill="1" applyBorder="1" applyAlignment="1">
      <alignment horizontal="center" vertical="center"/>
    </xf>
    <xf numFmtId="168" fontId="7" fillId="7" borderId="10" xfId="0" applyNumberFormat="1" applyFont="1" applyFill="1" applyBorder="1" applyAlignment="1">
      <alignment horizontal="center" vertical="center"/>
    </xf>
    <xf numFmtId="168" fontId="7" fillId="7" borderId="0" xfId="0" applyNumberFormat="1" applyFont="1" applyFill="1" applyBorder="1" applyAlignment="1">
      <alignment horizontal="center" vertical="center"/>
    </xf>
    <xf numFmtId="168" fontId="7" fillId="7" borderId="11" xfId="0" applyNumberFormat="1" applyFont="1" applyFill="1" applyBorder="1" applyAlignment="1">
      <alignment horizontal="center" vertical="center"/>
    </xf>
    <xf numFmtId="168" fontId="7" fillId="3" borderId="10" xfId="0" applyNumberFormat="1" applyFont="1" applyFill="1" applyBorder="1" applyAlignment="1">
      <alignment horizontal="center" vertical="center"/>
    </xf>
    <xf numFmtId="168" fontId="7" fillId="3" borderId="0" xfId="0" applyNumberFormat="1" applyFont="1" applyFill="1" applyBorder="1" applyAlignment="1">
      <alignment horizontal="center" vertical="center"/>
    </xf>
    <xf numFmtId="168" fontId="7" fillId="3" borderId="11" xfId="0" applyNumberFormat="1" applyFont="1" applyFill="1" applyBorder="1" applyAlignment="1">
      <alignment horizontal="center" vertical="center"/>
    </xf>
    <xf numFmtId="166" fontId="7" fillId="3" borderId="12" xfId="0" applyNumberFormat="1" applyFont="1" applyFill="1" applyBorder="1" applyAlignment="1">
      <alignment horizontal="center" vertical="center"/>
    </xf>
    <xf numFmtId="166" fontId="7" fillId="3" borderId="13" xfId="0" applyNumberFormat="1" applyFont="1" applyFill="1" applyBorder="1" applyAlignment="1">
      <alignment horizontal="center" vertical="center"/>
    </xf>
    <xf numFmtId="166" fontId="7" fillId="3" borderId="14" xfId="0" applyNumberFormat="1" applyFont="1" applyFill="1" applyBorder="1" applyAlignment="1">
      <alignment horizontal="center" vertical="center"/>
    </xf>
    <xf numFmtId="0" fontId="7" fillId="6" borderId="0" xfId="0" applyNumberFormat="1" applyFont="1" applyFill="1" applyBorder="1" applyAlignment="1">
      <alignment horizontal="center" vertical="center"/>
    </xf>
    <xf numFmtId="0" fontId="3" fillId="23" borderId="0" xfId="0" applyNumberFormat="1" applyFont="1" applyFill="1" applyBorder="1" applyAlignment="1">
      <alignment vertical="center"/>
    </xf>
    <xf numFmtId="0" fontId="23" fillId="25" borderId="0" xfId="0" applyNumberFormat="1" applyFont="1" applyFill="1" applyBorder="1" applyAlignment="1">
      <alignment horizontal="center" vertical="center" wrapText="1"/>
    </xf>
    <xf numFmtId="0" fontId="11" fillId="26" borderId="0" xfId="0" applyNumberFormat="1" applyFont="1" applyFill="1" applyBorder="1" applyAlignment="1">
      <alignment vertical="center" wrapText="1"/>
    </xf>
    <xf numFmtId="0" fontId="1" fillId="34" borderId="0" xfId="0" applyNumberFormat="1" applyFont="1" applyFill="1" applyBorder="1" applyAlignment="1">
      <alignment vertical="center"/>
    </xf>
    <xf numFmtId="0" fontId="37" fillId="35" borderId="0" xfId="0" applyNumberFormat="1" applyFont="1" applyFill="1" applyBorder="1" applyAlignment="1">
      <alignment vertical="center" wrapText="1"/>
    </xf>
    <xf numFmtId="0" fontId="3" fillId="4" borderId="0" xfId="0" applyNumberFormat="1" applyFont="1" applyFill="1" applyBorder="1" applyAlignment="1">
      <alignment vertical="center"/>
    </xf>
    <xf numFmtId="0" fontId="7" fillId="37" borderId="0" xfId="0" applyNumberFormat="1" applyFont="1" applyFill="1" applyBorder="1" applyAlignment="1">
      <alignment vertical="center"/>
    </xf>
    <xf numFmtId="0" fontId="3" fillId="37" borderId="0" xfId="0" applyNumberFormat="1" applyFont="1" applyFill="1" applyBorder="1" applyAlignment="1">
      <alignment vertical="center"/>
    </xf>
    <xf numFmtId="164" fontId="7" fillId="7" borderId="4" xfId="0" applyNumberFormat="1" applyFont="1" applyFill="1" applyBorder="1" applyAlignment="1">
      <alignment vertical="center" wrapText="1"/>
    </xf>
    <xf numFmtId="0" fontId="7" fillId="4" borderId="0" xfId="0" applyNumberFormat="1" applyFont="1" applyFill="1" applyBorder="1" applyAlignment="1">
      <alignment vertical="center" wrapText="1"/>
    </xf>
    <xf numFmtId="165" fontId="7" fillId="7" borderId="4" xfId="0" applyNumberFormat="1" applyFont="1" applyFill="1" applyBorder="1" applyAlignment="1">
      <alignment vertical="center"/>
    </xf>
    <xf numFmtId="0" fontId="1" fillId="2" borderId="0" xfId="0" applyNumberFormat="1" applyFont="1" applyFill="1" applyBorder="1" applyAlignment="1">
      <alignment vertical="center"/>
    </xf>
    <xf numFmtId="165" fontId="7" fillId="7" borderId="4" xfId="0" applyNumberFormat="1" applyFont="1" applyFill="1" applyBorder="1" applyAlignment="1">
      <alignment vertical="center" wrapText="1"/>
    </xf>
    <xf numFmtId="166" fontId="7" fillId="7" borderId="4" xfId="0" applyNumberFormat="1" applyFont="1" applyFill="1" applyBorder="1" applyAlignment="1">
      <alignment vertical="center" wrapText="1"/>
    </xf>
    <xf numFmtId="165" fontId="7" fillId="13" borderId="4" xfId="0" applyNumberFormat="1" applyFont="1" applyFill="1" applyBorder="1" applyAlignment="1">
      <alignment vertical="center" wrapText="1"/>
    </xf>
    <xf numFmtId="165" fontId="26" fillId="37" borderId="4" xfId="0" applyNumberFormat="1" applyFont="1" applyFill="1" applyBorder="1" applyAlignment="1">
      <alignment vertical="center" wrapText="1"/>
    </xf>
    <xf numFmtId="0" fontId="31" fillId="37" borderId="0" xfId="0" applyNumberFormat="1" applyFont="1" applyFill="1" applyBorder="1" applyAlignment="1">
      <alignment vertical="center"/>
    </xf>
    <xf numFmtId="164" fontId="3" fillId="10" borderId="0" xfId="0" applyNumberFormat="1" applyFont="1" applyFill="1" applyBorder="1" applyAlignment="1">
      <alignment vertical="center"/>
    </xf>
    <xf numFmtId="165" fontId="7" fillId="13" borderId="5" xfId="0" applyNumberFormat="1" applyFont="1" applyFill="1" applyBorder="1" applyAlignment="1">
      <alignment vertical="center" wrapText="1"/>
    </xf>
    <xf numFmtId="165" fontId="7" fillId="13" borderId="0" xfId="0" applyNumberFormat="1" applyFont="1" applyFill="1" applyAlignment="1">
      <alignment vertical="center" wrapText="1"/>
    </xf>
    <xf numFmtId="165" fontId="7" fillId="13" borderId="6" xfId="0" applyNumberFormat="1" applyFont="1" applyFill="1" applyBorder="1" applyAlignment="1">
      <alignment vertical="center" wrapText="1"/>
    </xf>
    <xf numFmtId="165" fontId="7" fillId="13" borderId="4" xfId="0" applyNumberFormat="1" applyFont="1" applyFill="1" applyBorder="1" applyAlignment="1">
      <alignment vertical="center"/>
    </xf>
    <xf numFmtId="164" fontId="7" fillId="4" borderId="0" xfId="0" applyNumberFormat="1" applyFont="1" applyFill="1" applyBorder="1" applyAlignment="1">
      <alignment vertical="center"/>
    </xf>
    <xf numFmtId="0" fontId="11" fillId="26" borderId="0" xfId="0" applyNumberFormat="1" applyFont="1" applyFill="1" applyBorder="1" applyAlignment="1">
      <alignment wrapText="1"/>
    </xf>
    <xf numFmtId="0" fontId="10" fillId="8" borderId="0" xfId="0" applyNumberFormat="1" applyFont="1" applyFill="1" applyBorder="1" applyAlignment="1">
      <alignment vertical="center" wrapText="1"/>
    </xf>
    <xf numFmtId="0" fontId="7" fillId="7" borderId="4" xfId="0" applyNumberFormat="1" applyFont="1" applyFill="1" applyBorder="1" applyAlignment="1">
      <alignment vertical="center"/>
    </xf>
    <xf numFmtId="0" fontId="25" fillId="29" borderId="0" xfId="0" applyNumberFormat="1" applyFont="1" applyFill="1" applyBorder="1" applyAlignment="1">
      <alignment wrapText="1"/>
    </xf>
    <xf numFmtId="0" fontId="7" fillId="9" borderId="0" xfId="0" applyNumberFormat="1" applyFont="1" applyFill="1" applyBorder="1" applyAlignment="1">
      <alignment vertical="center" wrapText="1"/>
    </xf>
    <xf numFmtId="0" fontId="13" fillId="3" borderId="0" xfId="0" applyNumberFormat="1" applyFont="1" applyFill="1" applyBorder="1" applyAlignment="1">
      <alignment vertical="center" wrapText="1"/>
    </xf>
    <xf numFmtId="0" fontId="7" fillId="10" borderId="0" xfId="0" applyNumberFormat="1" applyFont="1" applyFill="1" applyBorder="1" applyAlignment="1">
      <alignment vertical="center" wrapText="1"/>
    </xf>
    <xf numFmtId="166" fontId="7" fillId="13" borderId="4" xfId="0" applyNumberFormat="1" applyFont="1" applyFill="1" applyBorder="1" applyAlignment="1">
      <alignment vertical="center" wrapText="1"/>
    </xf>
    <xf numFmtId="0" fontId="14" fillId="14" borderId="0" xfId="0" applyNumberFormat="1" applyFont="1" applyFill="1" applyBorder="1" applyAlignment="1">
      <alignment vertical="center"/>
    </xf>
    <xf numFmtId="0" fontId="15" fillId="15" borderId="0" xfId="0" applyNumberFormat="1" applyFont="1" applyFill="1" applyBorder="1" applyAlignment="1">
      <alignment vertical="center" wrapText="1"/>
    </xf>
    <xf numFmtId="0" fontId="16" fillId="14" borderId="0" xfId="0" applyNumberFormat="1" applyFont="1" applyFill="1" applyBorder="1" applyAlignment="1">
      <alignment vertical="center"/>
    </xf>
    <xf numFmtId="0" fontId="8" fillId="16" borderId="16" xfId="0" applyNumberFormat="1" applyFont="1" applyFill="1" applyBorder="1" applyAlignment="1">
      <alignment vertical="center" wrapText="1"/>
    </xf>
    <xf numFmtId="0" fontId="8" fillId="16" borderId="17" xfId="0" applyNumberFormat="1" applyFont="1" applyFill="1" applyBorder="1" applyAlignment="1">
      <alignment vertical="center" wrapText="1"/>
    </xf>
    <xf numFmtId="0" fontId="8" fillId="16" borderId="19" xfId="0" applyNumberFormat="1" applyFont="1" applyFill="1" applyBorder="1" applyAlignment="1">
      <alignment vertical="center" wrapText="1"/>
    </xf>
    <xf numFmtId="0" fontId="8" fillId="16" borderId="20" xfId="0" applyNumberFormat="1" applyFont="1" applyFill="1" applyBorder="1" applyAlignment="1">
      <alignment vertical="center" wrapText="1"/>
    </xf>
    <xf numFmtId="0" fontId="8" fillId="16" borderId="22" xfId="0" applyNumberFormat="1" applyFont="1" applyFill="1" applyBorder="1" applyAlignment="1">
      <alignment vertical="center" wrapText="1"/>
    </xf>
    <xf numFmtId="0" fontId="8" fillId="16" borderId="23" xfId="0" applyNumberFormat="1" applyFont="1" applyFill="1" applyBorder="1" applyAlignment="1">
      <alignment vertical="center" wrapText="1"/>
    </xf>
    <xf numFmtId="0" fontId="3" fillId="23" borderId="0" xfId="0" applyNumberFormat="1" applyFont="1" applyFill="1" applyBorder="1"/>
    <xf numFmtId="0" fontId="7" fillId="21" borderId="0" xfId="0" applyNumberFormat="1" applyFont="1" applyFill="1" applyBorder="1" applyAlignment="1">
      <alignment vertical="center"/>
    </xf>
    <xf numFmtId="0" fontId="13" fillId="22" borderId="0" xfId="0" applyNumberFormat="1" applyFont="1" applyFill="1" applyBorder="1" applyAlignment="1">
      <alignment vertical="center" wrapText="1"/>
    </xf>
    <xf numFmtId="165" fontId="7" fillId="25" borderId="4" xfId="0" applyNumberFormat="1" applyFont="1" applyFill="1" applyBorder="1"/>
    <xf numFmtId="0" fontId="11" fillId="26" borderId="0" xfId="0" applyNumberFormat="1" applyFont="1" applyFill="1" applyBorder="1" applyAlignment="1">
      <alignment vertical="top" wrapText="1"/>
    </xf>
    <xf numFmtId="0" fontId="21" fillId="25" borderId="0" xfId="0" applyNumberFormat="1" applyFont="1" applyFill="1" applyBorder="1" applyAlignment="1">
      <alignment horizontal="center" vertical="center" wrapText="1"/>
    </xf>
    <xf numFmtId="0" fontId="1" fillId="28" borderId="0" xfId="0" applyNumberFormat="1" applyFont="1" applyFill="1" applyBorder="1" applyAlignment="1">
      <alignment vertical="center"/>
    </xf>
    <xf numFmtId="0" fontId="2" fillId="29" borderId="0" xfId="0" applyNumberFormat="1" applyFont="1" applyFill="1" applyBorder="1" applyAlignment="1">
      <alignment vertical="center" wrapText="1"/>
    </xf>
    <xf numFmtId="0" fontId="3" fillId="30" borderId="0" xfId="0" applyNumberFormat="1" applyFont="1" applyFill="1" applyBorder="1" applyAlignment="1">
      <alignment vertical="center"/>
    </xf>
    <xf numFmtId="0" fontId="3" fillId="30" borderId="0" xfId="0" applyNumberFormat="1" applyFont="1" applyFill="1" applyBorder="1" applyAlignment="1">
      <alignment vertical="center" wrapText="1"/>
    </xf>
    <xf numFmtId="0" fontId="9" fillId="30" borderId="0" xfId="0" applyNumberFormat="1" applyFont="1" applyFill="1" applyBorder="1" applyAlignment="1">
      <alignment vertical="center" wrapText="1"/>
    </xf>
    <xf numFmtId="0" fontId="7" fillId="30" borderId="0" xfId="0" applyNumberFormat="1" applyFont="1" applyFill="1" applyBorder="1" applyAlignment="1">
      <alignment vertical="center" wrapText="1"/>
    </xf>
    <xf numFmtId="0" fontId="24" fillId="32" borderId="6" xfId="0" applyNumberFormat="1" applyFont="1" applyFill="1" applyBorder="1" applyAlignment="1">
      <alignment wrapText="1"/>
    </xf>
    <xf numFmtId="0" fontId="11" fillId="33" borderId="0" xfId="0" applyNumberFormat="1" applyFont="1" applyFill="1" applyBorder="1" applyAlignment="1">
      <alignment vertical="center" wrapText="1"/>
    </xf>
    <xf numFmtId="0" fontId="24" fillId="32" borderId="6" xfId="0" applyNumberFormat="1" applyFont="1" applyFill="1" applyBorder="1"/>
    <xf numFmtId="0" fontId="32" fillId="34" borderId="0" xfId="0" applyNumberFormat="1" applyFont="1" applyFill="1" applyBorder="1" applyAlignment="1">
      <alignment wrapText="1"/>
    </xf>
    <xf numFmtId="0" fontId="33" fillId="35" borderId="0" xfId="0" applyNumberFormat="1" applyFont="1" applyFill="1" applyBorder="1" applyAlignment="1">
      <alignment wrapText="1"/>
    </xf>
    <xf numFmtId="0" fontId="34" fillId="39" borderId="0" xfId="0" applyNumberFormat="1" applyFont="1" applyFill="1" applyBorder="1" applyAlignment="1">
      <alignment wrapText="1"/>
    </xf>
    <xf numFmtId="0" fontId="35" fillId="38" borderId="0" xfId="0" applyNumberFormat="1" applyFont="1" applyFill="1" applyBorder="1" applyAlignment="1">
      <alignment horizontal="center" wrapText="1"/>
    </xf>
    <xf numFmtId="0" fontId="38" fillId="4" borderId="0" xfId="0" applyNumberFormat="1" applyFont="1" applyFill="1" applyBorder="1" applyAlignment="1">
      <alignment vertical="center"/>
    </xf>
    <xf numFmtId="0" fontId="38" fillId="37" borderId="0" xfId="0" applyNumberFormat="1" applyFont="1" applyFill="1" applyBorder="1" applyAlignment="1">
      <alignment vertical="center"/>
    </xf>
    <xf numFmtId="0" fontId="39" fillId="0" borderId="0" xfId="0" applyNumberFormat="1" applyFont="1" applyFill="1" applyBorder="1" applyAlignment="1">
      <alignment vertical="center"/>
    </xf>
    <xf numFmtId="0" fontId="39" fillId="0" borderId="0" xfId="0" applyFont="1"/>
    <xf numFmtId="0" fontId="38" fillId="5" borderId="1" xfId="0" applyNumberFormat="1" applyFont="1" applyFill="1" applyBorder="1" applyAlignment="1">
      <alignment horizontal="center" vertical="center" wrapText="1"/>
    </xf>
    <xf numFmtId="0" fontId="38" fillId="5" borderId="2" xfId="0" applyNumberFormat="1" applyFont="1" applyFill="1" applyBorder="1" applyAlignment="1">
      <alignment horizontal="center" vertical="center" wrapText="1"/>
    </xf>
    <xf numFmtId="0" fontId="38" fillId="5" borderId="3" xfId="0" applyNumberFormat="1" applyFont="1" applyFill="1" applyBorder="1" applyAlignment="1">
      <alignment horizontal="center" vertical="center" wrapText="1"/>
    </xf>
    <xf numFmtId="0" fontId="40" fillId="37" borderId="2" xfId="0" applyNumberFormat="1" applyFont="1" applyFill="1" applyBorder="1" applyAlignment="1">
      <alignment horizontal="center" vertical="center" wrapText="1"/>
    </xf>
  </cellXfs>
  <cellStyles count="1">
    <cellStyle name="Normal" xfId="0" builtinId="0"/>
  </cellStyles>
  <dxfs count="2">
    <dxf>
      <font>
        <b/>
        <color rgb="FFC00000"/>
      </font>
      <fill>
        <patternFill>
          <bgColor rgb="FFF4CCCC"/>
        </patternFill>
      </fill>
    </dxf>
    <dxf>
      <font>
        <b/>
        <color rgb="FF548235"/>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26d052ab671f452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id-ID"/>
              <a:t>Pendapatan dan arus kas skenario optimasi (Rp)</a:t>
            </a:r>
          </a:p>
        </c:rich>
      </c:tx>
      <c:overlay val="0"/>
    </c:title>
    <c:autoTitleDeleted val="0"/>
    <c:plotArea>
      <c:layout/>
      <c:lineChart>
        <c:grouping val="standard"/>
        <c:varyColors val="0"/>
        <c:ser>
          <c:idx val="0"/>
          <c:order val="0"/>
          <c:tx>
            <c:v>Total pendapatan</c:v>
          </c:tx>
          <c:marker>
            <c:symbol val="none"/>
          </c:marker>
          <c:cat>
            <c:strRef>
              <c:f>'01_Dashboard'!$A$26:$A$35</c:f>
              <c:strCache>
                <c:ptCount val="10"/>
                <c:pt idx="0">
                  <c:v>Y1</c:v>
                </c:pt>
                <c:pt idx="1">
                  <c:v>Y2</c:v>
                </c:pt>
                <c:pt idx="2">
                  <c:v>Y3</c:v>
                </c:pt>
                <c:pt idx="3">
                  <c:v>Y4</c:v>
                </c:pt>
                <c:pt idx="4">
                  <c:v>Y5</c:v>
                </c:pt>
                <c:pt idx="5">
                  <c:v>Y6</c:v>
                </c:pt>
                <c:pt idx="6">
                  <c:v>Y7</c:v>
                </c:pt>
                <c:pt idx="7">
                  <c:v>Y8</c:v>
                </c:pt>
                <c:pt idx="8">
                  <c:v>Y9</c:v>
                </c:pt>
                <c:pt idx="9">
                  <c:v>Y10</c:v>
                </c:pt>
              </c:strCache>
            </c:strRef>
          </c:cat>
          <c:val>
            <c:numRef>
              <c:f>'01_Dashboard'!$B$26:$B$35</c:f>
              <c:numCache>
                <c:formatCode>"Rp"\ #,##0;[Red]\("Rp"\ #,##0\);\-</c:formatCode>
                <c:ptCount val="10"/>
                <c:pt idx="0">
                  <c:v>5263368000</c:v>
                </c:pt>
                <c:pt idx="1">
                  <c:v>4844326080</c:v>
                </c:pt>
                <c:pt idx="2">
                  <c:v>3387471540.7304635</c:v>
                </c:pt>
                <c:pt idx="3">
                  <c:v>2703531428.3732724</c:v>
                </c:pt>
                <c:pt idx="4">
                  <c:v>3215543572.1648746</c:v>
                </c:pt>
                <c:pt idx="5">
                  <c:v>4580414558.0212154</c:v>
                </c:pt>
                <c:pt idx="6">
                  <c:v>6668858680.4848833</c:v>
                </c:pt>
                <c:pt idx="7">
                  <c:v>8858628473.9482346</c:v>
                </c:pt>
                <c:pt idx="8">
                  <c:v>10917408329.867287</c:v>
                </c:pt>
                <c:pt idx="9">
                  <c:v>12630617853.176571</c:v>
                </c:pt>
              </c:numCache>
            </c:numRef>
          </c:val>
          <c:smooth val="0"/>
          <c:extLst>
            <c:ext xmlns:c16="http://schemas.microsoft.com/office/drawing/2014/chart" uri="{C3380CC4-5D6E-409C-BE32-E72D297353CC}">
              <c16:uniqueId val="{00000000-AB2B-4CEC-BD33-B935F59DF7B7}"/>
            </c:ext>
          </c:extLst>
        </c:ser>
        <c:ser>
          <c:idx val="1"/>
          <c:order val="1"/>
          <c:tx>
            <c:v>Arus kas proyek</c:v>
          </c:tx>
          <c:marker>
            <c:symbol val="none"/>
          </c:marker>
          <c:cat>
            <c:strRef>
              <c:f>'01_Dashboard'!$A$26:$A$35</c:f>
              <c:strCache>
                <c:ptCount val="10"/>
                <c:pt idx="0">
                  <c:v>Y1</c:v>
                </c:pt>
                <c:pt idx="1">
                  <c:v>Y2</c:v>
                </c:pt>
                <c:pt idx="2">
                  <c:v>Y3</c:v>
                </c:pt>
                <c:pt idx="3">
                  <c:v>Y4</c:v>
                </c:pt>
                <c:pt idx="4">
                  <c:v>Y5</c:v>
                </c:pt>
                <c:pt idx="5">
                  <c:v>Y6</c:v>
                </c:pt>
                <c:pt idx="6">
                  <c:v>Y7</c:v>
                </c:pt>
                <c:pt idx="7">
                  <c:v>Y8</c:v>
                </c:pt>
                <c:pt idx="8">
                  <c:v>Y9</c:v>
                </c:pt>
                <c:pt idx="9">
                  <c:v>Y10</c:v>
                </c:pt>
              </c:strCache>
            </c:strRef>
          </c:cat>
          <c:val>
            <c:numRef>
              <c:f>'01_Dashboard'!$C$26:$C$35</c:f>
              <c:numCache>
                <c:formatCode>"Rp"\ #,##0;[Red]\("Rp"\ #,##0\);\-</c:formatCode>
                <c:ptCount val="10"/>
                <c:pt idx="0">
                  <c:v>370949900</c:v>
                </c:pt>
                <c:pt idx="1">
                  <c:v>-36793954.335999489</c:v>
                </c:pt>
                <c:pt idx="2">
                  <c:v>-793964979.37193727</c:v>
                </c:pt>
                <c:pt idx="3">
                  <c:v>-1273705060.2959118</c:v>
                </c:pt>
                <c:pt idx="4">
                  <c:v>-1146626761.3345168</c:v>
                </c:pt>
                <c:pt idx="5">
                  <c:v>235713298.46591282</c:v>
                </c:pt>
                <c:pt idx="6">
                  <c:v>2075838273.0130291</c:v>
                </c:pt>
                <c:pt idx="7">
                  <c:v>3701926201.7046652</c:v>
                </c:pt>
                <c:pt idx="8">
                  <c:v>5720942734.7253752</c:v>
                </c:pt>
                <c:pt idx="9">
                  <c:v>7059747577.9565144</c:v>
                </c:pt>
              </c:numCache>
            </c:numRef>
          </c:val>
          <c:smooth val="0"/>
          <c:extLst>
            <c:ext xmlns:c16="http://schemas.microsoft.com/office/drawing/2014/chart" uri="{C3380CC4-5D6E-409C-BE32-E72D297353CC}">
              <c16:uniqueId val="{00000001-AB2B-4CEC-BD33-B935F59DF7B7}"/>
            </c:ext>
          </c:extLst>
        </c:ser>
        <c:ser>
          <c:idx val="2"/>
          <c:order val="2"/>
          <c:tx>
            <c:v>Arus kas kumulatif</c:v>
          </c:tx>
          <c:marker>
            <c:symbol val="none"/>
          </c:marker>
          <c:cat>
            <c:strRef>
              <c:f>'01_Dashboard'!$A$26:$A$35</c:f>
              <c:strCache>
                <c:ptCount val="10"/>
                <c:pt idx="0">
                  <c:v>Y1</c:v>
                </c:pt>
                <c:pt idx="1">
                  <c:v>Y2</c:v>
                </c:pt>
                <c:pt idx="2">
                  <c:v>Y3</c:v>
                </c:pt>
                <c:pt idx="3">
                  <c:v>Y4</c:v>
                </c:pt>
                <c:pt idx="4">
                  <c:v>Y5</c:v>
                </c:pt>
                <c:pt idx="5">
                  <c:v>Y6</c:v>
                </c:pt>
                <c:pt idx="6">
                  <c:v>Y7</c:v>
                </c:pt>
                <c:pt idx="7">
                  <c:v>Y8</c:v>
                </c:pt>
                <c:pt idx="8">
                  <c:v>Y9</c:v>
                </c:pt>
                <c:pt idx="9">
                  <c:v>Y10</c:v>
                </c:pt>
              </c:strCache>
            </c:strRef>
          </c:cat>
          <c:val>
            <c:numRef>
              <c:f>'01_Dashboard'!$D$26:$D$35</c:f>
              <c:numCache>
                <c:formatCode>"Rp"\ #,##0;[Red]\("Rp"\ #,##0\);\-</c:formatCode>
                <c:ptCount val="10"/>
                <c:pt idx="0">
                  <c:v>-14205080580</c:v>
                </c:pt>
                <c:pt idx="1">
                  <c:v>-14241874534.335999</c:v>
                </c:pt>
                <c:pt idx="2">
                  <c:v>-15035839513.707935</c:v>
                </c:pt>
                <c:pt idx="3">
                  <c:v>-16309544574.003847</c:v>
                </c:pt>
                <c:pt idx="4">
                  <c:v>-17456171335.338364</c:v>
                </c:pt>
                <c:pt idx="5">
                  <c:v>-17220458036.872452</c:v>
                </c:pt>
                <c:pt idx="6">
                  <c:v>-15144619763.859423</c:v>
                </c:pt>
                <c:pt idx="7">
                  <c:v>-11442693562.154758</c:v>
                </c:pt>
                <c:pt idx="8">
                  <c:v>-5721750827.4293833</c:v>
                </c:pt>
                <c:pt idx="9">
                  <c:v>1337996750.5271311</c:v>
                </c:pt>
              </c:numCache>
            </c:numRef>
          </c:val>
          <c:smooth val="0"/>
          <c:extLst>
            <c:ext xmlns:c16="http://schemas.microsoft.com/office/drawing/2014/chart" uri="{C3380CC4-5D6E-409C-BE32-E72D297353CC}">
              <c16:uniqueId val="{00000002-AB2B-4CEC-BD33-B935F59DF7B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quot;Rp&quot;\ #,##0;[Red]\(&quot;Rp&quot;\ #,##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Arus kas kumulatif: model utama vs optimasi</a:t>
            </a:r>
          </a:p>
        </c:rich>
      </c:tx>
      <c:overlay val="0"/>
    </c:title>
    <c:autoTitleDeleted val="0"/>
    <c:plotArea>
      <c:layout/>
      <c:lineChart>
        <c:grouping val="standard"/>
        <c:varyColors val="0"/>
        <c:ser>
          <c:idx val="0"/>
          <c:order val="0"/>
          <c:tx>
            <c:v>Model utama</c:v>
          </c:tx>
          <c:marker>
            <c:symbol val="none"/>
          </c:marker>
          <c:cat>
            <c:numRef>
              <c:f>'19_Optimasi_10Tahun'!$H$28:$H$38</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'19_Optimasi_10Tahun'!$I$28:$I$38</c:f>
              <c:numCache>
                <c:formatCode>General</c:formatCode>
                <c:ptCount val="11"/>
                <c:pt idx="0">
                  <c:v>-15268150480</c:v>
                </c:pt>
                <c:pt idx="1">
                  <c:v>-14980440580</c:v>
                </c:pt>
                <c:pt idx="2">
                  <c:v>-15219968119.936001</c:v>
                </c:pt>
                <c:pt idx="3">
                  <c:v>-16275658573.252003</c:v>
                </c:pt>
                <c:pt idx="4">
                  <c:v>-17831429011.335163</c:v>
                </c:pt>
                <c:pt idx="5">
                  <c:v>-19454314682.525497</c:v>
                </c:pt>
                <c:pt idx="6">
                  <c:v>-19597093126.601765</c:v>
                </c:pt>
                <c:pt idx="7">
                  <c:v>-17931089144.943512</c:v>
                </c:pt>
                <c:pt idx="8">
                  <c:v>-14740886661.520206</c:v>
                </c:pt>
                <c:pt idx="9">
                  <c:v>-9473005931.313015</c:v>
                </c:pt>
                <c:pt idx="10">
                  <c:v>-2884442838.0554104</c:v>
                </c:pt>
              </c:numCache>
            </c:numRef>
          </c:val>
          <c:smooth val="0"/>
          <c:extLst>
            <c:ext xmlns:c16="http://schemas.microsoft.com/office/drawing/2014/chart" uri="{C3380CC4-5D6E-409C-BE32-E72D297353CC}">
              <c16:uniqueId val="{00000000-06EB-4C87-8921-9B4B1862DEEA}"/>
            </c:ext>
          </c:extLst>
        </c:ser>
        <c:ser>
          <c:idx val="1"/>
          <c:order val="1"/>
          <c:tx>
            <c:v>Optimasi</c:v>
          </c:tx>
          <c:marker>
            <c:symbol val="none"/>
          </c:marker>
          <c:cat>
            <c:numRef>
              <c:f>'19_Optimasi_10Tahun'!$H$28:$H$38</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'19_Optimasi_10Tahun'!$J$28:$J$38</c:f>
              <c:numCache>
                <c:formatCode>General</c:formatCode>
                <c:ptCount val="11"/>
                <c:pt idx="0">
                  <c:v>-14576030480</c:v>
                </c:pt>
                <c:pt idx="1">
                  <c:v>-14205080580</c:v>
                </c:pt>
                <c:pt idx="2">
                  <c:v>-14241874534.335999</c:v>
                </c:pt>
                <c:pt idx="3">
                  <c:v>-15035839513.707935</c:v>
                </c:pt>
                <c:pt idx="4">
                  <c:v>-16309544574.003847</c:v>
                </c:pt>
                <c:pt idx="5">
                  <c:v>-17456171335.338364</c:v>
                </c:pt>
                <c:pt idx="6">
                  <c:v>-17220458036.872452</c:v>
                </c:pt>
                <c:pt idx="7">
                  <c:v>-15144619763.859423</c:v>
                </c:pt>
                <c:pt idx="8">
                  <c:v>-11442693562.154758</c:v>
                </c:pt>
                <c:pt idx="9">
                  <c:v>-5721750827.4293833</c:v>
                </c:pt>
                <c:pt idx="10">
                  <c:v>1337996750.5271311</c:v>
                </c:pt>
              </c:numCache>
            </c:numRef>
          </c:val>
          <c:smooth val="0"/>
          <c:extLst>
            <c:ext xmlns:c16="http://schemas.microsoft.com/office/drawing/2014/chart" uri="{C3380CC4-5D6E-409C-BE32-E72D297353CC}">
              <c16:uniqueId val="{00000001-06EB-4C87-8921-9B4B1862DEE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24</xdr:row>
      <xdr:rowOff>0</xdr:rowOff>
    </xdr:from>
    <xdr:to>
      <xdr:col>12</xdr:col>
      <xdr:colOff>0</xdr:colOff>
      <xdr:row>44</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571500</xdr:colOff>
      <xdr:row>22</xdr:row>
      <xdr:rowOff>128588</xdr:rowOff>
    </xdr:to>
    <xdr:sp macro="" textlink="">
      <xdr:nvSpPr>
        <xdr:cNvPr id="2054" name="Text Box 6" hidden="1">
          <a:extLst>
            <a:ext uri="{FF2B5EF4-FFF2-40B4-BE49-F238E27FC236}">
              <a16:creationId xmlns:a16="http://schemas.microsoft.com/office/drawing/2014/main" id="{69891016-7105-4446-8CA5-0826AB42C77B}"/>
            </a:ext>
          </a:extLst>
        </xdr:cNvPr>
        <xdr:cNvSpPr txBox="1">
          <a:spLocks noSelect="1" noChangeArrowheads="1"/>
        </xdr:cNvSpPr>
      </xdr:nvSpPr>
      <xdr:spPr bwMode="auto">
        <a:xfrm>
          <a:off x="0" y="0"/>
          <a:ext cx="4762500" cy="47625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39</xdr:row>
      <xdr:rowOff>0</xdr:rowOff>
    </xdr:from>
    <xdr:to>
      <xdr:col>14</xdr:col>
      <xdr:colOff>0</xdr:colOff>
      <xdr:row>58</xdr:row>
      <xdr:rowOff>0</xdr:rowOff>
    </xdr:to>
    <xdr:graphicFrame macro="">
      <xdr:nvGraphicFramePr>
        <xdr:cNvPr id="2" name="Chart">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ltc:personList xmlns:xltc="http://schemas.microsoft.com/office/spreadsheetml/2018/threadedcomments">
  <xltc:person displayName="Fadly" id="{34803957-26E2-48E9-9C54-B66598191842}"/>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C46" dT="2026-08-26T16:10:12.403" personId="{34803957-26E2-48E9-9C54-B66598191842}" id="{055ABAB5-CE23-CB7E-77FA-75B49D1B1206}">
    <xltc:text>Source: https://www.pertanian.go.id/?act=view&amp;id=7236&amp;show=news | Kementan reported ordinary coconut farmgate at Rp2,000-3,000/butir in Oct 2025. Model uses Rp3,000 and no aromatic premium.</xltc:text>
  </xltc:threadedComment>
  <xltc:threadedComment ref="C47" dT="2026-08-26T16:10:12.404" personId="{34803957-26E2-48E9-9C54-B66598191842}" id="{93D0A90D-A55A-0CF9-7A33-18AE005E0DB6}">
    <xltc:text>Source: https://rri.co.id/purwokerto/umkm/1254378/puncak-musim-penghujan-harga-durian-di-purwokerto-mengalami-peningkatan | Price varies widely. Rp35,000/kg is a conservative planning input, not a quotation.</xltc:text>
  </xltc:threadedComment>
  <xltc:threadedComment ref="C48" dT="2026-08-26T16:10:12.404" personId="{34803957-26E2-48E9-9C54-B66598191842}" id="{4FF01813-E17E-0F8D-18D0-7599CBB79BA3}">
    <xltc:text>Source: https://banyuwangikab.go.id/berita/harga-stabil-dan-banyak-diminati-banyuwangi-pacu-produksi-pisang-cavendish | Farm price benchmark Rp6,000/kg.</xltc:text>
  </xltc:threadedComment>
  <xltc:threadedComment ref="C62" dT="2026-08-26T16:10:12.404" personId="{34803957-26E2-48E9-9C54-B66598191842}" id="{80AE2BE2-F2E6-0678-5E40-630734E6FF2D}">
    <xltc:text>Official UMK 2026: https://jdih.jatengprov.go.id/inventarisasi-hukum/download/kepgub_100-3-3-1-505_th_2025</xltc:text>
  </xltc:threadedComment>
  <xltc:threadedComment ref="C131" dT="2026-08-26T16:10:12.404" personId="{34803957-26E2-48E9-9C54-B66598191842}" id="{A9B5002C-11B7-454A-4DD5-C18EE93FA0E9}">
    <xltc:text>Banana fertilizer guidance: 0.233 kg Urea, 0.10 kg SP-36 and 0.10 kg KCl per plant/year from Kementan technology guide. Source: https://repository.pertanian.go.id/server/api/core/bitstreams/650af8ff-94fb-4a63-816a-1cb30eea671c/content</xltc:text>
  </xltc:threadedComment>
</xltc: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4e50e312f38e4632" Type="http://schemas.microsoft.com/office/2017/10/relationships/threadedComment" Target="../threadedcomments/threadedcomment.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showGridLines="0" topLeftCell="A10" workbookViewId="0">
      <selection activeCell="A31" sqref="A31:H31"/>
    </sheetView>
  </sheetViews>
  <sheetFormatPr defaultRowHeight="13.5"/>
  <cols>
    <col min="1" max="1" width="24" customWidth="1"/>
    <col min="2" max="2" width="55" customWidth="1"/>
    <col min="3" max="8" width="16" customWidth="1"/>
  </cols>
  <sheetData>
    <row r="1" spans="1:8" ht="28.05" customHeight="1">
      <c r="A1" s="206" t="str">
        <f>"RAB dan Model Investasi — Agroforestri "&amp;'02_Assumptions'!$C$6&amp;" ha"</f>
        <v>RAB dan Model Investasi — Agroforestri 100 ha</v>
      </c>
      <c r="B1" s="206"/>
      <c r="C1" s="206"/>
      <c r="D1" s="206"/>
      <c r="E1" s="206"/>
      <c r="F1" s="206"/>
      <c r="G1" s="206"/>
      <c r="H1" s="206"/>
    </row>
    <row r="2" spans="1:8" ht="38" customHeight="1">
      <c r="A2" s="207" t="s">
        <v>0</v>
      </c>
      <c r="B2" s="207"/>
      <c r="C2" s="207"/>
      <c r="D2" s="207"/>
      <c r="E2" s="207"/>
      <c r="F2" s="207"/>
      <c r="G2" s="207"/>
      <c r="H2" s="207"/>
    </row>
    <row r="3" spans="1:8">
      <c r="A3" s="16"/>
      <c r="B3" s="16"/>
      <c r="C3" s="16"/>
      <c r="D3" s="16"/>
      <c r="E3" s="16"/>
      <c r="F3" s="16"/>
      <c r="G3" s="16"/>
      <c r="H3" s="16"/>
    </row>
    <row r="4" spans="1:8" ht="20" customHeight="1">
      <c r="A4" s="208" t="s">
        <v>1</v>
      </c>
      <c r="B4" s="208"/>
      <c r="C4" s="208"/>
      <c r="D4" s="208"/>
      <c r="E4" s="208"/>
      <c r="F4" s="208"/>
      <c r="G4" s="208"/>
      <c r="H4" s="208"/>
    </row>
    <row r="5" spans="1:8" ht="32" customHeight="1">
      <c r="A5" s="209" t="s">
        <v>2</v>
      </c>
      <c r="B5" s="209"/>
      <c r="C5" s="209"/>
      <c r="D5" s="209"/>
      <c r="E5" s="209"/>
      <c r="F5" s="209"/>
      <c r="G5" s="209"/>
      <c r="H5" s="209"/>
    </row>
    <row r="6" spans="1:8" ht="32" customHeight="1">
      <c r="A6" s="209" t="s">
        <v>3</v>
      </c>
      <c r="B6" s="209"/>
      <c r="C6" s="209"/>
      <c r="D6" s="209"/>
      <c r="E6" s="209"/>
      <c r="F6" s="209"/>
      <c r="G6" s="209"/>
      <c r="H6" s="209"/>
    </row>
    <row r="7" spans="1:8" ht="32" customHeight="1">
      <c r="A7" s="209" t="s">
        <v>4</v>
      </c>
      <c r="B7" s="209"/>
      <c r="C7" s="209"/>
      <c r="D7" s="209"/>
      <c r="E7" s="209"/>
      <c r="F7" s="209"/>
      <c r="G7" s="209"/>
      <c r="H7" s="209"/>
    </row>
    <row r="8" spans="1:8">
      <c r="A8" s="17"/>
      <c r="B8" s="17"/>
      <c r="C8" s="17"/>
      <c r="D8" s="17"/>
      <c r="E8" s="17"/>
      <c r="F8" s="17"/>
      <c r="G8" s="17"/>
      <c r="H8" s="17"/>
    </row>
    <row r="9" spans="1:8" ht="20" customHeight="1">
      <c r="A9" s="208" t="s">
        <v>5</v>
      </c>
      <c r="B9" s="208"/>
      <c r="C9" s="208"/>
      <c r="D9" s="208"/>
      <c r="E9" s="208"/>
      <c r="F9" s="208"/>
      <c r="G9" s="208"/>
      <c r="H9" s="208"/>
    </row>
    <row r="10" spans="1:8" ht="23.25">
      <c r="A10" s="18" t="s">
        <v>6</v>
      </c>
      <c r="B10" s="18" t="s">
        <v>7</v>
      </c>
      <c r="C10" s="17"/>
      <c r="D10" s="17"/>
      <c r="E10" s="17"/>
      <c r="F10" s="17"/>
      <c r="G10" s="17"/>
      <c r="H10" s="17"/>
    </row>
    <row r="11" spans="1:8" ht="23.25">
      <c r="A11" s="18" t="s">
        <v>8</v>
      </c>
      <c r="B11" s="18" t="s">
        <v>9</v>
      </c>
      <c r="C11" s="17"/>
      <c r="D11" s="17"/>
      <c r="E11" s="17"/>
      <c r="F11" s="17"/>
      <c r="G11" s="17"/>
      <c r="H11" s="17"/>
    </row>
    <row r="12" spans="1:8" ht="23.25">
      <c r="A12" s="18" t="s">
        <v>10</v>
      </c>
      <c r="B12" s="18" t="s">
        <v>11</v>
      </c>
      <c r="C12" s="17"/>
      <c r="D12" s="17"/>
      <c r="E12" s="17"/>
      <c r="F12" s="17"/>
      <c r="G12" s="17"/>
      <c r="H12" s="17"/>
    </row>
    <row r="13" spans="1:8" ht="23.25">
      <c r="A13" s="18" t="s">
        <v>12</v>
      </c>
      <c r="B13" s="18" t="s">
        <v>13</v>
      </c>
      <c r="C13" s="17"/>
      <c r="D13" s="17"/>
      <c r="E13" s="17"/>
      <c r="F13" s="17"/>
      <c r="G13" s="17"/>
      <c r="H13" s="17"/>
    </row>
    <row r="14" spans="1:8" ht="23.25">
      <c r="A14" s="18" t="s">
        <v>14</v>
      </c>
      <c r="B14" s="18" t="s">
        <v>15</v>
      </c>
      <c r="C14" s="17"/>
      <c r="D14" s="17"/>
      <c r="E14" s="17"/>
      <c r="F14" s="17"/>
      <c r="G14" s="17"/>
      <c r="H14" s="17"/>
    </row>
    <row r="15" spans="1:8">
      <c r="A15" s="18" t="s">
        <v>16</v>
      </c>
      <c r="B15" s="18" t="s">
        <v>17</v>
      </c>
      <c r="C15" s="17"/>
      <c r="D15" s="17"/>
      <c r="E15" s="17"/>
      <c r="F15" s="17"/>
      <c r="G15" s="17"/>
      <c r="H15" s="17"/>
    </row>
    <row r="16" spans="1:8" ht="28.05" customHeight="1">
      <c r="A16" s="104" t="s">
        <v>18</v>
      </c>
      <c r="B16" s="104" t="s">
        <v>19</v>
      </c>
      <c r="C16" s="17"/>
      <c r="D16" s="17"/>
      <c r="E16" s="17"/>
      <c r="F16" s="17"/>
      <c r="G16" s="17"/>
      <c r="H16" s="17"/>
    </row>
    <row r="17" spans="1:8">
      <c r="A17" s="17"/>
      <c r="B17" s="17"/>
      <c r="C17" s="17"/>
      <c r="D17" s="17"/>
      <c r="E17" s="17"/>
      <c r="F17" s="17"/>
      <c r="G17" s="17"/>
      <c r="H17" s="17"/>
    </row>
    <row r="18" spans="1:8" ht="20" customHeight="1">
      <c r="A18" s="208" t="s">
        <v>20</v>
      </c>
      <c r="B18" s="208"/>
      <c r="C18" s="208"/>
      <c r="D18" s="208"/>
      <c r="E18" s="17"/>
      <c r="F18" s="17"/>
      <c r="G18" s="17"/>
      <c r="H18" s="17"/>
    </row>
    <row r="19" spans="1:8">
      <c r="A19" s="19" t="s">
        <v>21</v>
      </c>
      <c r="B19" s="20" t="s">
        <v>22</v>
      </c>
      <c r="C19" s="17"/>
      <c r="D19" s="17"/>
      <c r="E19" s="17"/>
      <c r="F19" s="17"/>
      <c r="G19" s="17"/>
      <c r="H19" s="17"/>
    </row>
    <row r="20" spans="1:8">
      <c r="A20" s="19" t="s">
        <v>23</v>
      </c>
      <c r="B20" s="17" t="s">
        <v>24</v>
      </c>
      <c r="C20" s="17"/>
      <c r="D20" s="17"/>
      <c r="E20" s="17"/>
      <c r="F20" s="17"/>
      <c r="G20" s="17"/>
      <c r="H20" s="17"/>
    </row>
    <row r="21" spans="1:8">
      <c r="A21" s="19" t="s">
        <v>25</v>
      </c>
      <c r="B21" s="17" t="s">
        <v>26</v>
      </c>
      <c r="C21" s="17"/>
      <c r="D21" s="17"/>
      <c r="E21" s="17"/>
      <c r="F21" s="17"/>
      <c r="G21" s="17"/>
      <c r="H21" s="17"/>
    </row>
    <row r="22" spans="1:8">
      <c r="A22" s="19" t="s">
        <v>27</v>
      </c>
      <c r="B22" s="21" t="s">
        <v>28</v>
      </c>
      <c r="C22" s="17"/>
      <c r="D22" s="17"/>
      <c r="E22" s="17"/>
      <c r="F22" s="17"/>
      <c r="G22" s="17"/>
      <c r="H22" s="17"/>
    </row>
    <row r="23" spans="1:8">
      <c r="A23" s="19" t="s">
        <v>29</v>
      </c>
      <c r="B23" s="22" t="s">
        <v>30</v>
      </c>
      <c r="C23" s="17"/>
      <c r="D23" s="17"/>
      <c r="E23" s="17"/>
      <c r="F23" s="17"/>
      <c r="G23" s="17"/>
      <c r="H23" s="17"/>
    </row>
    <row r="24" spans="1:8">
      <c r="A24" s="17"/>
      <c r="B24" s="17"/>
      <c r="C24" s="17"/>
      <c r="D24" s="17"/>
      <c r="E24" s="17"/>
      <c r="F24" s="17"/>
      <c r="G24" s="17"/>
      <c r="H24" s="17"/>
    </row>
    <row r="25" spans="1:8">
      <c r="A25" s="17"/>
      <c r="B25" s="17"/>
      <c r="C25" s="17"/>
      <c r="D25" s="17"/>
      <c r="E25" s="17"/>
      <c r="F25" s="17"/>
      <c r="G25" s="17"/>
      <c r="H25" s="17"/>
    </row>
    <row r="26" spans="1:8" ht="20" customHeight="1">
      <c r="A26" s="208" t="s">
        <v>31</v>
      </c>
      <c r="B26" s="208"/>
      <c r="C26" s="208"/>
      <c r="D26" s="208"/>
      <c r="E26" s="208"/>
      <c r="F26" s="208"/>
      <c r="G26" s="208"/>
      <c r="H26" s="208"/>
    </row>
    <row r="27" spans="1:8" ht="26" customHeight="1">
      <c r="A27" s="210" t="s">
        <v>32</v>
      </c>
      <c r="B27" s="210"/>
      <c r="C27" s="210"/>
      <c r="D27" s="210"/>
      <c r="E27" s="210"/>
      <c r="F27" s="210"/>
      <c r="G27" s="210"/>
      <c r="H27" s="210"/>
    </row>
    <row r="28" spans="1:8" ht="26" customHeight="1">
      <c r="A28" s="210" t="s">
        <v>33</v>
      </c>
      <c r="B28" s="210"/>
      <c r="C28" s="210"/>
      <c r="D28" s="210"/>
      <c r="E28" s="210"/>
      <c r="F28" s="210"/>
      <c r="G28" s="210"/>
      <c r="H28" s="210"/>
    </row>
    <row r="29" spans="1:8" ht="26" customHeight="1">
      <c r="A29" s="210" t="s">
        <v>34</v>
      </c>
      <c r="B29" s="210"/>
      <c r="C29" s="210"/>
      <c r="D29" s="210"/>
      <c r="E29" s="210"/>
      <c r="F29" s="210"/>
      <c r="G29" s="210"/>
      <c r="H29" s="210"/>
    </row>
    <row r="30" spans="1:8" ht="26" customHeight="1">
      <c r="A30" s="210" t="s">
        <v>35</v>
      </c>
      <c r="B30" s="210"/>
      <c r="C30" s="210"/>
      <c r="D30" s="210"/>
      <c r="E30" s="210"/>
      <c r="F30" s="210"/>
      <c r="G30" s="210"/>
      <c r="H30" s="210"/>
    </row>
    <row r="31" spans="1:8" ht="26" customHeight="1">
      <c r="A31" s="210" t="s">
        <v>36</v>
      </c>
      <c r="B31" s="210"/>
      <c r="C31" s="210"/>
      <c r="D31" s="210"/>
      <c r="E31" s="210"/>
      <c r="F31" s="210"/>
      <c r="G31" s="210"/>
      <c r="H31" s="210"/>
    </row>
    <row r="32" spans="1:8" ht="26" customHeight="1">
      <c r="A32" s="210" t="s">
        <v>37</v>
      </c>
      <c r="B32" s="210"/>
      <c r="C32" s="210"/>
      <c r="D32" s="210"/>
      <c r="E32" s="210"/>
      <c r="F32" s="210"/>
      <c r="G32" s="210"/>
      <c r="H32" s="210"/>
    </row>
  </sheetData>
  <mergeCells count="15">
    <mergeCell ref="A28:H28"/>
    <mergeCell ref="A29:H29"/>
    <mergeCell ref="A30:H30"/>
    <mergeCell ref="A31:H31"/>
    <mergeCell ref="A32:H32"/>
    <mergeCell ref="A7:H7"/>
    <mergeCell ref="A9:H9"/>
    <mergeCell ref="A18:D18"/>
    <mergeCell ref="A26:H26"/>
    <mergeCell ref="A27:H27"/>
    <mergeCell ref="A1:H1"/>
    <mergeCell ref="A2:H2"/>
    <mergeCell ref="A4:H4"/>
    <mergeCell ref="A5:H5"/>
    <mergeCell ref="A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workbookViewId="0">
      <selection sqref="A1:F1"/>
    </sheetView>
  </sheetViews>
  <sheetFormatPr defaultRowHeight="13.5"/>
  <cols>
    <col min="1" max="1" width="7" customWidth="1"/>
    <col min="2" max="2" width="25" customWidth="1"/>
    <col min="3" max="3" width="34" customWidth="1"/>
    <col min="4" max="4" width="55" customWidth="1"/>
    <col min="5" max="5" width="50" customWidth="1"/>
    <col min="6" max="6" width="53" customWidth="1"/>
  </cols>
  <sheetData>
    <row r="1" spans="1:6" ht="34.049999999999997" customHeight="1">
      <c r="A1" s="280" t="s">
        <v>1759</v>
      </c>
      <c r="B1" s="280"/>
      <c r="C1" s="280"/>
      <c r="D1" s="280"/>
      <c r="E1" s="280"/>
      <c r="F1" s="280"/>
    </row>
    <row r="2" spans="1:6">
      <c r="A2" s="281" t="s">
        <v>1760</v>
      </c>
      <c r="B2" s="281"/>
      <c r="C2" s="281"/>
      <c r="D2" s="281"/>
      <c r="E2" s="281"/>
      <c r="F2" s="281"/>
    </row>
    <row r="3" spans="1:6">
      <c r="A3" s="281"/>
      <c r="B3" s="281"/>
      <c r="C3" s="281"/>
      <c r="D3" s="281"/>
      <c r="E3" s="281"/>
      <c r="F3" s="281"/>
    </row>
    <row r="4" spans="1:6">
      <c r="A4" s="126"/>
      <c r="B4" s="126"/>
      <c r="C4" s="126"/>
      <c r="D4" s="126"/>
      <c r="E4" s="126"/>
      <c r="F4" s="126"/>
    </row>
    <row r="5" spans="1:6" ht="13.9">
      <c r="A5" s="282" t="s">
        <v>1761</v>
      </c>
      <c r="B5" s="282"/>
      <c r="C5" s="282"/>
      <c r="D5" s="282"/>
      <c r="E5" s="282"/>
      <c r="F5" s="282"/>
    </row>
    <row r="6" spans="1:6" ht="46.05" customHeight="1">
      <c r="A6" s="108" t="s">
        <v>6</v>
      </c>
      <c r="B6" s="111" t="s">
        <v>1762</v>
      </c>
      <c r="C6" s="105" t="s">
        <v>1763</v>
      </c>
      <c r="D6" s="283" t="s">
        <v>1764</v>
      </c>
      <c r="E6" s="283"/>
      <c r="F6" s="284"/>
    </row>
    <row r="7" spans="1:6" ht="46.05" customHeight="1">
      <c r="A7" s="109" t="s">
        <v>8</v>
      </c>
      <c r="B7" s="112" t="s">
        <v>1765</v>
      </c>
      <c r="C7" s="106" t="s">
        <v>1766</v>
      </c>
      <c r="D7" s="285" t="s">
        <v>1767</v>
      </c>
      <c r="E7" s="285"/>
      <c r="F7" s="286"/>
    </row>
    <row r="8" spans="1:6" ht="46.05" customHeight="1">
      <c r="A8" s="109" t="s">
        <v>10</v>
      </c>
      <c r="B8" s="112" t="s">
        <v>1768</v>
      </c>
      <c r="C8" s="106" t="s">
        <v>1769</v>
      </c>
      <c r="D8" s="285" t="s">
        <v>1770</v>
      </c>
      <c r="E8" s="285"/>
      <c r="F8" s="286"/>
    </row>
    <row r="9" spans="1:6" ht="46.05" customHeight="1">
      <c r="A9" s="110" t="s">
        <v>12</v>
      </c>
      <c r="B9" s="113" t="s">
        <v>1771</v>
      </c>
      <c r="C9" s="107" t="s">
        <v>1772</v>
      </c>
      <c r="D9" s="287" t="s">
        <v>1773</v>
      </c>
      <c r="E9" s="287"/>
      <c r="F9" s="288"/>
    </row>
    <row r="10" spans="1:6">
      <c r="A10" s="126"/>
      <c r="B10" s="126"/>
      <c r="C10" s="126"/>
      <c r="D10" s="126"/>
      <c r="E10" s="126"/>
      <c r="F10" s="126"/>
    </row>
    <row r="11" spans="1:6" ht="30" customHeight="1">
      <c r="A11" s="114" t="s">
        <v>1774</v>
      </c>
      <c r="B11" s="115" t="s">
        <v>1775</v>
      </c>
      <c r="C11" s="115" t="s">
        <v>1776</v>
      </c>
      <c r="D11" s="115" t="s">
        <v>1777</v>
      </c>
      <c r="E11" s="115" t="s">
        <v>1778</v>
      </c>
      <c r="F11" s="116" t="s">
        <v>1779</v>
      </c>
    </row>
    <row r="12" spans="1:6" ht="94.05" customHeight="1">
      <c r="A12" s="120">
        <v>1</v>
      </c>
      <c r="B12" s="123" t="s">
        <v>1780</v>
      </c>
      <c r="C12" s="117" t="s">
        <v>1781</v>
      </c>
      <c r="D12" s="117" t="s">
        <v>1782</v>
      </c>
      <c r="E12" s="117" t="s">
        <v>1783</v>
      </c>
      <c r="F12" s="117" t="s">
        <v>1784</v>
      </c>
    </row>
    <row r="13" spans="1:6" ht="94.05" customHeight="1">
      <c r="A13" s="121">
        <v>2</v>
      </c>
      <c r="B13" s="124" t="s">
        <v>1785</v>
      </c>
      <c r="C13" s="118" t="s">
        <v>1786</v>
      </c>
      <c r="D13" s="118" t="s">
        <v>1787</v>
      </c>
      <c r="E13" s="118" t="s">
        <v>1788</v>
      </c>
      <c r="F13" s="118" t="s">
        <v>1789</v>
      </c>
    </row>
    <row r="14" spans="1:6" ht="94.05" customHeight="1">
      <c r="A14" s="121">
        <v>3</v>
      </c>
      <c r="B14" s="124" t="s">
        <v>1790</v>
      </c>
      <c r="C14" s="118" t="s">
        <v>1791</v>
      </c>
      <c r="D14" s="118" t="s">
        <v>1792</v>
      </c>
      <c r="E14" s="118" t="s">
        <v>1793</v>
      </c>
      <c r="F14" s="118" t="s">
        <v>1794</v>
      </c>
    </row>
    <row r="15" spans="1:6" ht="94.05" customHeight="1">
      <c r="A15" s="121">
        <v>4</v>
      </c>
      <c r="B15" s="124" t="s">
        <v>1795</v>
      </c>
      <c r="C15" s="118" t="s">
        <v>1796</v>
      </c>
      <c r="D15" s="118" t="s">
        <v>1797</v>
      </c>
      <c r="E15" s="118" t="s">
        <v>1798</v>
      </c>
      <c r="F15" s="118" t="s">
        <v>1799</v>
      </c>
    </row>
    <row r="16" spans="1:6" ht="94.05" customHeight="1">
      <c r="A16" s="121">
        <v>5</v>
      </c>
      <c r="B16" s="124" t="s">
        <v>1800</v>
      </c>
      <c r="C16" s="118" t="s">
        <v>1801</v>
      </c>
      <c r="D16" s="118" t="s">
        <v>1802</v>
      </c>
      <c r="E16" s="118" t="s">
        <v>1803</v>
      </c>
      <c r="F16" s="118" t="s">
        <v>1804</v>
      </c>
    </row>
    <row r="17" spans="1:6" ht="94.05" customHeight="1">
      <c r="A17" s="121">
        <v>6</v>
      </c>
      <c r="B17" s="124" t="s">
        <v>1805</v>
      </c>
      <c r="C17" s="118" t="s">
        <v>1806</v>
      </c>
      <c r="D17" s="118" t="s">
        <v>1807</v>
      </c>
      <c r="E17" s="118" t="s">
        <v>1808</v>
      </c>
      <c r="F17" s="118" t="s">
        <v>1809</v>
      </c>
    </row>
    <row r="18" spans="1:6" ht="94.05" customHeight="1">
      <c r="A18" s="121">
        <v>7</v>
      </c>
      <c r="B18" s="124" t="s">
        <v>1810</v>
      </c>
      <c r="C18" s="118" t="s">
        <v>1811</v>
      </c>
      <c r="D18" s="118" t="s">
        <v>1812</v>
      </c>
      <c r="E18" s="118" t="s">
        <v>1813</v>
      </c>
      <c r="F18" s="118" t="s">
        <v>1814</v>
      </c>
    </row>
    <row r="19" spans="1:6" ht="94.05" customHeight="1">
      <c r="A19" s="121">
        <v>8</v>
      </c>
      <c r="B19" s="124" t="s">
        <v>1815</v>
      </c>
      <c r="C19" s="118" t="s">
        <v>1816</v>
      </c>
      <c r="D19" s="118" t="s">
        <v>1817</v>
      </c>
      <c r="E19" s="118" t="s">
        <v>1818</v>
      </c>
      <c r="F19" s="118" t="s">
        <v>1819</v>
      </c>
    </row>
    <row r="20" spans="1:6" ht="94.05" customHeight="1">
      <c r="A20" s="121">
        <v>9</v>
      </c>
      <c r="B20" s="124" t="s">
        <v>1820</v>
      </c>
      <c r="C20" s="118" t="s">
        <v>1821</v>
      </c>
      <c r="D20" s="118" t="s">
        <v>1822</v>
      </c>
      <c r="E20" s="118" t="s">
        <v>1823</v>
      </c>
      <c r="F20" s="118" t="s">
        <v>1824</v>
      </c>
    </row>
    <row r="21" spans="1:6" ht="94.05" customHeight="1">
      <c r="A21" s="121">
        <v>10</v>
      </c>
      <c r="B21" s="124" t="s">
        <v>1825</v>
      </c>
      <c r="C21" s="118" t="s">
        <v>1826</v>
      </c>
      <c r="D21" s="118" t="s">
        <v>1827</v>
      </c>
      <c r="E21" s="118" t="s">
        <v>1828</v>
      </c>
      <c r="F21" s="118" t="s">
        <v>1829</v>
      </c>
    </row>
    <row r="22" spans="1:6" ht="94.05" customHeight="1">
      <c r="A22" s="121">
        <v>11</v>
      </c>
      <c r="B22" s="124" t="s">
        <v>1830</v>
      </c>
      <c r="C22" s="118" t="s">
        <v>1831</v>
      </c>
      <c r="D22" s="118" t="s">
        <v>1832</v>
      </c>
      <c r="E22" s="118" t="s">
        <v>1833</v>
      </c>
      <c r="F22" s="118" t="s">
        <v>1834</v>
      </c>
    </row>
    <row r="23" spans="1:6" ht="94.05" customHeight="1">
      <c r="A23" s="121">
        <v>12</v>
      </c>
      <c r="B23" s="124" t="s">
        <v>1835</v>
      </c>
      <c r="C23" s="118" t="s">
        <v>1836</v>
      </c>
      <c r="D23" s="118" t="s">
        <v>1837</v>
      </c>
      <c r="E23" s="118" t="s">
        <v>1838</v>
      </c>
      <c r="F23" s="118" t="s">
        <v>1839</v>
      </c>
    </row>
    <row r="24" spans="1:6" ht="94.05" customHeight="1">
      <c r="A24" s="121">
        <v>13</v>
      </c>
      <c r="B24" s="124" t="s">
        <v>1840</v>
      </c>
      <c r="C24" s="118" t="s">
        <v>1841</v>
      </c>
      <c r="D24" s="118" t="s">
        <v>1842</v>
      </c>
      <c r="E24" s="118" t="s">
        <v>1843</v>
      </c>
      <c r="F24" s="118" t="s">
        <v>1844</v>
      </c>
    </row>
    <row r="25" spans="1:6" ht="94.05" customHeight="1">
      <c r="A25" s="121">
        <v>14</v>
      </c>
      <c r="B25" s="124" t="s">
        <v>1845</v>
      </c>
      <c r="C25" s="118" t="s">
        <v>1846</v>
      </c>
      <c r="D25" s="118" t="s">
        <v>1847</v>
      </c>
      <c r="E25" s="118" t="s">
        <v>1848</v>
      </c>
      <c r="F25" s="118" t="s">
        <v>1849</v>
      </c>
    </row>
    <row r="26" spans="1:6" ht="94.05" customHeight="1">
      <c r="A26" s="121">
        <v>15</v>
      </c>
      <c r="B26" s="124" t="s">
        <v>1850</v>
      </c>
      <c r="C26" s="118" t="s">
        <v>1851</v>
      </c>
      <c r="D26" s="118" t="s">
        <v>1852</v>
      </c>
      <c r="E26" s="118" t="s">
        <v>1853</v>
      </c>
      <c r="F26" s="118" t="s">
        <v>1854</v>
      </c>
    </row>
    <row r="27" spans="1:6" ht="94.05" customHeight="1">
      <c r="A27" s="121">
        <v>16</v>
      </c>
      <c r="B27" s="124" t="s">
        <v>1855</v>
      </c>
      <c r="C27" s="118" t="s">
        <v>1856</v>
      </c>
      <c r="D27" s="118" t="s">
        <v>1857</v>
      </c>
      <c r="E27" s="118" t="s">
        <v>1858</v>
      </c>
      <c r="F27" s="118" t="s">
        <v>1859</v>
      </c>
    </row>
    <row r="28" spans="1:6" ht="94.05" customHeight="1">
      <c r="A28" s="121">
        <v>17</v>
      </c>
      <c r="B28" s="124" t="s">
        <v>1860</v>
      </c>
      <c r="C28" s="118" t="s">
        <v>1861</v>
      </c>
      <c r="D28" s="118" t="s">
        <v>1862</v>
      </c>
      <c r="E28" s="118" t="s">
        <v>1863</v>
      </c>
      <c r="F28" s="118" t="s">
        <v>1864</v>
      </c>
    </row>
    <row r="29" spans="1:6" ht="94.05" customHeight="1">
      <c r="A29" s="122">
        <v>18</v>
      </c>
      <c r="B29" s="125" t="s">
        <v>1865</v>
      </c>
      <c r="C29" s="119" t="s">
        <v>1866</v>
      </c>
      <c r="D29" s="119" t="s">
        <v>1867</v>
      </c>
      <c r="E29" s="119" t="s">
        <v>1868</v>
      </c>
      <c r="F29" s="119" t="s">
        <v>1869</v>
      </c>
    </row>
    <row r="30" spans="1:6">
      <c r="A30" s="126"/>
      <c r="B30" s="126"/>
      <c r="C30" s="126"/>
      <c r="D30" s="126"/>
      <c r="E30" s="126"/>
      <c r="F30" s="126"/>
    </row>
    <row r="31" spans="1:6" ht="74" customHeight="1">
      <c r="A31" s="155">
        <v>19</v>
      </c>
      <c r="B31" s="159" t="s">
        <v>1870</v>
      </c>
      <c r="C31" s="148" t="s">
        <v>1871</v>
      </c>
      <c r="D31" s="148" t="s">
        <v>1872</v>
      </c>
      <c r="E31" s="148" t="s">
        <v>1873</v>
      </c>
      <c r="F31" s="148" t="s">
        <v>1874</v>
      </c>
    </row>
    <row r="32" spans="1:6" ht="74" customHeight="1">
      <c r="A32" s="156">
        <v>20</v>
      </c>
      <c r="B32" s="160" t="s">
        <v>1875</v>
      </c>
      <c r="C32" s="149" t="s">
        <v>1876</v>
      </c>
      <c r="D32" s="149" t="s">
        <v>1877</v>
      </c>
      <c r="E32" s="149" t="s">
        <v>1878</v>
      </c>
      <c r="F32" s="150" t="s">
        <v>1879</v>
      </c>
    </row>
    <row r="33" spans="1:8" ht="74" customHeight="1">
      <c r="A33" s="157">
        <v>21</v>
      </c>
      <c r="B33" s="161" t="s">
        <v>1880</v>
      </c>
      <c r="C33" s="151" t="s">
        <v>1881</v>
      </c>
      <c r="D33" s="151" t="s">
        <v>1882</v>
      </c>
      <c r="E33" s="151" t="s">
        <v>1883</v>
      </c>
      <c r="F33" s="152" t="s">
        <v>1884</v>
      </c>
    </row>
    <row r="34" spans="1:8" ht="74" customHeight="1">
      <c r="A34" s="158">
        <v>22</v>
      </c>
      <c r="B34" s="162" t="s">
        <v>1885</v>
      </c>
      <c r="C34" s="153" t="s">
        <v>1886</v>
      </c>
      <c r="D34" s="153" t="s">
        <v>1887</v>
      </c>
      <c r="E34" s="153" t="s">
        <v>1888</v>
      </c>
      <c r="F34" s="154" t="s">
        <v>1889</v>
      </c>
    </row>
    <row r="36" spans="1:8" ht="13.9">
      <c r="A36" s="289" t="s">
        <v>1890</v>
      </c>
      <c r="B36" s="289"/>
      <c r="C36" s="289"/>
      <c r="D36" s="289"/>
      <c r="E36" s="289"/>
      <c r="F36" s="289"/>
      <c r="G36" s="289"/>
      <c r="H36" s="289"/>
    </row>
    <row r="37" spans="1:8">
      <c r="A37" s="272" t="s">
        <v>1891</v>
      </c>
      <c r="B37" s="272"/>
      <c r="C37" s="272"/>
      <c r="D37" s="272"/>
      <c r="E37" s="272"/>
      <c r="F37" s="272"/>
      <c r="G37" s="272"/>
      <c r="H37" s="272"/>
    </row>
    <row r="38" spans="1:8">
      <c r="A38" s="272"/>
      <c r="B38" s="272"/>
      <c r="C38" s="272"/>
      <c r="D38" s="272"/>
      <c r="E38" s="272"/>
      <c r="F38" s="272"/>
      <c r="G38" s="272"/>
      <c r="H38" s="272"/>
    </row>
  </sheetData>
  <mergeCells count="9">
    <mergeCell ref="D8:F8"/>
    <mergeCell ref="D9:F9"/>
    <mergeCell ref="A36:H36"/>
    <mergeCell ref="A37:H38"/>
    <mergeCell ref="A1:F1"/>
    <mergeCell ref="A2:F3"/>
    <mergeCell ref="A5:F5"/>
    <mergeCell ref="D6:F6"/>
    <mergeCell ref="D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7"/>
  <sheetViews>
    <sheetView showGridLines="0" topLeftCell="A16" zoomScale="80" zoomScaleNormal="80" workbookViewId="0">
      <selection activeCell="F17" sqref="F17"/>
    </sheetView>
  </sheetViews>
  <sheetFormatPr defaultRowHeight="13.5"/>
  <cols>
    <col min="1" max="1" width="22" customWidth="1"/>
    <col min="2" max="4" width="18" customWidth="1"/>
    <col min="5" max="5" width="22" customWidth="1"/>
    <col min="6" max="12" width="18" customWidth="1"/>
  </cols>
  <sheetData>
    <row r="1" spans="1:12" ht="28.05" customHeight="1">
      <c r="A1" s="206" t="str">
        <f>"Ringkasan Investasi Agroforestri "&amp;'02_Assumptions'!$C$6&amp;" ha — "&amp;'02_Assumptions'!$C$8&amp;" lokasi"</f>
        <v>Ringkasan Investasi Agroforestri 100 ha — 1 lokasi</v>
      </c>
      <c r="B1" s="206"/>
      <c r="C1" s="206"/>
      <c r="D1" s="206"/>
      <c r="E1" s="206"/>
      <c r="F1" s="206"/>
      <c r="G1" s="206"/>
      <c r="H1" s="206"/>
      <c r="I1" s="206"/>
      <c r="J1" s="206"/>
      <c r="K1" s="206"/>
      <c r="L1" s="206"/>
    </row>
    <row r="2" spans="1:12" ht="38" customHeight="1">
      <c r="A2" s="207" t="s">
        <v>38</v>
      </c>
      <c r="B2" s="207"/>
      <c r="C2" s="207"/>
      <c r="D2" s="207"/>
      <c r="E2" s="207"/>
      <c r="F2" s="207"/>
      <c r="G2" s="207"/>
      <c r="H2" s="207"/>
      <c r="I2" s="207"/>
      <c r="J2" s="207"/>
      <c r="K2" s="207"/>
      <c r="L2" s="207"/>
    </row>
    <row r="3" spans="1:12">
      <c r="A3" s="16"/>
      <c r="B3" s="16"/>
      <c r="C3" s="16"/>
      <c r="D3" s="16"/>
      <c r="E3" s="16"/>
      <c r="F3" s="16"/>
      <c r="G3" s="16"/>
      <c r="H3" s="16"/>
      <c r="I3" s="16"/>
      <c r="J3" s="16"/>
      <c r="K3" s="16"/>
      <c r="L3" s="16"/>
    </row>
    <row r="4" spans="1:12" ht="20" customHeight="1">
      <c r="A4" s="211" t="s">
        <v>39</v>
      </c>
      <c r="B4" s="211"/>
      <c r="C4" s="211"/>
      <c r="D4" s="211"/>
      <c r="E4" s="211"/>
      <c r="F4" s="211"/>
      <c r="G4" s="211"/>
      <c r="H4" s="211"/>
      <c r="I4" s="211"/>
      <c r="J4" s="211"/>
      <c r="K4" s="211"/>
      <c r="L4" s="211"/>
    </row>
    <row r="5" spans="1:12">
      <c r="A5" s="212" t="s">
        <v>40</v>
      </c>
      <c r="B5" s="213"/>
      <c r="C5" s="213"/>
      <c r="D5" s="214"/>
      <c r="E5" s="221" t="s">
        <v>41</v>
      </c>
      <c r="F5" s="222"/>
      <c r="G5" s="222"/>
      <c r="H5" s="223"/>
      <c r="I5" s="212" t="s">
        <v>42</v>
      </c>
      <c r="J5" s="213"/>
      <c r="K5" s="213"/>
      <c r="L5" s="214"/>
    </row>
    <row r="6" spans="1:12">
      <c r="A6" s="215">
        <f>'02_Assumptions'!$C$6</f>
        <v>100</v>
      </c>
      <c r="B6" s="216"/>
      <c r="C6" s="216"/>
      <c r="D6" s="217"/>
      <c r="E6" s="224">
        <f>'19_Optimasi_10Tahun'!$C$6</f>
        <v>14576030480</v>
      </c>
      <c r="F6" s="225"/>
      <c r="G6" s="225"/>
      <c r="H6" s="226"/>
      <c r="I6" s="230">
        <f>'19_Optimasi_10Tahun'!$C$13</f>
        <v>17456171335.338364</v>
      </c>
      <c r="J6" s="231"/>
      <c r="K6" s="231"/>
      <c r="L6" s="232"/>
    </row>
    <row r="7" spans="1:12">
      <c r="A7" s="218">
        <f>'02_Assumptions'!$C$6*'02_Assumptions'!$C$7</f>
        <v>88</v>
      </c>
      <c r="B7" s="219"/>
      <c r="C7" s="219"/>
      <c r="D7" s="220"/>
      <c r="E7" s="227" t="str">
        <f>"Skenario: "&amp;'02_Assumptions'!$C$8&amp;" lokasi"</f>
        <v>Skenario: 1 lokasi</v>
      </c>
      <c r="F7" s="228"/>
      <c r="G7" s="228"/>
      <c r="H7" s="229"/>
      <c r="I7" s="233" t="str">
        <f>IF(ISNUMBER('19_Optimasi_10Tahun'!$C$14),"Balik modal: Tahun "&amp;'19_Optimasi_10Tahun'!$C$14,"Balik modal: "&amp;'19_Optimasi_10Tahun'!$C$14)</f>
        <v>Balik modal: Tahun 10</v>
      </c>
      <c r="J7" s="234"/>
      <c r="K7" s="234"/>
      <c r="L7" s="235"/>
    </row>
    <row r="8" spans="1:12">
      <c r="A8" s="17"/>
      <c r="B8" s="17"/>
      <c r="C8" s="17"/>
      <c r="D8" s="17"/>
      <c r="E8" s="17"/>
      <c r="F8" s="17"/>
      <c r="G8" s="17"/>
      <c r="H8" s="17"/>
      <c r="I8" s="17"/>
      <c r="J8" s="17"/>
      <c r="K8" s="17"/>
      <c r="L8" s="17"/>
    </row>
    <row r="9" spans="1:12">
      <c r="A9" s="221" t="s">
        <v>43</v>
      </c>
      <c r="B9" s="222"/>
      <c r="C9" s="222"/>
      <c r="D9" s="223"/>
      <c r="E9" s="212" t="s">
        <v>44</v>
      </c>
      <c r="F9" s="213"/>
      <c r="G9" s="213"/>
      <c r="H9" s="214"/>
      <c r="I9" s="221" t="s">
        <v>45</v>
      </c>
      <c r="J9" s="222"/>
      <c r="K9" s="222"/>
      <c r="L9" s="223"/>
    </row>
    <row r="10" spans="1:12">
      <c r="A10" s="224">
        <f>'19_Optimasi_10Tahun'!$C$11</f>
        <v>-9409726636.8802471</v>
      </c>
      <c r="B10" s="225"/>
      <c r="C10" s="225"/>
      <c r="D10" s="226"/>
      <c r="E10" s="239">
        <f>'04_Planting_Design'!$D$8</f>
        <v>7304</v>
      </c>
      <c r="F10" s="240"/>
      <c r="G10" s="240"/>
      <c r="H10" s="241"/>
      <c r="I10" s="242">
        <f>'04_Planting_Design'!$H$8</f>
        <v>44000</v>
      </c>
      <c r="J10" s="243"/>
      <c r="K10" s="243"/>
      <c r="L10" s="244"/>
    </row>
    <row r="11" spans="1:12">
      <c r="A11" s="236">
        <f>'19_Optimasi_10Tahun'!$C$12</f>
        <v>9.0613450341601176E-3</v>
      </c>
      <c r="B11" s="237"/>
      <c r="C11" s="237"/>
      <c r="D11" s="238"/>
      <c r="E11" s="233">
        <f>'04_Planting_Design'!$F$8</f>
        <v>2640</v>
      </c>
      <c r="F11" s="234"/>
      <c r="G11" s="234"/>
      <c r="H11" s="235"/>
      <c r="I11" s="245">
        <f>'05_Workplan_Labor'!$Z$27</f>
        <v>70.060266666666664</v>
      </c>
      <c r="J11" s="246"/>
      <c r="K11" s="246"/>
      <c r="L11" s="247"/>
    </row>
    <row r="12" spans="1:12">
      <c r="A12" s="17"/>
      <c r="B12" s="17"/>
      <c r="C12" s="17"/>
      <c r="D12" s="17"/>
      <c r="E12" s="17"/>
      <c r="F12" s="17"/>
      <c r="G12" s="17"/>
      <c r="H12" s="17"/>
      <c r="I12" s="17"/>
      <c r="J12" s="17"/>
      <c r="K12" s="17"/>
      <c r="L12" s="17"/>
    </row>
    <row r="13" spans="1:12" ht="24" customHeight="1">
      <c r="A13" s="248" t="s">
        <v>46</v>
      </c>
      <c r="B13" s="248"/>
      <c r="C13" s="248"/>
      <c r="D13" s="248"/>
      <c r="E13" s="248"/>
      <c r="F13" s="248"/>
      <c r="G13" s="248"/>
      <c r="H13" s="248"/>
      <c r="I13" s="248"/>
      <c r="J13" s="248"/>
      <c r="K13" s="248"/>
      <c r="L13" s="248"/>
    </row>
    <row r="14" spans="1:12">
      <c r="A14" s="17"/>
      <c r="B14" s="17"/>
      <c r="C14" s="17"/>
      <c r="D14" s="17"/>
      <c r="E14" s="17"/>
      <c r="F14" s="17"/>
      <c r="G14" s="17"/>
      <c r="H14" s="17"/>
      <c r="I14" s="17"/>
      <c r="J14" s="17"/>
      <c r="K14" s="17"/>
      <c r="L14" s="17"/>
    </row>
    <row r="15" spans="1:12" ht="20" customHeight="1">
      <c r="A15" s="211" t="s">
        <v>47</v>
      </c>
      <c r="B15" s="211"/>
      <c r="C15" s="211"/>
      <c r="D15" s="211"/>
      <c r="E15" s="211"/>
      <c r="F15" s="211"/>
      <c r="G15" s="17"/>
      <c r="H15" s="17"/>
      <c r="I15" s="17"/>
      <c r="J15" s="17"/>
      <c r="K15" s="17"/>
      <c r="L15" s="17"/>
    </row>
    <row r="16" spans="1:12" ht="46.5">
      <c r="A16" s="18" t="s">
        <v>48</v>
      </c>
      <c r="B16" s="18" t="s">
        <v>49</v>
      </c>
      <c r="C16" s="18" t="s">
        <v>50</v>
      </c>
      <c r="D16" s="18"/>
      <c r="E16" s="18"/>
      <c r="F16" s="18"/>
      <c r="G16" s="17"/>
      <c r="H16" s="17"/>
      <c r="I16" s="17"/>
      <c r="J16" s="17"/>
      <c r="K16" s="17"/>
      <c r="L16" s="17"/>
    </row>
    <row r="17" spans="1:12" ht="46.5">
      <c r="A17" s="18" t="s">
        <v>51</v>
      </c>
      <c r="B17" s="18" t="s">
        <v>52</v>
      </c>
      <c r="C17" s="18" t="s">
        <v>53</v>
      </c>
      <c r="D17" s="18"/>
      <c r="E17" s="18"/>
      <c r="F17" s="18"/>
      <c r="G17" s="17"/>
      <c r="H17" s="17"/>
      <c r="I17" s="17"/>
      <c r="J17" s="17"/>
      <c r="K17" s="17"/>
      <c r="L17" s="17"/>
    </row>
    <row r="18" spans="1:12" ht="34.9">
      <c r="A18" s="18" t="s">
        <v>54</v>
      </c>
      <c r="B18" s="18" t="s">
        <v>55</v>
      </c>
      <c r="C18" s="18" t="s">
        <v>56</v>
      </c>
      <c r="D18" s="18"/>
      <c r="E18" s="18"/>
      <c r="F18" s="18"/>
      <c r="G18" s="17"/>
      <c r="H18" s="17"/>
      <c r="I18" s="17"/>
      <c r="J18" s="17"/>
      <c r="K18" s="17"/>
      <c r="L18" s="17"/>
    </row>
    <row r="19" spans="1:12" ht="46.5">
      <c r="A19" s="18" t="s">
        <v>57</v>
      </c>
      <c r="B19" s="18" t="s">
        <v>58</v>
      </c>
      <c r="C19" s="18" t="s">
        <v>59</v>
      </c>
      <c r="D19" s="18"/>
      <c r="E19" s="18"/>
      <c r="F19" s="18"/>
      <c r="G19" s="17"/>
      <c r="H19" s="17"/>
      <c r="I19" s="17"/>
      <c r="J19" s="17"/>
      <c r="K19" s="17"/>
      <c r="L19" s="17"/>
    </row>
    <row r="20" spans="1:12" ht="34.9">
      <c r="A20" s="18" t="s">
        <v>60</v>
      </c>
      <c r="B20" s="18" t="s">
        <v>61</v>
      </c>
      <c r="C20" s="18" t="s">
        <v>62</v>
      </c>
      <c r="D20" s="18"/>
      <c r="E20" s="18"/>
      <c r="F20" s="18"/>
      <c r="G20" s="17"/>
      <c r="H20" s="17"/>
      <c r="I20" s="17"/>
      <c r="J20" s="17"/>
      <c r="K20" s="17"/>
      <c r="L20" s="17"/>
    </row>
    <row r="21" spans="1:12" ht="34.9">
      <c r="A21" s="18" t="s">
        <v>63</v>
      </c>
      <c r="B21" s="18" t="s">
        <v>64</v>
      </c>
      <c r="C21" s="18" t="s">
        <v>65</v>
      </c>
      <c r="D21" s="18"/>
      <c r="E21" s="18"/>
      <c r="F21" s="18"/>
      <c r="G21" s="17"/>
      <c r="H21" s="17"/>
      <c r="I21" s="17"/>
      <c r="J21" s="17"/>
      <c r="K21" s="17"/>
      <c r="L21" s="17"/>
    </row>
    <row r="22" spans="1:12">
      <c r="A22" s="17"/>
      <c r="B22" s="17"/>
      <c r="C22" s="17"/>
      <c r="D22" s="17"/>
      <c r="E22" s="17"/>
      <c r="F22" s="17"/>
      <c r="G22" s="17"/>
      <c r="H22" s="17"/>
      <c r="I22" s="17"/>
      <c r="J22" s="17"/>
      <c r="K22" s="17"/>
      <c r="L22" s="17"/>
    </row>
    <row r="23" spans="1:12">
      <c r="A23" s="17"/>
      <c r="B23" s="17"/>
      <c r="C23" s="17"/>
      <c r="D23" s="17"/>
      <c r="E23" s="17"/>
      <c r="F23" s="17"/>
      <c r="G23" s="17"/>
      <c r="H23" s="17"/>
      <c r="I23" s="17"/>
      <c r="J23" s="17"/>
      <c r="K23" s="17"/>
      <c r="L23" s="17"/>
    </row>
    <row r="24" spans="1:12" ht="20" customHeight="1">
      <c r="A24" s="211" t="s">
        <v>66</v>
      </c>
      <c r="B24" s="211"/>
      <c r="C24" s="211"/>
      <c r="D24" s="211"/>
      <c r="E24" s="211"/>
      <c r="F24" s="211"/>
      <c r="G24" s="211"/>
      <c r="H24" s="211"/>
      <c r="I24" s="211"/>
      <c r="J24" s="211"/>
      <c r="K24" s="211"/>
      <c r="L24" s="211"/>
    </row>
    <row r="25" spans="1:12" ht="30" customHeight="1">
      <c r="A25" s="2" t="s">
        <v>67</v>
      </c>
      <c r="B25" s="3" t="s">
        <v>68</v>
      </c>
      <c r="C25" s="3" t="s">
        <v>69</v>
      </c>
      <c r="D25" s="4" t="s">
        <v>70</v>
      </c>
      <c r="E25" s="17"/>
      <c r="F25" s="17"/>
      <c r="G25" s="17"/>
      <c r="H25" s="17"/>
      <c r="I25" s="17"/>
      <c r="J25" s="17"/>
      <c r="K25" s="17"/>
      <c r="L25" s="17"/>
    </row>
    <row r="26" spans="1:12">
      <c r="A26" s="17" t="s">
        <v>71</v>
      </c>
      <c r="B26" s="23">
        <f>'19_Optimasi_10Tahun'!$C$18</f>
        <v>5263368000</v>
      </c>
      <c r="C26" s="23">
        <f>'19_Optimasi_10Tahun'!$C$21</f>
        <v>370949900</v>
      </c>
      <c r="D26" s="23">
        <f>'19_Optimasi_10Tahun'!$C$22</f>
        <v>-14205080580</v>
      </c>
      <c r="E26" s="17"/>
      <c r="F26" s="17"/>
      <c r="G26" s="17"/>
      <c r="H26" s="17"/>
      <c r="I26" s="17"/>
      <c r="J26" s="17"/>
      <c r="K26" s="17"/>
      <c r="L26" s="17"/>
    </row>
    <row r="27" spans="1:12">
      <c r="A27" s="17" t="s">
        <v>72</v>
      </c>
      <c r="B27" s="23">
        <f>'19_Optimasi_10Tahun'!$D$18</f>
        <v>4844326080</v>
      </c>
      <c r="C27" s="23">
        <f>'19_Optimasi_10Tahun'!$D$21</f>
        <v>-36793954.335999489</v>
      </c>
      <c r="D27" s="23">
        <f>'19_Optimasi_10Tahun'!$D$22</f>
        <v>-14241874534.335999</v>
      </c>
      <c r="E27" s="17"/>
      <c r="F27" s="17"/>
      <c r="G27" s="17"/>
      <c r="H27" s="17"/>
      <c r="I27" s="17"/>
      <c r="J27" s="17"/>
      <c r="K27" s="17"/>
      <c r="L27" s="17"/>
    </row>
    <row r="28" spans="1:12">
      <c r="A28" s="17" t="s">
        <v>73</v>
      </c>
      <c r="B28" s="23">
        <f>'19_Optimasi_10Tahun'!$E$18</f>
        <v>3387471540.7304635</v>
      </c>
      <c r="C28" s="23">
        <f>'19_Optimasi_10Tahun'!$E$21</f>
        <v>-793964979.37193727</v>
      </c>
      <c r="D28" s="23">
        <f>'19_Optimasi_10Tahun'!$E$22</f>
        <v>-15035839513.707935</v>
      </c>
      <c r="E28" s="17"/>
      <c r="F28" s="17"/>
      <c r="G28" s="17"/>
      <c r="H28" s="17"/>
      <c r="I28" s="17"/>
      <c r="J28" s="17"/>
      <c r="K28" s="17"/>
      <c r="L28" s="17"/>
    </row>
    <row r="29" spans="1:12">
      <c r="A29" s="17" t="s">
        <v>74</v>
      </c>
      <c r="B29" s="23">
        <f>'19_Optimasi_10Tahun'!$F$18</f>
        <v>2703531428.3732724</v>
      </c>
      <c r="C29" s="23">
        <f>'19_Optimasi_10Tahun'!$F$21</f>
        <v>-1273705060.2959118</v>
      </c>
      <c r="D29" s="23">
        <f>'19_Optimasi_10Tahun'!$F$22</f>
        <v>-16309544574.003847</v>
      </c>
      <c r="E29" s="17"/>
      <c r="F29" s="17"/>
      <c r="G29" s="17"/>
      <c r="H29" s="17"/>
      <c r="I29" s="17"/>
      <c r="J29" s="17"/>
      <c r="K29" s="17"/>
      <c r="L29" s="17"/>
    </row>
    <row r="30" spans="1:12">
      <c r="A30" s="17" t="s">
        <v>75</v>
      </c>
      <c r="B30" s="23">
        <f>'19_Optimasi_10Tahun'!$G$18</f>
        <v>3215543572.1648746</v>
      </c>
      <c r="C30" s="23">
        <f>'19_Optimasi_10Tahun'!$G$21</f>
        <v>-1146626761.3345168</v>
      </c>
      <c r="D30" s="23">
        <f>'19_Optimasi_10Tahun'!$G$22</f>
        <v>-17456171335.338364</v>
      </c>
      <c r="E30" s="17"/>
      <c r="F30" s="17"/>
      <c r="G30" s="17"/>
      <c r="H30" s="17"/>
      <c r="I30" s="17"/>
      <c r="J30" s="17"/>
      <c r="K30" s="17"/>
      <c r="L30" s="17"/>
    </row>
    <row r="31" spans="1:12">
      <c r="A31" s="17" t="s">
        <v>76</v>
      </c>
      <c r="B31" s="23">
        <f>'19_Optimasi_10Tahun'!$H$18</f>
        <v>4580414558.0212154</v>
      </c>
      <c r="C31" s="23">
        <f>'19_Optimasi_10Tahun'!$H$21</f>
        <v>235713298.46591282</v>
      </c>
      <c r="D31" s="23">
        <f>'19_Optimasi_10Tahun'!$H$22</f>
        <v>-17220458036.872452</v>
      </c>
      <c r="E31" s="17"/>
      <c r="F31" s="17"/>
      <c r="G31" s="17"/>
      <c r="H31" s="17"/>
      <c r="I31" s="17"/>
      <c r="J31" s="17"/>
      <c r="K31" s="17"/>
      <c r="L31" s="17"/>
    </row>
    <row r="32" spans="1:12">
      <c r="A32" s="17" t="s">
        <v>77</v>
      </c>
      <c r="B32" s="23">
        <f>'19_Optimasi_10Tahun'!$I$18</f>
        <v>6668858680.4848833</v>
      </c>
      <c r="C32" s="23">
        <f>'19_Optimasi_10Tahun'!$I$21</f>
        <v>2075838273.0130291</v>
      </c>
      <c r="D32" s="23">
        <f>'19_Optimasi_10Tahun'!$I$22</f>
        <v>-15144619763.859423</v>
      </c>
      <c r="E32" s="17"/>
      <c r="F32" s="17"/>
      <c r="G32" s="17"/>
      <c r="H32" s="17"/>
      <c r="I32" s="17"/>
      <c r="J32" s="17"/>
      <c r="K32" s="17"/>
      <c r="L32" s="17"/>
    </row>
    <row r="33" spans="1:12">
      <c r="A33" s="17" t="s">
        <v>78</v>
      </c>
      <c r="B33" s="23">
        <f>'19_Optimasi_10Tahun'!$J$18</f>
        <v>8858628473.9482346</v>
      </c>
      <c r="C33" s="23">
        <f>'19_Optimasi_10Tahun'!$J$21</f>
        <v>3701926201.7046652</v>
      </c>
      <c r="D33" s="23">
        <f>'19_Optimasi_10Tahun'!$J$22</f>
        <v>-11442693562.154758</v>
      </c>
      <c r="E33" s="17"/>
      <c r="F33" s="17"/>
      <c r="G33" s="17"/>
      <c r="H33" s="17"/>
      <c r="I33" s="17"/>
      <c r="J33" s="17"/>
      <c r="K33" s="17"/>
      <c r="L33" s="17"/>
    </row>
    <row r="34" spans="1:12">
      <c r="A34" s="17" t="s">
        <v>79</v>
      </c>
      <c r="B34" s="23">
        <f>'19_Optimasi_10Tahun'!$K$18</f>
        <v>10917408329.867287</v>
      </c>
      <c r="C34" s="23">
        <f>'19_Optimasi_10Tahun'!$K$21</f>
        <v>5720942734.7253752</v>
      </c>
      <c r="D34" s="23">
        <f>'19_Optimasi_10Tahun'!$K$22</f>
        <v>-5721750827.4293833</v>
      </c>
      <c r="E34" s="17"/>
      <c r="F34" s="17"/>
      <c r="G34" s="17"/>
      <c r="H34" s="17"/>
      <c r="I34" s="17"/>
      <c r="J34" s="17"/>
      <c r="K34" s="17"/>
      <c r="L34" s="17"/>
    </row>
    <row r="35" spans="1:12">
      <c r="A35" s="17" t="s">
        <v>80</v>
      </c>
      <c r="B35" s="23">
        <f>'19_Optimasi_10Tahun'!$L$18</f>
        <v>12630617853.176571</v>
      </c>
      <c r="C35" s="23">
        <f>'19_Optimasi_10Tahun'!$L$21</f>
        <v>7059747577.9565144</v>
      </c>
      <c r="D35" s="23">
        <f>'19_Optimasi_10Tahun'!$L$22</f>
        <v>1337996750.5271311</v>
      </c>
      <c r="E35" s="17"/>
      <c r="F35" s="17"/>
      <c r="G35" s="17"/>
      <c r="H35" s="17"/>
      <c r="I35" s="17"/>
      <c r="J35" s="17"/>
      <c r="K35" s="17"/>
      <c r="L35" s="17"/>
    </row>
    <row r="36" spans="1:12">
      <c r="A36" s="17"/>
      <c r="B36" s="17"/>
      <c r="C36" s="17"/>
      <c r="D36" s="17"/>
      <c r="E36" s="17"/>
      <c r="F36" s="17"/>
      <c r="G36" s="17"/>
      <c r="H36" s="17"/>
      <c r="I36" s="17"/>
      <c r="J36" s="17"/>
      <c r="K36" s="17"/>
      <c r="L36" s="17"/>
    </row>
    <row r="37" spans="1:12">
      <c r="A37" s="17"/>
      <c r="B37" s="17"/>
      <c r="C37" s="17"/>
      <c r="D37" s="17"/>
      <c r="E37" s="17"/>
      <c r="F37" s="17"/>
      <c r="G37" s="17"/>
      <c r="H37" s="17"/>
      <c r="I37" s="17"/>
      <c r="J37" s="17"/>
      <c r="K37" s="17"/>
      <c r="L37" s="17"/>
    </row>
    <row r="38" spans="1:12" ht="20" customHeight="1">
      <c r="A38" s="211" t="s">
        <v>81</v>
      </c>
      <c r="B38" s="211"/>
      <c r="C38" s="211"/>
      <c r="D38" s="211"/>
      <c r="E38" s="211"/>
      <c r="F38" s="17"/>
      <c r="G38" s="17"/>
      <c r="H38" s="17"/>
      <c r="I38" s="17"/>
      <c r="J38" s="17"/>
      <c r="K38" s="17"/>
      <c r="L38" s="17"/>
    </row>
    <row r="39" spans="1:12" ht="30" customHeight="1">
      <c r="A39" s="2" t="s">
        <v>82</v>
      </c>
      <c r="B39" s="3" t="s">
        <v>83</v>
      </c>
      <c r="C39" s="3" t="s">
        <v>84</v>
      </c>
      <c r="D39" s="3" t="s">
        <v>85</v>
      </c>
      <c r="E39" s="4" t="s">
        <v>86</v>
      </c>
      <c r="F39" s="17"/>
      <c r="G39" s="17"/>
      <c r="H39" s="17"/>
      <c r="I39" s="17"/>
      <c r="J39" s="17"/>
      <c r="K39" s="17"/>
      <c r="L39" s="17"/>
    </row>
    <row r="40" spans="1:12">
      <c r="A40" s="17" t="s">
        <v>87</v>
      </c>
      <c r="B40" s="23">
        <f>'12_Scenario_1v4'!$B$5</f>
        <v>15268150480</v>
      </c>
      <c r="C40" s="23">
        <f>'12_Scenario_1v4'!$C$5</f>
        <v>23875151170.992001</v>
      </c>
      <c r="D40" s="23">
        <f>C40-B40</f>
        <v>8607000690.9920006</v>
      </c>
      <c r="E40" s="17" t="s">
        <v>88</v>
      </c>
      <c r="F40" s="17"/>
      <c r="G40" s="17"/>
      <c r="H40" s="17"/>
      <c r="I40" s="17"/>
      <c r="J40" s="17"/>
      <c r="K40" s="17"/>
      <c r="L40" s="17"/>
    </row>
    <row r="41" spans="1:12">
      <c r="A41" s="17" t="s">
        <v>89</v>
      </c>
      <c r="B41" s="23">
        <f>'12_Scenario_1v4'!$B$7</f>
        <v>48615696058.313675</v>
      </c>
      <c r="C41" s="23">
        <f>'12_Scenario_1v4'!$C$7</f>
        <v>62902562924.451218</v>
      </c>
      <c r="D41" s="23">
        <f>C41-B41</f>
        <v>14286866866.137543</v>
      </c>
      <c r="E41" s="17" t="s">
        <v>90</v>
      </c>
      <c r="F41" s="17"/>
      <c r="G41" s="17"/>
      <c r="H41" s="17"/>
      <c r="I41" s="17"/>
      <c r="J41" s="17"/>
      <c r="K41" s="17"/>
      <c r="L41" s="17"/>
    </row>
    <row r="42" spans="1:12">
      <c r="A42" s="17" t="s">
        <v>91</v>
      </c>
      <c r="B42" s="23">
        <f>'12_Scenario_1v4'!$B$8</f>
        <v>-11872484841.475691</v>
      </c>
      <c r="C42" s="23">
        <f>'12_Scenario_1v4'!$C$8</f>
        <v>-28601004678.911129</v>
      </c>
      <c r="D42" s="23">
        <f>C42-B42</f>
        <v>-16728519837.435438</v>
      </c>
      <c r="E42" s="17" t="s">
        <v>92</v>
      </c>
      <c r="F42" s="17"/>
      <c r="G42" s="17"/>
      <c r="H42" s="17"/>
      <c r="I42" s="17"/>
      <c r="J42" s="17"/>
      <c r="K42" s="17"/>
      <c r="L42" s="17"/>
    </row>
    <row r="43" spans="1:12">
      <c r="A43" s="17" t="s">
        <v>93</v>
      </c>
      <c r="B43" s="23">
        <f>'12_Scenario_1v4'!$B$11</f>
        <v>19597093126.601765</v>
      </c>
      <c r="C43" s="23">
        <f>'12_Scenario_1v4'!$C$11</f>
        <v>36542781084.694626</v>
      </c>
      <c r="D43" s="23">
        <f>C43-B43</f>
        <v>16945687958.092861</v>
      </c>
      <c r="E43" s="17" t="s">
        <v>94</v>
      </c>
      <c r="F43" s="17"/>
      <c r="G43" s="17"/>
      <c r="H43" s="17"/>
      <c r="I43" s="17"/>
      <c r="J43" s="17"/>
      <c r="K43" s="17"/>
      <c r="L43" s="17"/>
    </row>
    <row r="46" spans="1:12" ht="20" customHeight="1">
      <c r="A46" s="249" t="s">
        <v>95</v>
      </c>
      <c r="B46" s="249"/>
      <c r="C46" s="249"/>
      <c r="D46" s="249"/>
      <c r="E46" s="249"/>
      <c r="F46" s="249"/>
      <c r="G46" s="249"/>
      <c r="H46" s="249"/>
      <c r="I46" s="249"/>
      <c r="J46" s="249"/>
      <c r="K46" s="249"/>
      <c r="L46" s="249"/>
    </row>
    <row r="47" spans="1:12" ht="32" customHeight="1">
      <c r="A47" s="130" t="s">
        <v>82</v>
      </c>
      <c r="B47" s="131" t="s">
        <v>96</v>
      </c>
      <c r="C47" s="131" t="s">
        <v>97</v>
      </c>
      <c r="D47" s="131" t="s">
        <v>98</v>
      </c>
      <c r="E47" s="132" t="s">
        <v>99</v>
      </c>
      <c r="G47" s="250" t="str">
        <f>'19_Optimasi_10Tahun'!G5</f>
        <v>HASIL: Untung nominal T10, tetapi NPV masih negatif pada 12%.</v>
      </c>
      <c r="H47" s="250"/>
      <c r="I47" s="250"/>
      <c r="J47" s="250"/>
      <c r="K47" s="250"/>
      <c r="L47" s="250"/>
    </row>
    <row r="48" spans="1:12">
      <c r="A48" t="s">
        <v>100</v>
      </c>
      <c r="B48" s="8">
        <f>'19_Optimasi_10Tahun'!B6</f>
        <v>15268150480</v>
      </c>
      <c r="C48" s="8">
        <f>'19_Optimasi_10Tahun'!C6</f>
        <v>14576030480</v>
      </c>
      <c r="D48" s="8">
        <f>'19_Optimasi_10Tahun'!D6</f>
        <v>-692120000</v>
      </c>
      <c r="E48" t="s">
        <v>101</v>
      </c>
      <c r="G48" s="250"/>
      <c r="H48" s="250"/>
      <c r="I48" s="250"/>
      <c r="J48" s="250"/>
      <c r="K48" s="250"/>
      <c r="L48" s="250"/>
    </row>
    <row r="49" spans="1:12">
      <c r="A49" t="s">
        <v>102</v>
      </c>
      <c r="B49" s="8">
        <f>'19_Optimasi_10Tahun'!B7</f>
        <v>15954280480</v>
      </c>
      <c r="C49" s="8">
        <f>'19_Optimasi_10Tahun'!C7</f>
        <v>15050790860.646183</v>
      </c>
      <c r="D49" s="8">
        <f>'19_Optimasi_10Tahun'!D7</f>
        <v>-903489619.35381699</v>
      </c>
      <c r="E49" t="s">
        <v>103</v>
      </c>
      <c r="G49" s="250"/>
      <c r="H49" s="250"/>
      <c r="I49" s="250"/>
      <c r="J49" s="250"/>
      <c r="K49" s="250"/>
      <c r="L49" s="250"/>
    </row>
    <row r="50" spans="1:12">
      <c r="A50" t="s">
        <v>89</v>
      </c>
      <c r="B50" s="8">
        <f>'19_Optimasi_10Tahun'!B8</f>
        <v>48615696058.313675</v>
      </c>
      <c r="C50" s="8">
        <f>'19_Optimasi_10Tahun'!C8</f>
        <v>46681380905.593491</v>
      </c>
      <c r="D50" s="8">
        <f>'19_Optimasi_10Tahun'!D8</f>
        <v>-1934315152.7201843</v>
      </c>
      <c r="E50" t="s">
        <v>104</v>
      </c>
      <c r="G50" s="250"/>
      <c r="H50" s="250"/>
      <c r="I50" s="250"/>
      <c r="J50" s="250"/>
      <c r="K50" s="250"/>
      <c r="L50" s="250"/>
    </row>
    <row r="51" spans="1:12">
      <c r="A51" t="s">
        <v>105</v>
      </c>
      <c r="B51" s="8">
        <f>'19_Optimasi_10Tahun'!B9</f>
        <v>61685533700.258263</v>
      </c>
      <c r="C51" s="8">
        <f>'19_Optimasi_10Tahun'!C9</f>
        <v>63070168516.7668</v>
      </c>
      <c r="D51" s="8">
        <f>'19_Optimasi_10Tahun'!D9</f>
        <v>1384634816.5085373</v>
      </c>
      <c r="E51" t="s">
        <v>106</v>
      </c>
      <c r="G51" s="250"/>
      <c r="H51" s="250"/>
      <c r="I51" s="250"/>
      <c r="J51" s="250"/>
      <c r="K51" s="250"/>
      <c r="L51" s="250"/>
    </row>
    <row r="52" spans="1:12">
      <c r="A52" t="s">
        <v>107</v>
      </c>
      <c r="B52" s="8">
        <f>'19_Optimasi_10Tahun'!B10</f>
        <v>-2884442838.0554104</v>
      </c>
      <c r="C52" s="8">
        <f>'19_Optimasi_10Tahun'!C10</f>
        <v>1337996750.5271311</v>
      </c>
      <c r="D52" s="8">
        <f>'19_Optimasi_10Tahun'!D10</f>
        <v>4222439588.5825415</v>
      </c>
      <c r="E52" t="s">
        <v>108</v>
      </c>
      <c r="G52" s="250"/>
      <c r="H52" s="250"/>
      <c r="I52" s="250"/>
      <c r="J52" s="250"/>
      <c r="K52" s="250"/>
      <c r="L52" s="250"/>
    </row>
    <row r="53" spans="1:12">
      <c r="A53" t="s">
        <v>109</v>
      </c>
      <c r="B53" s="8">
        <f>'19_Optimasi_10Tahun'!B11</f>
        <v>-11872484841.475689</v>
      </c>
      <c r="C53" s="8">
        <f>'19_Optimasi_10Tahun'!C11</f>
        <v>-9409726636.8802471</v>
      </c>
      <c r="D53" s="8">
        <f>'19_Optimasi_10Tahun'!D11</f>
        <v>2462758204.5954418</v>
      </c>
      <c r="E53" t="s">
        <v>110</v>
      </c>
      <c r="G53" s="250"/>
      <c r="H53" s="250"/>
      <c r="I53" s="250"/>
      <c r="J53" s="250"/>
      <c r="K53" s="250"/>
      <c r="L53" s="250"/>
    </row>
    <row r="54" spans="1:12">
      <c r="A54" t="s">
        <v>111</v>
      </c>
      <c r="B54" s="7">
        <f>'19_Optimasi_10Tahun'!B12</f>
        <v>-1.9621503830022591E-2</v>
      </c>
      <c r="C54" s="7">
        <f>'19_Optimasi_10Tahun'!C12</f>
        <v>9.0613450341601176E-3</v>
      </c>
      <c r="D54" s="7">
        <f>'19_Optimasi_10Tahun'!D12</f>
        <v>2.8682848864182708E-2</v>
      </c>
      <c r="E54" t="s">
        <v>112</v>
      </c>
      <c r="G54" s="250"/>
      <c r="H54" s="250"/>
      <c r="I54" s="250"/>
      <c r="J54" s="250"/>
      <c r="K54" s="250"/>
      <c r="L54" s="250"/>
    </row>
    <row r="55" spans="1:12">
      <c r="A55" t="s">
        <v>93</v>
      </c>
      <c r="B55" s="145">
        <f>'19_Optimasi_10Tahun'!B13</f>
        <v>19597093126.601765</v>
      </c>
      <c r="C55" s="145">
        <f>'19_Optimasi_10Tahun'!C13</f>
        <v>17456171335.338364</v>
      </c>
      <c r="D55" s="145">
        <f>'19_Optimasi_10Tahun'!D13</f>
        <v>-2140921791.263401</v>
      </c>
      <c r="E55" t="s">
        <v>113</v>
      </c>
      <c r="G55" s="250"/>
      <c r="H55" s="250"/>
      <c r="I55" s="250"/>
      <c r="J55" s="250"/>
      <c r="K55" s="250"/>
      <c r="L55" s="250"/>
    </row>
    <row r="56" spans="1:12">
      <c r="A56" t="s">
        <v>114</v>
      </c>
      <c r="B56" s="145" t="str">
        <f>'19_Optimasi_10Tahun'!B14</f>
        <v>Beyond Y10</v>
      </c>
      <c r="C56" s="145">
        <f>'19_Optimasi_10Tahun'!C14</f>
        <v>10</v>
      </c>
      <c r="D56" s="145" t="str">
        <f>'19_Optimasi_10Tahun'!D14</f>
        <v>-</v>
      </c>
      <c r="E56" t="s">
        <v>115</v>
      </c>
      <c r="G56" s="250"/>
      <c r="H56" s="250"/>
      <c r="I56" s="250"/>
      <c r="J56" s="250"/>
      <c r="K56" s="250"/>
      <c r="L56" s="250"/>
    </row>
    <row r="58" spans="1:12" ht="20" customHeight="1">
      <c r="A58" s="249" t="s">
        <v>116</v>
      </c>
      <c r="B58" s="249"/>
      <c r="C58" s="249"/>
      <c r="D58" s="249"/>
      <c r="E58" s="249"/>
      <c r="F58" s="249"/>
      <c r="G58" s="249"/>
      <c r="H58" s="249"/>
      <c r="I58" s="249"/>
      <c r="J58" s="249"/>
      <c r="K58" s="249"/>
      <c r="L58" s="249"/>
    </row>
    <row r="59" spans="1:12" ht="32" customHeight="1">
      <c r="A59" s="130" t="s">
        <v>117</v>
      </c>
      <c r="B59" s="131" t="s">
        <v>118</v>
      </c>
      <c r="C59" s="131" t="s">
        <v>119</v>
      </c>
      <c r="D59" s="131" t="s">
        <v>120</v>
      </c>
      <c r="E59" s="132" t="s">
        <v>121</v>
      </c>
    </row>
    <row r="60" spans="1:12" ht="40.5">
      <c r="A60" s="15" t="s">
        <v>122</v>
      </c>
      <c r="B60" s="143">
        <f>'19_Optimasi_10Tahun'!B48</f>
        <v>1337996750.5271311</v>
      </c>
      <c r="C60" s="146">
        <f>'19_Optimasi_10Tahun'!C48</f>
        <v>2.1214415340771339E-2</v>
      </c>
      <c r="D60" s="15" t="str">
        <f>'19_Optimasi_10Tahun'!D48</f>
        <v>POSITIF</v>
      </c>
      <c r="E60" s="15" t="s">
        <v>123</v>
      </c>
    </row>
    <row r="61" spans="1:12" ht="27">
      <c r="A61" s="15" t="s">
        <v>124</v>
      </c>
      <c r="B61" s="143">
        <f>'19_Optimasi_10Tahun'!B49</f>
        <v>1270818034.64519</v>
      </c>
      <c r="C61" s="146">
        <f>'19_Optimasi_10Tahun'!C49</f>
        <v>2.0149272858012917E-2</v>
      </c>
      <c r="D61" s="15" t="str">
        <f>'19_Optimasi_10Tahun'!D49</f>
        <v>POSITIF</v>
      </c>
      <c r="E61" s="15" t="s">
        <v>125</v>
      </c>
    </row>
    <row r="62" spans="1:12" ht="40.5">
      <c r="A62" s="15" t="s">
        <v>126</v>
      </c>
      <c r="B62" s="143">
        <f>'19_Optimasi_10Tahun'!B50</f>
        <v>1045818034.64519</v>
      </c>
      <c r="C62" s="146">
        <f>'19_Optimasi_10Tahun'!C50</f>
        <v>1.6581817668160598E-2</v>
      </c>
      <c r="D62" s="15" t="str">
        <f>'19_Optimasi_10Tahun'!D50</f>
        <v>POSITIF</v>
      </c>
      <c r="E62" s="15" t="s">
        <v>127</v>
      </c>
    </row>
    <row r="63" spans="1:12" ht="40.5">
      <c r="A63" s="15" t="s">
        <v>128</v>
      </c>
      <c r="B63" s="143">
        <f>'19_Optimasi_10Tahun'!B51</f>
        <v>387694085.02103782</v>
      </c>
      <c r="C63" s="146">
        <f>'19_Optimasi_10Tahun'!C51</f>
        <v>6.1470278919259873E-3</v>
      </c>
      <c r="D63" s="15" t="str">
        <f>'19_Optimasi_10Tahun'!D51</f>
        <v>POSITIF</v>
      </c>
      <c r="E63" s="15" t="s">
        <v>129</v>
      </c>
    </row>
    <row r="65" spans="1:12">
      <c r="A65" s="251" t="s">
        <v>130</v>
      </c>
      <c r="B65" s="251"/>
      <c r="C65" s="251"/>
      <c r="D65" s="251"/>
      <c r="E65" s="251"/>
      <c r="F65" s="251"/>
      <c r="G65" s="251"/>
      <c r="H65" s="251"/>
      <c r="I65" s="251"/>
      <c r="J65" s="251"/>
      <c r="K65" s="251"/>
      <c r="L65" s="251"/>
    </row>
    <row r="66" spans="1:12">
      <c r="A66" s="251"/>
      <c r="B66" s="251"/>
      <c r="C66" s="251"/>
      <c r="D66" s="251"/>
      <c r="E66" s="251"/>
      <c r="F66" s="251"/>
      <c r="G66" s="251"/>
      <c r="H66" s="251"/>
      <c r="I66" s="251"/>
      <c r="J66" s="251"/>
      <c r="K66" s="251"/>
      <c r="L66" s="251"/>
    </row>
    <row r="67" spans="1:12">
      <c r="A67" s="251"/>
      <c r="B67" s="251"/>
      <c r="C67" s="251"/>
      <c r="D67" s="251"/>
      <c r="E67" s="251"/>
      <c r="F67" s="251"/>
      <c r="G67" s="251"/>
      <c r="H67" s="251"/>
      <c r="I67" s="251"/>
      <c r="J67" s="251"/>
      <c r="K67" s="251"/>
      <c r="L67" s="251"/>
    </row>
  </sheetData>
  <mergeCells count="29">
    <mergeCell ref="A65:L67"/>
    <mergeCell ref="A24:L24"/>
    <mergeCell ref="A38:E38"/>
    <mergeCell ref="A46:L46"/>
    <mergeCell ref="G47:L56"/>
    <mergeCell ref="A58:L58"/>
    <mergeCell ref="I9:L9"/>
    <mergeCell ref="I10:L10"/>
    <mergeCell ref="I11:L11"/>
    <mergeCell ref="A13:L13"/>
    <mergeCell ref="A15:F15"/>
    <mergeCell ref="A9:D9"/>
    <mergeCell ref="A10:D10"/>
    <mergeCell ref="A11:D11"/>
    <mergeCell ref="E9:H9"/>
    <mergeCell ref="E10:H10"/>
    <mergeCell ref="E11:H11"/>
    <mergeCell ref="A7:D7"/>
    <mergeCell ref="E5:H5"/>
    <mergeCell ref="E6:H6"/>
    <mergeCell ref="E7:H7"/>
    <mergeCell ref="I5:L5"/>
    <mergeCell ref="I6:L6"/>
    <mergeCell ref="I7:L7"/>
    <mergeCell ref="A1:L1"/>
    <mergeCell ref="A2:L2"/>
    <mergeCell ref="A4:L4"/>
    <mergeCell ref="A5:D5"/>
    <mergeCell ref="A6:D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5"/>
  <sheetViews>
    <sheetView showGridLines="0" tabSelected="1" topLeftCell="A58" workbookViewId="0">
      <selection activeCell="C67" sqref="C67"/>
    </sheetView>
  </sheetViews>
  <sheetFormatPr defaultRowHeight="13.5"/>
  <cols>
    <col min="1" max="1" width="16" customWidth="1"/>
    <col min="2" max="2" width="39" customWidth="1"/>
    <col min="3" max="3" width="17" customWidth="1"/>
    <col min="4" max="4" width="19" customWidth="1"/>
    <col min="5" max="5" width="12" customWidth="1"/>
    <col min="6" max="6" width="15" customWidth="1"/>
    <col min="7" max="7" width="55" customWidth="1"/>
    <col min="8" max="11" width="12" customWidth="1"/>
  </cols>
  <sheetData>
    <row r="1" spans="1:11" ht="28.05" customHeight="1">
      <c r="A1" s="252" t="s">
        <v>131</v>
      </c>
      <c r="B1" s="252"/>
      <c r="C1" s="252"/>
      <c r="D1" s="252"/>
      <c r="E1" s="252"/>
      <c r="F1" s="252"/>
      <c r="G1" s="252"/>
      <c r="H1" s="206"/>
      <c r="I1" s="206"/>
      <c r="J1" s="206"/>
      <c r="K1" s="206"/>
    </row>
    <row r="2" spans="1:11" ht="38" customHeight="1">
      <c r="A2" s="253" t="s">
        <v>132</v>
      </c>
      <c r="B2" s="253"/>
      <c r="C2" s="253"/>
      <c r="D2" s="253"/>
      <c r="E2" s="253"/>
      <c r="F2" s="253"/>
      <c r="G2" s="253"/>
      <c r="H2" s="207"/>
      <c r="I2" s="207"/>
      <c r="J2" s="207"/>
      <c r="K2" s="207"/>
    </row>
    <row r="3" spans="1:11">
      <c r="A3" s="16"/>
      <c r="B3" s="16"/>
      <c r="C3" s="16"/>
      <c r="D3" s="16"/>
      <c r="E3" s="16"/>
      <c r="F3" s="16"/>
      <c r="G3" s="16"/>
      <c r="H3" s="16"/>
      <c r="I3" s="16"/>
      <c r="J3" s="16"/>
      <c r="K3" s="16"/>
    </row>
    <row r="4" spans="1:11" ht="20" customHeight="1">
      <c r="A4" s="254" t="s">
        <v>133</v>
      </c>
      <c r="B4" s="254"/>
      <c r="C4" s="254"/>
      <c r="D4" s="254"/>
      <c r="E4" s="254"/>
      <c r="F4" s="254"/>
      <c r="G4" s="254"/>
      <c r="H4" s="16"/>
      <c r="I4" s="16"/>
      <c r="J4" s="16"/>
      <c r="K4" s="16"/>
    </row>
    <row r="5" spans="1:11" ht="30" customHeight="1">
      <c r="A5" s="2" t="s">
        <v>134</v>
      </c>
      <c r="B5" s="3" t="s">
        <v>135</v>
      </c>
      <c r="C5" s="3" t="s">
        <v>136</v>
      </c>
      <c r="D5" s="3" t="s">
        <v>137</v>
      </c>
      <c r="E5" s="3" t="s">
        <v>138</v>
      </c>
      <c r="F5" s="3" t="s">
        <v>139</v>
      </c>
      <c r="G5" s="4" t="s">
        <v>140</v>
      </c>
      <c r="H5" s="16"/>
      <c r="I5" s="16"/>
      <c r="J5" s="16"/>
      <c r="K5" s="16"/>
    </row>
    <row r="6" spans="1:11">
      <c r="A6" s="17" t="s">
        <v>141</v>
      </c>
      <c r="B6" s="17" t="s">
        <v>142</v>
      </c>
      <c r="C6" s="179">
        <v>100</v>
      </c>
      <c r="D6" s="17" t="s">
        <v>143</v>
      </c>
      <c r="E6" s="17" t="s">
        <v>144</v>
      </c>
      <c r="F6" s="17" t="s">
        <v>145</v>
      </c>
      <c r="G6" s="17" t="s">
        <v>146</v>
      </c>
      <c r="H6" s="16"/>
      <c r="I6" s="16"/>
      <c r="J6" s="16"/>
      <c r="K6" s="16"/>
    </row>
    <row r="7" spans="1:11">
      <c r="A7" s="17" t="s">
        <v>141</v>
      </c>
      <c r="B7" s="17" t="s">
        <v>147</v>
      </c>
      <c r="C7" s="180">
        <v>0.88</v>
      </c>
      <c r="D7" s="17" t="s">
        <v>148</v>
      </c>
      <c r="E7" s="17" t="s">
        <v>149</v>
      </c>
      <c r="F7" s="17" t="s">
        <v>150</v>
      </c>
      <c r="G7" s="17" t="s">
        <v>151</v>
      </c>
      <c r="H7" s="16"/>
      <c r="I7" s="16"/>
      <c r="J7" s="16"/>
      <c r="K7" s="16"/>
    </row>
    <row r="8" spans="1:11">
      <c r="A8" s="17" t="s">
        <v>152</v>
      </c>
      <c r="B8" s="17" t="s">
        <v>153</v>
      </c>
      <c r="C8" s="179">
        <v>1</v>
      </c>
      <c r="D8" s="17" t="s">
        <v>154</v>
      </c>
      <c r="E8" s="17" t="s">
        <v>144</v>
      </c>
      <c r="F8" s="17" t="s">
        <v>145</v>
      </c>
      <c r="G8" s="17" t="s">
        <v>155</v>
      </c>
      <c r="H8" s="16"/>
      <c r="I8" s="16"/>
      <c r="J8" s="16"/>
      <c r="K8" s="16"/>
    </row>
    <row r="9" spans="1:11">
      <c r="A9" s="17" t="s">
        <v>156</v>
      </c>
      <c r="B9" s="17" t="s">
        <v>157</v>
      </c>
      <c r="C9" s="181">
        <v>25</v>
      </c>
      <c r="D9" s="17" t="s">
        <v>158</v>
      </c>
      <c r="E9" s="17" t="s">
        <v>144</v>
      </c>
      <c r="F9" s="17" t="s">
        <v>145</v>
      </c>
      <c r="G9" s="17" t="s">
        <v>159</v>
      </c>
      <c r="H9" s="16"/>
      <c r="I9" s="16"/>
      <c r="J9" s="16"/>
      <c r="K9" s="16"/>
    </row>
    <row r="10" spans="1:11">
      <c r="A10" s="17" t="s">
        <v>160</v>
      </c>
      <c r="B10" s="17" t="s">
        <v>161</v>
      </c>
      <c r="C10" s="181">
        <v>2026</v>
      </c>
      <c r="D10" s="17" t="s">
        <v>162</v>
      </c>
      <c r="E10" s="17" t="s">
        <v>163</v>
      </c>
      <c r="F10" s="17" t="s">
        <v>145</v>
      </c>
      <c r="G10" s="17" t="s">
        <v>164</v>
      </c>
      <c r="H10" s="16"/>
      <c r="I10" s="16"/>
      <c r="J10" s="16"/>
      <c r="K10" s="16"/>
    </row>
    <row r="11" spans="1:11">
      <c r="A11" s="17" t="s">
        <v>165</v>
      </c>
      <c r="B11" s="17" t="s">
        <v>166</v>
      </c>
      <c r="C11" s="180">
        <v>0.04</v>
      </c>
      <c r="D11" s="17" t="s">
        <v>167</v>
      </c>
      <c r="E11" s="17" t="s">
        <v>149</v>
      </c>
      <c r="F11" s="17" t="s">
        <v>150</v>
      </c>
      <c r="G11" s="17" t="s">
        <v>168</v>
      </c>
      <c r="H11" s="16"/>
      <c r="I11" s="16"/>
      <c r="J11" s="16"/>
      <c r="K11" s="16"/>
    </row>
    <row r="12" spans="1:11">
      <c r="A12" s="17" t="s">
        <v>165</v>
      </c>
      <c r="B12" s="17" t="s">
        <v>169</v>
      </c>
      <c r="C12" s="180">
        <v>0.03</v>
      </c>
      <c r="D12" s="17" t="s">
        <v>167</v>
      </c>
      <c r="E12" s="17" t="s">
        <v>149</v>
      </c>
      <c r="F12" s="17" t="s">
        <v>170</v>
      </c>
      <c r="G12" s="17" t="s">
        <v>171</v>
      </c>
      <c r="H12" s="16"/>
      <c r="I12" s="16"/>
      <c r="J12" s="16"/>
      <c r="K12" s="16"/>
    </row>
    <row r="13" spans="1:11">
      <c r="A13" s="17" t="s">
        <v>165</v>
      </c>
      <c r="B13" s="17" t="s">
        <v>172</v>
      </c>
      <c r="C13" s="180">
        <v>0.12</v>
      </c>
      <c r="D13" s="17" t="s">
        <v>173</v>
      </c>
      <c r="E13" s="17" t="s">
        <v>149</v>
      </c>
      <c r="F13" s="17" t="s">
        <v>150</v>
      </c>
      <c r="G13" s="17" t="s">
        <v>174</v>
      </c>
      <c r="H13" s="16"/>
      <c r="I13" s="16"/>
      <c r="J13" s="16"/>
      <c r="K13" s="16"/>
    </row>
    <row r="14" spans="1:11">
      <c r="A14" s="17" t="s">
        <v>165</v>
      </c>
      <c r="B14" s="17" t="s">
        <v>175</v>
      </c>
      <c r="C14" s="180">
        <v>0.1</v>
      </c>
      <c r="D14" s="17" t="s">
        <v>176</v>
      </c>
      <c r="E14" s="17" t="s">
        <v>149</v>
      </c>
      <c r="F14" s="17" t="s">
        <v>150</v>
      </c>
      <c r="G14" s="17" t="s">
        <v>177</v>
      </c>
      <c r="H14" s="16"/>
      <c r="I14" s="16"/>
      <c r="J14" s="16"/>
      <c r="K14" s="16"/>
    </row>
    <row r="15" spans="1:11">
      <c r="A15" s="17" t="s">
        <v>165</v>
      </c>
      <c r="B15" s="17" t="s">
        <v>178</v>
      </c>
      <c r="C15" s="180">
        <v>0.05</v>
      </c>
      <c r="D15" s="17" t="s">
        <v>176</v>
      </c>
      <c r="E15" s="17" t="s">
        <v>149</v>
      </c>
      <c r="F15" s="17" t="s">
        <v>150</v>
      </c>
      <c r="G15" s="17" t="s">
        <v>179</v>
      </c>
      <c r="H15" s="16"/>
      <c r="I15" s="16"/>
      <c r="J15" s="16"/>
      <c r="K15" s="16"/>
    </row>
    <row r="16" spans="1:11">
      <c r="A16" s="17" t="s">
        <v>180</v>
      </c>
      <c r="B16" s="17" t="s">
        <v>181</v>
      </c>
      <c r="C16" s="182">
        <v>0</v>
      </c>
      <c r="D16" s="17" t="s">
        <v>182</v>
      </c>
      <c r="E16" s="17" t="s">
        <v>183</v>
      </c>
      <c r="F16" s="17" t="s">
        <v>170</v>
      </c>
      <c r="G16" s="17" t="s">
        <v>184</v>
      </c>
      <c r="H16" s="16"/>
      <c r="I16" s="16"/>
      <c r="J16" s="16"/>
      <c r="K16" s="16"/>
    </row>
    <row r="17" spans="1:11">
      <c r="A17" s="17" t="s">
        <v>185</v>
      </c>
      <c r="B17" s="17" t="s">
        <v>186</v>
      </c>
      <c r="C17" s="181">
        <v>2</v>
      </c>
      <c r="D17" s="17" t="s">
        <v>162</v>
      </c>
      <c r="E17" s="17" t="s">
        <v>144</v>
      </c>
      <c r="F17" s="17" t="s">
        <v>150</v>
      </c>
      <c r="G17" s="17" t="s">
        <v>187</v>
      </c>
      <c r="H17" s="16"/>
      <c r="I17" s="16"/>
      <c r="J17" s="16"/>
      <c r="K17" s="16"/>
    </row>
    <row r="18" spans="1:11">
      <c r="A18" s="17" t="s">
        <v>185</v>
      </c>
      <c r="B18" s="17" t="s">
        <v>188</v>
      </c>
      <c r="C18" s="181">
        <v>3</v>
      </c>
      <c r="D18" s="17" t="s">
        <v>162</v>
      </c>
      <c r="E18" s="17" t="s">
        <v>189</v>
      </c>
      <c r="F18" s="17" t="s">
        <v>150</v>
      </c>
      <c r="G18" s="17" t="s">
        <v>190</v>
      </c>
      <c r="H18" s="16"/>
      <c r="I18" s="16"/>
      <c r="J18" s="16"/>
      <c r="K18" s="16"/>
    </row>
    <row r="19" spans="1:11">
      <c r="A19" s="17" t="s">
        <v>191</v>
      </c>
      <c r="B19" s="17" t="s">
        <v>192</v>
      </c>
      <c r="C19" s="180">
        <v>0</v>
      </c>
      <c r="D19" s="17" t="s">
        <v>193</v>
      </c>
      <c r="E19" s="17" t="s">
        <v>149</v>
      </c>
      <c r="F19" s="17" t="s">
        <v>170</v>
      </c>
      <c r="G19" s="17" t="s">
        <v>194</v>
      </c>
      <c r="H19" s="16"/>
      <c r="I19" s="16"/>
      <c r="J19" s="16"/>
      <c r="K19" s="16"/>
    </row>
    <row r="20" spans="1:11">
      <c r="A20" s="17"/>
      <c r="B20" s="17"/>
      <c r="C20" s="17"/>
      <c r="D20" s="17"/>
      <c r="E20" s="17"/>
      <c r="F20" s="17"/>
      <c r="G20" s="17"/>
      <c r="H20" s="16"/>
      <c r="I20" s="16"/>
      <c r="J20" s="16"/>
      <c r="K20" s="16"/>
    </row>
    <row r="21" spans="1:11">
      <c r="A21" s="17"/>
      <c r="B21" s="17"/>
      <c r="C21" s="17"/>
      <c r="D21" s="17"/>
      <c r="E21" s="17"/>
      <c r="F21" s="17"/>
      <c r="G21" s="17"/>
      <c r="H21" s="16"/>
      <c r="I21" s="16"/>
      <c r="J21" s="16"/>
      <c r="K21" s="16"/>
    </row>
    <row r="22" spans="1:11" ht="20" customHeight="1">
      <c r="A22" s="208" t="s">
        <v>195</v>
      </c>
      <c r="B22" s="208"/>
      <c r="C22" s="208"/>
      <c r="D22" s="208"/>
      <c r="E22" s="208"/>
      <c r="F22" s="208"/>
      <c r="G22" s="208"/>
      <c r="H22" s="16"/>
      <c r="I22" s="16"/>
      <c r="J22" s="16"/>
      <c r="K22" s="16"/>
    </row>
    <row r="23" spans="1:11" ht="32" customHeight="1">
      <c r="A23" s="63" t="s">
        <v>134</v>
      </c>
      <c r="B23" s="64" t="s">
        <v>135</v>
      </c>
      <c r="C23" s="64" t="s">
        <v>136</v>
      </c>
      <c r="D23" s="64" t="s">
        <v>137</v>
      </c>
      <c r="E23" s="64" t="s">
        <v>138</v>
      </c>
      <c r="F23" s="64" t="s">
        <v>139</v>
      </c>
      <c r="G23" s="65" t="s">
        <v>140</v>
      </c>
      <c r="H23" s="16"/>
      <c r="I23" s="16"/>
      <c r="J23" s="16"/>
      <c r="K23" s="16"/>
    </row>
    <row r="24" spans="1:11">
      <c r="A24" s="17" t="s">
        <v>196</v>
      </c>
      <c r="B24" s="17" t="s">
        <v>197</v>
      </c>
      <c r="C24" s="194">
        <f>$C$6*$C$7</f>
        <v>88</v>
      </c>
      <c r="D24" s="17" t="s">
        <v>198</v>
      </c>
      <c r="E24" s="17" t="s">
        <v>199</v>
      </c>
      <c r="F24" s="17" t="s">
        <v>200</v>
      </c>
      <c r="G24" s="17" t="s">
        <v>201</v>
      </c>
      <c r="H24" s="16"/>
      <c r="I24" s="16"/>
      <c r="J24" s="16"/>
      <c r="K24" s="16"/>
    </row>
    <row r="25" spans="1:11">
      <c r="A25" s="17" t="s">
        <v>196</v>
      </c>
      <c r="B25" s="17" t="s">
        <v>202</v>
      </c>
      <c r="C25" s="194">
        <f>$C$6-$C$24</f>
        <v>12</v>
      </c>
      <c r="D25" s="17" t="s">
        <v>143</v>
      </c>
      <c r="E25" s="17" t="s">
        <v>199</v>
      </c>
      <c r="F25" s="17" t="s">
        <v>200</v>
      </c>
      <c r="G25" s="17" t="s">
        <v>203</v>
      </c>
      <c r="H25" s="16"/>
      <c r="I25" s="16"/>
      <c r="J25" s="16"/>
      <c r="K25" s="16"/>
    </row>
    <row r="26" spans="1:11">
      <c r="A26" s="17" t="s">
        <v>204</v>
      </c>
      <c r="B26" s="17" t="s">
        <v>205</v>
      </c>
      <c r="C26" s="183">
        <v>83</v>
      </c>
      <c r="D26" s="17" t="s">
        <v>206</v>
      </c>
      <c r="E26" s="17" t="s">
        <v>207</v>
      </c>
      <c r="F26" s="17" t="s">
        <v>208</v>
      </c>
      <c r="G26" s="17" t="s">
        <v>209</v>
      </c>
      <c r="H26" s="16"/>
      <c r="I26" s="16"/>
      <c r="J26" s="16"/>
      <c r="K26" s="16"/>
    </row>
    <row r="27" spans="1:11">
      <c r="A27" s="17" t="s">
        <v>204</v>
      </c>
      <c r="B27" s="17" t="s">
        <v>210</v>
      </c>
      <c r="C27" s="183">
        <v>30</v>
      </c>
      <c r="D27" s="17" t="s">
        <v>206</v>
      </c>
      <c r="E27" s="17" t="s">
        <v>207</v>
      </c>
      <c r="F27" s="17" t="s">
        <v>208</v>
      </c>
      <c r="G27" s="17" t="s">
        <v>211</v>
      </c>
      <c r="H27" s="16"/>
      <c r="I27" s="16"/>
      <c r="J27" s="16"/>
      <c r="K27" s="16"/>
    </row>
    <row r="28" spans="1:11">
      <c r="A28" s="17" t="s">
        <v>204</v>
      </c>
      <c r="B28" s="17" t="s">
        <v>212</v>
      </c>
      <c r="C28" s="183">
        <v>500</v>
      </c>
      <c r="D28" s="17" t="s">
        <v>213</v>
      </c>
      <c r="E28" s="17" t="s">
        <v>214</v>
      </c>
      <c r="F28" s="17" t="s">
        <v>208</v>
      </c>
      <c r="G28" s="17" t="s">
        <v>215</v>
      </c>
      <c r="H28" s="16"/>
      <c r="I28" s="16"/>
      <c r="J28" s="16"/>
      <c r="K28" s="16"/>
    </row>
    <row r="29" spans="1:11">
      <c r="A29" s="17" t="s">
        <v>204</v>
      </c>
      <c r="B29" s="17" t="s">
        <v>216</v>
      </c>
      <c r="C29" s="183">
        <v>150</v>
      </c>
      <c r="D29" s="17" t="s">
        <v>217</v>
      </c>
      <c r="E29" s="17" t="s">
        <v>207</v>
      </c>
      <c r="F29" s="17" t="s">
        <v>208</v>
      </c>
      <c r="G29" s="17" t="s">
        <v>218</v>
      </c>
      <c r="H29" s="16"/>
      <c r="I29" s="16"/>
      <c r="J29" s="16"/>
      <c r="K29" s="16"/>
    </row>
    <row r="30" spans="1:11">
      <c r="A30" s="17" t="s">
        <v>204</v>
      </c>
      <c r="B30" s="17" t="s">
        <v>219</v>
      </c>
      <c r="C30" s="183">
        <v>300</v>
      </c>
      <c r="D30" s="17" t="s">
        <v>220</v>
      </c>
      <c r="E30" s="17" t="s">
        <v>207</v>
      </c>
      <c r="F30" s="17" t="s">
        <v>208</v>
      </c>
      <c r="G30" s="17" t="s">
        <v>221</v>
      </c>
      <c r="H30" s="16"/>
      <c r="I30" s="16"/>
      <c r="J30" s="16"/>
      <c r="K30" s="16"/>
    </row>
    <row r="31" spans="1:11">
      <c r="A31" s="17" t="s">
        <v>204</v>
      </c>
      <c r="B31" s="17" t="s">
        <v>222</v>
      </c>
      <c r="C31" s="183">
        <v>400</v>
      </c>
      <c r="D31" s="17" t="s">
        <v>223</v>
      </c>
      <c r="E31" s="17" t="s">
        <v>207</v>
      </c>
      <c r="F31" s="17" t="s">
        <v>208</v>
      </c>
      <c r="G31" s="17" t="s">
        <v>224</v>
      </c>
      <c r="H31" s="16"/>
      <c r="I31" s="16"/>
      <c r="J31" s="16"/>
      <c r="K31" s="16"/>
    </row>
    <row r="32" spans="1:11">
      <c r="A32" s="17" t="s">
        <v>225</v>
      </c>
      <c r="B32" s="17" t="s">
        <v>226</v>
      </c>
      <c r="C32" s="184">
        <v>0.65</v>
      </c>
      <c r="D32" s="17" t="s">
        <v>227</v>
      </c>
      <c r="E32" s="17" t="s">
        <v>207</v>
      </c>
      <c r="F32" s="17" t="s">
        <v>228</v>
      </c>
      <c r="G32" s="17" t="s">
        <v>229</v>
      </c>
      <c r="H32" s="16"/>
      <c r="I32" s="16"/>
      <c r="J32" s="16"/>
      <c r="K32" s="16"/>
    </row>
    <row r="33" spans="1:11">
      <c r="A33" s="17" t="s">
        <v>225</v>
      </c>
      <c r="B33" s="17" t="s">
        <v>230</v>
      </c>
      <c r="C33" s="184">
        <v>0.02</v>
      </c>
      <c r="D33" s="17" t="s">
        <v>227</v>
      </c>
      <c r="E33" s="17" t="s">
        <v>207</v>
      </c>
      <c r="F33" s="17" t="s">
        <v>228</v>
      </c>
      <c r="G33" s="17" t="s">
        <v>231</v>
      </c>
      <c r="H33" s="16"/>
      <c r="I33" s="16"/>
      <c r="J33" s="16"/>
      <c r="K33" s="16"/>
    </row>
    <row r="34" spans="1:11">
      <c r="A34" s="17" t="s">
        <v>232</v>
      </c>
      <c r="B34" s="17" t="s">
        <v>233</v>
      </c>
      <c r="C34" s="184">
        <v>0.1</v>
      </c>
      <c r="D34" s="17" t="s">
        <v>234</v>
      </c>
      <c r="E34" s="17" t="s">
        <v>235</v>
      </c>
      <c r="F34" s="17" t="s">
        <v>208</v>
      </c>
      <c r="G34" s="17" t="s">
        <v>236</v>
      </c>
      <c r="H34" s="16"/>
      <c r="I34" s="16"/>
      <c r="J34" s="16"/>
      <c r="K34" s="16"/>
    </row>
    <row r="35" spans="1:11">
      <c r="A35" s="17" t="s">
        <v>237</v>
      </c>
      <c r="B35" s="17" t="s">
        <v>238</v>
      </c>
      <c r="C35" s="184">
        <v>0.1</v>
      </c>
      <c r="D35" s="17" t="s">
        <v>227</v>
      </c>
      <c r="E35" s="17" t="s">
        <v>207</v>
      </c>
      <c r="F35" s="17" t="s">
        <v>228</v>
      </c>
      <c r="G35" s="17" t="s">
        <v>239</v>
      </c>
      <c r="H35" s="16"/>
      <c r="I35" s="16"/>
      <c r="J35" s="16"/>
      <c r="K35" s="16"/>
    </row>
    <row r="36" spans="1:11">
      <c r="A36" s="17"/>
      <c r="B36" s="17"/>
      <c r="C36" s="17"/>
      <c r="D36" s="17"/>
      <c r="E36" s="17"/>
      <c r="F36" s="17"/>
      <c r="G36" s="17"/>
      <c r="H36" s="16"/>
      <c r="I36" s="16"/>
      <c r="J36" s="16"/>
      <c r="K36" s="16"/>
    </row>
    <row r="37" spans="1:11">
      <c r="A37" s="17"/>
      <c r="B37" s="17"/>
      <c r="C37" s="17"/>
      <c r="D37" s="17"/>
      <c r="E37" s="17"/>
      <c r="F37" s="17"/>
      <c r="G37" s="17"/>
      <c r="H37" s="16"/>
      <c r="I37" s="16"/>
      <c r="J37" s="16"/>
      <c r="K37" s="16"/>
    </row>
    <row r="38" spans="1:11" ht="20" customHeight="1">
      <c r="A38" s="211" t="s">
        <v>240</v>
      </c>
      <c r="B38" s="211"/>
      <c r="C38" s="211"/>
      <c r="D38" s="211"/>
      <c r="E38" s="211"/>
      <c r="F38" s="211"/>
      <c r="G38" s="211"/>
      <c r="H38" s="16"/>
      <c r="I38" s="16"/>
      <c r="J38" s="16"/>
      <c r="K38" s="16"/>
    </row>
    <row r="39" spans="1:11" ht="30" customHeight="1">
      <c r="A39" s="2" t="s">
        <v>134</v>
      </c>
      <c r="B39" s="3" t="s">
        <v>241</v>
      </c>
      <c r="C39" s="3" t="s">
        <v>136</v>
      </c>
      <c r="D39" s="3" t="s">
        <v>242</v>
      </c>
      <c r="E39" s="3" t="s">
        <v>243</v>
      </c>
      <c r="F39" s="3" t="s">
        <v>244</v>
      </c>
      <c r="G39" s="4" t="s">
        <v>140</v>
      </c>
      <c r="H39" s="16"/>
      <c r="I39" s="16"/>
      <c r="J39" s="16"/>
      <c r="K39" s="16"/>
    </row>
    <row r="40" spans="1:11">
      <c r="A40" s="17" t="s">
        <v>245</v>
      </c>
      <c r="B40" s="17" t="s">
        <v>246</v>
      </c>
      <c r="C40" s="180">
        <v>0.95</v>
      </c>
      <c r="D40" s="17" t="s">
        <v>193</v>
      </c>
      <c r="E40" s="17" t="s">
        <v>149</v>
      </c>
      <c r="F40" s="17" t="s">
        <v>150</v>
      </c>
      <c r="G40" s="17" t="s">
        <v>247</v>
      </c>
      <c r="H40" s="16"/>
      <c r="I40" s="16"/>
      <c r="J40" s="16"/>
      <c r="K40" s="16"/>
    </row>
    <row r="41" spans="1:11">
      <c r="A41" s="17" t="s">
        <v>245</v>
      </c>
      <c r="B41" s="17" t="s">
        <v>248</v>
      </c>
      <c r="C41" s="180">
        <v>0.9</v>
      </c>
      <c r="D41" s="17" t="s">
        <v>193</v>
      </c>
      <c r="E41" s="17" t="s">
        <v>149</v>
      </c>
      <c r="F41" s="17" t="s">
        <v>150</v>
      </c>
      <c r="G41" s="17" t="s">
        <v>249</v>
      </c>
      <c r="H41" s="16"/>
      <c r="I41" s="16"/>
      <c r="J41" s="16"/>
      <c r="K41" s="16"/>
    </row>
    <row r="42" spans="1:11">
      <c r="A42" s="17" t="s">
        <v>245</v>
      </c>
      <c r="B42" s="17" t="s">
        <v>250</v>
      </c>
      <c r="C42" s="180">
        <v>0.92</v>
      </c>
      <c r="D42" s="17" t="s">
        <v>193</v>
      </c>
      <c r="E42" s="17" t="s">
        <v>149</v>
      </c>
      <c r="F42" s="17" t="s">
        <v>150</v>
      </c>
      <c r="G42" s="17" t="s">
        <v>251</v>
      </c>
      <c r="H42" s="16"/>
      <c r="I42" s="16"/>
      <c r="J42" s="16"/>
      <c r="K42" s="16"/>
    </row>
    <row r="43" spans="1:11">
      <c r="A43" s="17" t="s">
        <v>252</v>
      </c>
      <c r="B43" s="17" t="s">
        <v>253</v>
      </c>
      <c r="C43" s="180">
        <v>0.9</v>
      </c>
      <c r="D43" s="17" t="s">
        <v>193</v>
      </c>
      <c r="E43" s="17" t="s">
        <v>149</v>
      </c>
      <c r="F43" s="17" t="s">
        <v>170</v>
      </c>
      <c r="G43" s="17" t="s">
        <v>254</v>
      </c>
      <c r="H43" s="16"/>
      <c r="I43" s="16"/>
      <c r="J43" s="16"/>
      <c r="K43" s="16"/>
    </row>
    <row r="44" spans="1:11">
      <c r="A44" s="17" t="s">
        <v>252</v>
      </c>
      <c r="B44" s="17" t="s">
        <v>255</v>
      </c>
      <c r="C44" s="180">
        <v>0.85</v>
      </c>
      <c r="D44" s="17" t="s">
        <v>193</v>
      </c>
      <c r="E44" s="17" t="s">
        <v>149</v>
      </c>
      <c r="F44" s="17" t="s">
        <v>170</v>
      </c>
      <c r="G44" s="17" t="s">
        <v>256</v>
      </c>
      <c r="H44" s="16"/>
      <c r="I44" s="16"/>
      <c r="J44" s="16"/>
      <c r="K44" s="16"/>
    </row>
    <row r="45" spans="1:11">
      <c r="A45" s="17" t="s">
        <v>252</v>
      </c>
      <c r="B45" s="17" t="s">
        <v>257</v>
      </c>
      <c r="C45" s="180">
        <v>0.85</v>
      </c>
      <c r="D45" s="17" t="s">
        <v>193</v>
      </c>
      <c r="E45" s="17" t="s">
        <v>149</v>
      </c>
      <c r="F45" s="17" t="s">
        <v>170</v>
      </c>
      <c r="G45" s="17" t="s">
        <v>258</v>
      </c>
      <c r="H45" s="16"/>
      <c r="I45" s="16"/>
      <c r="J45" s="16"/>
      <c r="K45" s="16"/>
    </row>
    <row r="46" spans="1:11">
      <c r="A46" s="17" t="s">
        <v>259</v>
      </c>
      <c r="B46" s="17" t="s">
        <v>260</v>
      </c>
      <c r="C46" s="182">
        <v>3000</v>
      </c>
      <c r="D46" s="17" t="s">
        <v>261</v>
      </c>
      <c r="E46" s="17" t="s">
        <v>262</v>
      </c>
      <c r="F46" s="17" t="s">
        <v>150</v>
      </c>
      <c r="G46" s="17" t="s">
        <v>263</v>
      </c>
      <c r="H46" s="16"/>
      <c r="I46" s="16"/>
      <c r="J46" s="16"/>
      <c r="K46" s="16"/>
    </row>
    <row r="47" spans="1:11">
      <c r="A47" s="17" t="s">
        <v>259</v>
      </c>
      <c r="B47" s="17" t="s">
        <v>264</v>
      </c>
      <c r="C47" s="182">
        <v>35000</v>
      </c>
      <c r="D47" s="17" t="s">
        <v>265</v>
      </c>
      <c r="E47" s="17" t="s">
        <v>266</v>
      </c>
      <c r="F47" s="17" t="s">
        <v>170</v>
      </c>
      <c r="G47" s="17" t="s">
        <v>267</v>
      </c>
      <c r="H47" s="16"/>
      <c r="I47" s="16"/>
      <c r="J47" s="16"/>
      <c r="K47" s="16"/>
    </row>
    <row r="48" spans="1:11">
      <c r="A48" s="17" t="s">
        <v>259</v>
      </c>
      <c r="B48" s="17" t="s">
        <v>268</v>
      </c>
      <c r="C48" s="182">
        <v>6000</v>
      </c>
      <c r="D48" s="17" t="s">
        <v>265</v>
      </c>
      <c r="E48" s="17" t="s">
        <v>269</v>
      </c>
      <c r="F48" s="17" t="s">
        <v>150</v>
      </c>
      <c r="G48" s="17" t="s">
        <v>270</v>
      </c>
      <c r="H48" s="16"/>
      <c r="I48" s="16"/>
      <c r="J48" s="16"/>
      <c r="K48" s="16"/>
    </row>
    <row r="49" spans="1:11">
      <c r="A49" s="17"/>
      <c r="B49" s="17"/>
      <c r="C49" s="185"/>
      <c r="D49" s="17"/>
      <c r="E49" s="17"/>
      <c r="F49" s="17"/>
      <c r="G49" s="17"/>
      <c r="H49" s="16"/>
      <c r="I49" s="16"/>
      <c r="J49" s="16"/>
      <c r="K49" s="16"/>
    </row>
    <row r="50" spans="1:11">
      <c r="A50" s="17"/>
      <c r="B50" s="17"/>
      <c r="C50" s="185"/>
      <c r="D50" s="17"/>
      <c r="E50" s="17"/>
      <c r="F50" s="17"/>
      <c r="G50" s="17"/>
      <c r="H50" s="16"/>
      <c r="I50" s="16"/>
      <c r="J50" s="16"/>
      <c r="K50" s="16"/>
    </row>
    <row r="51" spans="1:11" ht="20" customHeight="1">
      <c r="A51" s="211" t="s">
        <v>271</v>
      </c>
      <c r="B51" s="211"/>
      <c r="C51" s="255"/>
      <c r="D51" s="211"/>
      <c r="E51" s="211"/>
      <c r="F51" s="211"/>
      <c r="G51" s="211"/>
      <c r="H51" s="16"/>
      <c r="I51" s="16"/>
      <c r="J51" s="16"/>
      <c r="K51" s="16"/>
    </row>
    <row r="52" spans="1:11" ht="30" customHeight="1">
      <c r="A52" s="2" t="s">
        <v>134</v>
      </c>
      <c r="B52" s="3" t="s">
        <v>241</v>
      </c>
      <c r="C52" s="186" t="s">
        <v>136</v>
      </c>
      <c r="D52" s="3" t="s">
        <v>242</v>
      </c>
      <c r="E52" s="3" t="s">
        <v>243</v>
      </c>
      <c r="F52" s="3" t="s">
        <v>244</v>
      </c>
      <c r="G52" s="4" t="s">
        <v>140</v>
      </c>
      <c r="H52" s="16"/>
      <c r="I52" s="16"/>
      <c r="J52" s="16"/>
      <c r="K52" s="16"/>
    </row>
    <row r="53" spans="1:11">
      <c r="A53" s="17" t="s">
        <v>272</v>
      </c>
      <c r="B53" s="17" t="s">
        <v>273</v>
      </c>
      <c r="C53" s="182">
        <v>65000</v>
      </c>
      <c r="D53" s="17" t="s">
        <v>274</v>
      </c>
      <c r="E53" s="17" t="s">
        <v>275</v>
      </c>
      <c r="F53" s="17" t="s">
        <v>170</v>
      </c>
      <c r="G53" s="17" t="s">
        <v>276</v>
      </c>
      <c r="H53" s="16"/>
      <c r="I53" s="16"/>
      <c r="J53" s="16"/>
      <c r="K53" s="16"/>
    </row>
    <row r="54" spans="1:11">
      <c r="A54" s="17" t="s">
        <v>272</v>
      </c>
      <c r="B54" s="17" t="s">
        <v>277</v>
      </c>
      <c r="C54" s="182">
        <v>75000</v>
      </c>
      <c r="D54" s="17" t="s">
        <v>274</v>
      </c>
      <c r="E54" s="17" t="s">
        <v>278</v>
      </c>
      <c r="F54" s="17" t="s">
        <v>170</v>
      </c>
      <c r="G54" s="17" t="s">
        <v>279</v>
      </c>
      <c r="H54" s="16"/>
      <c r="I54" s="16"/>
      <c r="J54" s="16"/>
      <c r="K54" s="16"/>
    </row>
    <row r="55" spans="1:11">
      <c r="A55" s="17" t="s">
        <v>272</v>
      </c>
      <c r="B55" s="17" t="s">
        <v>280</v>
      </c>
      <c r="C55" s="182">
        <v>15000</v>
      </c>
      <c r="D55" s="17" t="s">
        <v>274</v>
      </c>
      <c r="E55" s="17" t="s">
        <v>281</v>
      </c>
      <c r="F55" s="17" t="s">
        <v>150</v>
      </c>
      <c r="G55" s="17" t="s">
        <v>282</v>
      </c>
      <c r="H55" s="16"/>
      <c r="I55" s="16"/>
      <c r="J55" s="16"/>
      <c r="K55" s="16"/>
    </row>
    <row r="56" spans="1:11">
      <c r="A56" s="17" t="s">
        <v>272</v>
      </c>
      <c r="B56" s="17" t="s">
        <v>283</v>
      </c>
      <c r="C56" s="182">
        <v>2500</v>
      </c>
      <c r="D56" s="17" t="s">
        <v>284</v>
      </c>
      <c r="E56" s="17" t="s">
        <v>278</v>
      </c>
      <c r="F56" s="17" t="s">
        <v>150</v>
      </c>
      <c r="G56" s="17" t="s">
        <v>285</v>
      </c>
      <c r="H56" s="16"/>
      <c r="I56" s="16"/>
      <c r="J56" s="16"/>
      <c r="K56" s="16"/>
    </row>
    <row r="57" spans="1:11">
      <c r="A57" s="17" t="s">
        <v>272</v>
      </c>
      <c r="B57" s="17" t="s">
        <v>286</v>
      </c>
      <c r="C57" s="182">
        <v>3000</v>
      </c>
      <c r="D57" s="17" t="s">
        <v>284</v>
      </c>
      <c r="E57" s="17" t="s">
        <v>278</v>
      </c>
      <c r="F57" s="17" t="s">
        <v>150</v>
      </c>
      <c r="G57" s="17" t="s">
        <v>285</v>
      </c>
      <c r="H57" s="16"/>
      <c r="I57" s="16"/>
      <c r="J57" s="16"/>
      <c r="K57" s="16"/>
    </row>
    <row r="58" spans="1:11">
      <c r="A58" s="17" t="s">
        <v>272</v>
      </c>
      <c r="B58" s="17" t="s">
        <v>287</v>
      </c>
      <c r="C58" s="182">
        <v>1500</v>
      </c>
      <c r="D58" s="17" t="s">
        <v>284</v>
      </c>
      <c r="E58" s="17" t="s">
        <v>278</v>
      </c>
      <c r="F58" s="17" t="s">
        <v>170</v>
      </c>
      <c r="G58" s="17" t="s">
        <v>288</v>
      </c>
      <c r="H58" s="16"/>
      <c r="I58" s="16"/>
      <c r="J58" s="16"/>
      <c r="K58" s="16"/>
    </row>
    <row r="59" spans="1:11">
      <c r="A59" s="17" t="s">
        <v>289</v>
      </c>
      <c r="B59" s="17" t="s">
        <v>290</v>
      </c>
      <c r="C59" s="182">
        <v>1200000</v>
      </c>
      <c r="D59" s="17" t="s">
        <v>291</v>
      </c>
      <c r="E59" s="17" t="s">
        <v>149</v>
      </c>
      <c r="F59" s="17" t="s">
        <v>170</v>
      </c>
      <c r="G59" s="17" t="s">
        <v>292</v>
      </c>
      <c r="H59" s="16"/>
      <c r="I59" s="16"/>
      <c r="J59" s="16"/>
      <c r="K59" s="16"/>
    </row>
    <row r="60" spans="1:11">
      <c r="A60" s="17" t="s">
        <v>293</v>
      </c>
      <c r="B60" s="17" t="s">
        <v>294</v>
      </c>
      <c r="C60" s="182">
        <v>120000</v>
      </c>
      <c r="D60" s="17" t="s">
        <v>295</v>
      </c>
      <c r="E60" s="17" t="s">
        <v>296</v>
      </c>
      <c r="F60" s="17" t="s">
        <v>150</v>
      </c>
      <c r="G60" s="17" t="s">
        <v>297</v>
      </c>
      <c r="H60" s="16"/>
      <c r="I60" s="16"/>
      <c r="J60" s="16"/>
      <c r="K60" s="16"/>
    </row>
    <row r="61" spans="1:11">
      <c r="A61" s="17" t="s">
        <v>293</v>
      </c>
      <c r="B61" s="17" t="s">
        <v>298</v>
      </c>
      <c r="C61" s="182">
        <v>180000</v>
      </c>
      <c r="D61" s="17" t="s">
        <v>295</v>
      </c>
      <c r="E61" s="17" t="s">
        <v>149</v>
      </c>
      <c r="F61" s="17" t="s">
        <v>170</v>
      </c>
      <c r="G61" s="17" t="s">
        <v>299</v>
      </c>
      <c r="H61" s="16"/>
      <c r="I61" s="16"/>
      <c r="J61" s="16"/>
      <c r="K61" s="16"/>
    </row>
    <row r="62" spans="1:11">
      <c r="A62" s="17" t="s">
        <v>293</v>
      </c>
      <c r="B62" s="17" t="s">
        <v>300</v>
      </c>
      <c r="C62" s="182">
        <v>2474598.9900000002</v>
      </c>
      <c r="D62" s="17" t="s">
        <v>301</v>
      </c>
      <c r="E62" s="17" t="s">
        <v>296</v>
      </c>
      <c r="F62" s="17" t="s">
        <v>145</v>
      </c>
      <c r="G62" s="17" t="s">
        <v>302</v>
      </c>
      <c r="H62" s="16"/>
      <c r="I62" s="16"/>
      <c r="J62" s="16"/>
      <c r="K62" s="16"/>
    </row>
    <row r="63" spans="1:11">
      <c r="A63" s="17" t="s">
        <v>303</v>
      </c>
      <c r="B63" s="17" t="s">
        <v>304</v>
      </c>
      <c r="C63" s="180">
        <v>0.15</v>
      </c>
      <c r="D63" s="17" t="s">
        <v>305</v>
      </c>
      <c r="E63" s="17" t="s">
        <v>149</v>
      </c>
      <c r="F63" s="17" t="s">
        <v>150</v>
      </c>
      <c r="G63" s="17" t="s">
        <v>306</v>
      </c>
      <c r="H63" s="16"/>
      <c r="I63" s="16"/>
      <c r="J63" s="16"/>
      <c r="K63" s="16"/>
    </row>
    <row r="64" spans="1:11">
      <c r="A64" s="17"/>
      <c r="B64" s="17"/>
      <c r="C64" s="185"/>
      <c r="D64" s="17"/>
      <c r="E64" s="17"/>
      <c r="F64" s="17"/>
      <c r="G64" s="17"/>
      <c r="H64" s="16"/>
      <c r="I64" s="16"/>
      <c r="J64" s="16"/>
      <c r="K64" s="16"/>
    </row>
    <row r="65" spans="1:11">
      <c r="A65" s="17"/>
      <c r="B65" s="17"/>
      <c r="C65" s="185"/>
      <c r="D65" s="17"/>
      <c r="E65" s="17"/>
      <c r="F65" s="17"/>
      <c r="G65" s="17"/>
      <c r="H65" s="16"/>
      <c r="I65" s="16"/>
      <c r="J65" s="16"/>
      <c r="K65" s="16"/>
    </row>
    <row r="66" spans="1:11" s="311" customFormat="1" ht="20" customHeight="1">
      <c r="A66" s="308" t="s">
        <v>307</v>
      </c>
      <c r="B66" s="308"/>
      <c r="C66" s="309"/>
      <c r="D66" s="308"/>
      <c r="E66" s="308"/>
      <c r="F66" s="308"/>
      <c r="G66" s="308"/>
      <c r="H66" s="310"/>
      <c r="I66" s="310"/>
      <c r="J66" s="310"/>
      <c r="K66" s="310"/>
    </row>
    <row r="67" spans="1:11" s="311" customFormat="1" ht="30" customHeight="1">
      <c r="A67" s="312" t="s">
        <v>134</v>
      </c>
      <c r="B67" s="313" t="s">
        <v>241</v>
      </c>
      <c r="C67" s="315" t="s">
        <v>136</v>
      </c>
      <c r="D67" s="313" t="s">
        <v>242</v>
      </c>
      <c r="E67" s="313" t="s">
        <v>243</v>
      </c>
      <c r="F67" s="313" t="s">
        <v>244</v>
      </c>
      <c r="G67" s="314" t="s">
        <v>140</v>
      </c>
      <c r="H67" s="310"/>
      <c r="I67" s="310"/>
      <c r="J67" s="310"/>
      <c r="K67" s="310"/>
    </row>
    <row r="68" spans="1:11">
      <c r="A68" s="17" t="s">
        <v>308</v>
      </c>
      <c r="B68" s="17" t="s">
        <v>309</v>
      </c>
      <c r="C68" s="182">
        <v>8000</v>
      </c>
      <c r="D68" s="17" t="s">
        <v>265</v>
      </c>
      <c r="E68" s="17" t="s">
        <v>310</v>
      </c>
      <c r="F68" s="17" t="s">
        <v>170</v>
      </c>
      <c r="G68" s="17" t="s">
        <v>311</v>
      </c>
      <c r="H68" s="16"/>
      <c r="I68" s="16"/>
      <c r="J68" s="16"/>
      <c r="K68" s="16"/>
    </row>
    <row r="69" spans="1:11">
      <c r="A69" s="17" t="s">
        <v>308</v>
      </c>
      <c r="B69" s="17" t="s">
        <v>312</v>
      </c>
      <c r="C69" s="182">
        <v>5000</v>
      </c>
      <c r="D69" s="17" t="s">
        <v>265</v>
      </c>
      <c r="E69" s="17" t="s">
        <v>310</v>
      </c>
      <c r="F69" s="17" t="s">
        <v>170</v>
      </c>
      <c r="G69" s="17" t="s">
        <v>313</v>
      </c>
      <c r="H69" s="16"/>
      <c r="I69" s="16"/>
      <c r="J69" s="16"/>
      <c r="K69" s="16"/>
    </row>
    <row r="70" spans="1:11">
      <c r="A70" s="17" t="s">
        <v>308</v>
      </c>
      <c r="B70" s="17" t="s">
        <v>314</v>
      </c>
      <c r="C70" s="182">
        <v>10000</v>
      </c>
      <c r="D70" s="17" t="s">
        <v>265</v>
      </c>
      <c r="E70" s="17" t="s">
        <v>310</v>
      </c>
      <c r="F70" s="17" t="s">
        <v>170</v>
      </c>
      <c r="G70" s="17" t="s">
        <v>315</v>
      </c>
      <c r="H70" s="16"/>
      <c r="I70" s="16"/>
      <c r="J70" s="16"/>
      <c r="K70" s="16"/>
    </row>
    <row r="71" spans="1:11">
      <c r="A71" s="17" t="s">
        <v>308</v>
      </c>
      <c r="B71" s="17" t="s">
        <v>316</v>
      </c>
      <c r="C71" s="182">
        <v>8000</v>
      </c>
      <c r="D71" s="17" t="s">
        <v>265</v>
      </c>
      <c r="E71" s="17" t="s">
        <v>310</v>
      </c>
      <c r="F71" s="17" t="s">
        <v>170</v>
      </c>
      <c r="G71" s="17" t="s">
        <v>313</v>
      </c>
      <c r="H71" s="16"/>
      <c r="I71" s="16"/>
      <c r="J71" s="16"/>
      <c r="K71" s="16"/>
    </row>
    <row r="72" spans="1:11">
      <c r="A72" s="17" t="s">
        <v>308</v>
      </c>
      <c r="B72" s="17" t="s">
        <v>317</v>
      </c>
      <c r="C72" s="182">
        <v>10000</v>
      </c>
      <c r="D72" s="17" t="s">
        <v>265</v>
      </c>
      <c r="E72" s="17" t="s">
        <v>310</v>
      </c>
      <c r="F72" s="17" t="s">
        <v>170</v>
      </c>
      <c r="G72" s="17" t="s">
        <v>318</v>
      </c>
      <c r="H72" s="16"/>
      <c r="I72" s="16"/>
      <c r="J72" s="16"/>
      <c r="K72" s="16"/>
    </row>
    <row r="73" spans="1:11">
      <c r="A73" s="17" t="s">
        <v>319</v>
      </c>
      <c r="B73" s="17" t="s">
        <v>320</v>
      </c>
      <c r="C73" s="182">
        <v>1000</v>
      </c>
      <c r="D73" s="17" t="s">
        <v>265</v>
      </c>
      <c r="E73" s="17" t="s">
        <v>321</v>
      </c>
      <c r="F73" s="17" t="s">
        <v>170</v>
      </c>
      <c r="G73" s="17" t="s">
        <v>322</v>
      </c>
      <c r="H73" s="16"/>
      <c r="I73" s="16"/>
      <c r="J73" s="16"/>
      <c r="K73" s="16"/>
    </row>
    <row r="74" spans="1:11">
      <c r="A74" s="17" t="s">
        <v>319</v>
      </c>
      <c r="B74" s="17" t="s">
        <v>323</v>
      </c>
      <c r="C74" s="182">
        <v>900</v>
      </c>
      <c r="D74" s="17" t="s">
        <v>265</v>
      </c>
      <c r="E74" s="17" t="s">
        <v>321</v>
      </c>
      <c r="F74" s="17" t="s">
        <v>170</v>
      </c>
      <c r="G74" s="17" t="s">
        <v>324</v>
      </c>
      <c r="H74" s="16"/>
      <c r="I74" s="16"/>
      <c r="J74" s="16"/>
      <c r="K74" s="16"/>
    </row>
    <row r="75" spans="1:11">
      <c r="A75" s="17" t="s">
        <v>325</v>
      </c>
      <c r="B75" s="17" t="s">
        <v>326</v>
      </c>
      <c r="C75" s="182">
        <v>1500</v>
      </c>
      <c r="D75" s="17" t="s">
        <v>265</v>
      </c>
      <c r="E75" s="17" t="s">
        <v>149</v>
      </c>
      <c r="F75" s="17" t="s">
        <v>170</v>
      </c>
      <c r="G75" s="17" t="s">
        <v>327</v>
      </c>
      <c r="H75" s="16"/>
      <c r="I75" s="16"/>
      <c r="J75" s="16"/>
      <c r="K75" s="16"/>
    </row>
    <row r="76" spans="1:11">
      <c r="A76" s="17" t="s">
        <v>319</v>
      </c>
      <c r="B76" s="17" t="s">
        <v>328</v>
      </c>
      <c r="C76" s="182">
        <v>3000</v>
      </c>
      <c r="D76" s="17" t="s">
        <v>265</v>
      </c>
      <c r="E76" s="17" t="s">
        <v>149</v>
      </c>
      <c r="F76" s="17" t="s">
        <v>170</v>
      </c>
      <c r="G76" s="17" t="s">
        <v>329</v>
      </c>
      <c r="H76" s="16"/>
      <c r="I76" s="16"/>
      <c r="J76" s="16"/>
      <c r="K76" s="16"/>
    </row>
    <row r="77" spans="1:11">
      <c r="A77" s="17" t="s">
        <v>319</v>
      </c>
      <c r="B77" s="17" t="s">
        <v>330</v>
      </c>
      <c r="C77" s="182">
        <v>8000</v>
      </c>
      <c r="D77" s="17" t="s">
        <v>265</v>
      </c>
      <c r="E77" s="17" t="s">
        <v>149</v>
      </c>
      <c r="F77" s="17" t="s">
        <v>170</v>
      </c>
      <c r="G77" s="17" t="s">
        <v>331</v>
      </c>
      <c r="H77" s="16"/>
      <c r="I77" s="16"/>
      <c r="J77" s="16"/>
      <c r="K77" s="16"/>
    </row>
    <row r="78" spans="1:11">
      <c r="A78" s="17" t="s">
        <v>332</v>
      </c>
      <c r="B78" s="17" t="s">
        <v>333</v>
      </c>
      <c r="C78" s="182">
        <v>35000</v>
      </c>
      <c r="D78" s="17" t="s">
        <v>265</v>
      </c>
      <c r="E78" s="17" t="s">
        <v>214</v>
      </c>
      <c r="F78" s="17" t="s">
        <v>170</v>
      </c>
      <c r="G78" s="17" t="s">
        <v>334</v>
      </c>
      <c r="H78" s="16"/>
      <c r="I78" s="16"/>
      <c r="J78" s="16"/>
      <c r="K78" s="16"/>
    </row>
    <row r="79" spans="1:11">
      <c r="A79" s="17" t="s">
        <v>332</v>
      </c>
      <c r="B79" s="17" t="s">
        <v>335</v>
      </c>
      <c r="C79" s="182">
        <v>120000</v>
      </c>
      <c r="D79" s="17" t="s">
        <v>265</v>
      </c>
      <c r="E79" s="17" t="s">
        <v>149</v>
      </c>
      <c r="F79" s="17" t="s">
        <v>170</v>
      </c>
      <c r="G79" s="17" t="s">
        <v>336</v>
      </c>
      <c r="H79" s="16"/>
      <c r="I79" s="16"/>
      <c r="J79" s="16"/>
      <c r="K79" s="16"/>
    </row>
    <row r="80" spans="1:11">
      <c r="A80" s="17" t="s">
        <v>332</v>
      </c>
      <c r="B80" s="17" t="s">
        <v>337</v>
      </c>
      <c r="C80" s="182">
        <v>180000</v>
      </c>
      <c r="D80" s="17" t="s">
        <v>265</v>
      </c>
      <c r="E80" s="17" t="s">
        <v>149</v>
      </c>
      <c r="F80" s="17" t="s">
        <v>170</v>
      </c>
      <c r="G80" s="17" t="s">
        <v>338</v>
      </c>
      <c r="H80" s="16"/>
      <c r="I80" s="16"/>
      <c r="J80" s="16"/>
      <c r="K80" s="16"/>
    </row>
    <row r="81" spans="1:11">
      <c r="A81" s="17" t="s">
        <v>339</v>
      </c>
      <c r="B81" s="17" t="s">
        <v>340</v>
      </c>
      <c r="C81" s="182">
        <v>120000</v>
      </c>
      <c r="D81" s="17" t="s">
        <v>341</v>
      </c>
      <c r="E81" s="17" t="s">
        <v>149</v>
      </c>
      <c r="F81" s="17" t="s">
        <v>170</v>
      </c>
      <c r="G81" s="17" t="s">
        <v>342</v>
      </c>
      <c r="H81" s="16"/>
      <c r="I81" s="16"/>
      <c r="J81" s="16"/>
      <c r="K81" s="16"/>
    </row>
    <row r="82" spans="1:11">
      <c r="A82" s="17" t="s">
        <v>343</v>
      </c>
      <c r="B82" s="17" t="s">
        <v>344</v>
      </c>
      <c r="C82" s="182">
        <v>150000</v>
      </c>
      <c r="D82" s="17" t="s">
        <v>265</v>
      </c>
      <c r="E82" s="17" t="s">
        <v>149</v>
      </c>
      <c r="F82" s="17" t="s">
        <v>170</v>
      </c>
      <c r="G82" s="17" t="s">
        <v>345</v>
      </c>
      <c r="H82" s="16"/>
      <c r="I82" s="16"/>
      <c r="J82" s="16"/>
      <c r="K82" s="16"/>
    </row>
    <row r="83" spans="1:11">
      <c r="A83" s="17" t="s">
        <v>346</v>
      </c>
      <c r="B83" s="17" t="s">
        <v>347</v>
      </c>
      <c r="C83" s="182">
        <v>65000</v>
      </c>
      <c r="D83" s="17" t="s">
        <v>341</v>
      </c>
      <c r="E83" s="17" t="s">
        <v>310</v>
      </c>
      <c r="F83" s="17" t="s">
        <v>170</v>
      </c>
      <c r="G83" s="17" t="s">
        <v>348</v>
      </c>
      <c r="H83" s="16"/>
      <c r="I83" s="16"/>
      <c r="J83" s="16"/>
      <c r="K83" s="16"/>
    </row>
    <row r="84" spans="1:11">
      <c r="A84" s="17" t="s">
        <v>349</v>
      </c>
      <c r="B84" s="17" t="s">
        <v>350</v>
      </c>
      <c r="C84" s="182">
        <v>200000</v>
      </c>
      <c r="D84" s="17" t="s">
        <v>351</v>
      </c>
      <c r="E84" s="17" t="s">
        <v>149</v>
      </c>
      <c r="F84" s="17" t="s">
        <v>170</v>
      </c>
      <c r="G84" s="17" t="s">
        <v>352</v>
      </c>
      <c r="H84" s="16"/>
      <c r="I84" s="16"/>
      <c r="J84" s="16"/>
      <c r="K84" s="16"/>
    </row>
    <row r="85" spans="1:11">
      <c r="A85" s="17" t="s">
        <v>349</v>
      </c>
      <c r="B85" s="17" t="s">
        <v>353</v>
      </c>
      <c r="C85" s="182">
        <v>5000</v>
      </c>
      <c r="D85" s="17" t="s">
        <v>284</v>
      </c>
      <c r="E85" s="17" t="s">
        <v>149</v>
      </c>
      <c r="F85" s="17" t="s">
        <v>170</v>
      </c>
      <c r="G85" s="17" t="s">
        <v>354</v>
      </c>
      <c r="H85" s="16"/>
      <c r="I85" s="16"/>
      <c r="J85" s="16"/>
      <c r="K85" s="16"/>
    </row>
    <row r="86" spans="1:11">
      <c r="A86" s="17" t="s">
        <v>355</v>
      </c>
      <c r="B86" s="17" t="s">
        <v>356</v>
      </c>
      <c r="C86" s="182">
        <v>50000</v>
      </c>
      <c r="D86" s="17" t="s">
        <v>341</v>
      </c>
      <c r="E86" s="17" t="s">
        <v>149</v>
      </c>
      <c r="F86" s="17" t="s">
        <v>170</v>
      </c>
      <c r="G86" s="17" t="s">
        <v>357</v>
      </c>
      <c r="H86" s="16"/>
      <c r="I86" s="16"/>
      <c r="J86" s="16"/>
      <c r="K86" s="16"/>
    </row>
    <row r="87" spans="1:11">
      <c r="A87" s="17" t="s">
        <v>358</v>
      </c>
      <c r="B87" s="17" t="s">
        <v>359</v>
      </c>
      <c r="C87" s="182">
        <v>250000</v>
      </c>
      <c r="D87" s="17" t="s">
        <v>265</v>
      </c>
      <c r="E87" s="17" t="s">
        <v>149</v>
      </c>
      <c r="F87" s="17" t="s">
        <v>170</v>
      </c>
      <c r="G87" s="17" t="s">
        <v>360</v>
      </c>
      <c r="H87" s="16"/>
      <c r="I87" s="16"/>
      <c r="J87" s="16"/>
      <c r="K87" s="16"/>
    </row>
    <row r="88" spans="1:11">
      <c r="A88" s="17" t="s">
        <v>358</v>
      </c>
      <c r="B88" s="17" t="s">
        <v>361</v>
      </c>
      <c r="C88" s="182">
        <v>300000</v>
      </c>
      <c r="D88" s="17" t="s">
        <v>341</v>
      </c>
      <c r="E88" s="17" t="s">
        <v>149</v>
      </c>
      <c r="F88" s="17" t="s">
        <v>170</v>
      </c>
      <c r="G88" s="17" t="s">
        <v>360</v>
      </c>
      <c r="H88" s="16"/>
      <c r="I88" s="16"/>
      <c r="J88" s="16"/>
      <c r="K88" s="16"/>
    </row>
    <row r="89" spans="1:11">
      <c r="A89" s="17"/>
      <c r="B89" s="17"/>
      <c r="C89" s="185"/>
      <c r="D89" s="17"/>
      <c r="E89" s="17"/>
      <c r="F89" s="17"/>
      <c r="G89" s="17"/>
      <c r="H89" s="16"/>
      <c r="I89" s="16"/>
      <c r="J89" s="16"/>
      <c r="K89" s="16"/>
    </row>
    <row r="90" spans="1:11">
      <c r="A90" s="17"/>
      <c r="B90" s="17"/>
      <c r="C90" s="185"/>
      <c r="D90" s="17"/>
      <c r="E90" s="17"/>
      <c r="F90" s="17"/>
      <c r="G90" s="17"/>
      <c r="H90" s="16"/>
      <c r="I90" s="16"/>
      <c r="J90" s="16"/>
      <c r="K90" s="16"/>
    </row>
    <row r="91" spans="1:11" ht="20" customHeight="1">
      <c r="A91" s="211" t="s">
        <v>362</v>
      </c>
      <c r="B91" s="211"/>
      <c r="C91" s="211"/>
      <c r="D91" s="211"/>
      <c r="E91" s="211"/>
      <c r="F91" s="211"/>
      <c r="G91" s="211"/>
      <c r="H91" s="16"/>
      <c r="I91" s="16"/>
      <c r="J91" s="16"/>
      <c r="K91" s="16"/>
    </row>
    <row r="92" spans="1:11" ht="30" customHeight="1">
      <c r="A92" s="2" t="s">
        <v>134</v>
      </c>
      <c r="B92" s="3" t="s">
        <v>241</v>
      </c>
      <c r="C92" s="3" t="s">
        <v>136</v>
      </c>
      <c r="D92" s="3" t="s">
        <v>242</v>
      </c>
      <c r="E92" s="3" t="s">
        <v>243</v>
      </c>
      <c r="F92" s="3" t="s">
        <v>244</v>
      </c>
      <c r="G92" s="4" t="s">
        <v>140</v>
      </c>
      <c r="H92" s="16"/>
      <c r="I92" s="16"/>
      <c r="J92" s="16"/>
      <c r="K92" s="16"/>
    </row>
    <row r="93" spans="1:11">
      <c r="A93" s="17" t="s">
        <v>363</v>
      </c>
      <c r="B93" s="17" t="s">
        <v>364</v>
      </c>
      <c r="C93" s="181">
        <v>250000</v>
      </c>
      <c r="D93" s="17" t="s">
        <v>182</v>
      </c>
      <c r="E93" s="17" t="s">
        <v>365</v>
      </c>
      <c r="F93" s="17" t="s">
        <v>150</v>
      </c>
      <c r="G93" s="17" t="s">
        <v>366</v>
      </c>
      <c r="H93" s="16"/>
      <c r="I93" s="16"/>
      <c r="J93" s="16"/>
      <c r="K93" s="16"/>
    </row>
    <row r="94" spans="1:11">
      <c r="A94" s="17" t="s">
        <v>363</v>
      </c>
      <c r="B94" s="17" t="s">
        <v>367</v>
      </c>
      <c r="C94" s="181">
        <v>350000</v>
      </c>
      <c r="D94" s="17" t="s">
        <v>182</v>
      </c>
      <c r="E94" s="17" t="s">
        <v>149</v>
      </c>
      <c r="F94" s="17" t="s">
        <v>170</v>
      </c>
      <c r="G94" s="17" t="s">
        <v>368</v>
      </c>
      <c r="H94" s="16"/>
      <c r="I94" s="16"/>
      <c r="J94" s="16"/>
      <c r="K94" s="16"/>
    </row>
    <row r="95" spans="1:11">
      <c r="A95" s="17" t="s">
        <v>369</v>
      </c>
      <c r="B95" s="17" t="s">
        <v>370</v>
      </c>
      <c r="C95" s="181">
        <v>800000</v>
      </c>
      <c r="D95" s="17" t="s">
        <v>371</v>
      </c>
      <c r="E95" s="17" t="s">
        <v>372</v>
      </c>
      <c r="F95" s="17" t="s">
        <v>150</v>
      </c>
      <c r="G95" s="17" t="s">
        <v>373</v>
      </c>
      <c r="H95" s="16"/>
      <c r="I95" s="16"/>
      <c r="J95" s="16"/>
      <c r="K95" s="16"/>
    </row>
    <row r="96" spans="1:11">
      <c r="A96" s="17" t="s">
        <v>369</v>
      </c>
      <c r="B96" s="17" t="s">
        <v>374</v>
      </c>
      <c r="C96" s="181">
        <v>2.5</v>
      </c>
      <c r="D96" s="17" t="s">
        <v>375</v>
      </c>
      <c r="E96" s="17" t="s">
        <v>149</v>
      </c>
      <c r="F96" s="17" t="s">
        <v>150</v>
      </c>
      <c r="G96" s="17" t="s">
        <v>376</v>
      </c>
      <c r="H96" s="16"/>
      <c r="I96" s="16"/>
      <c r="J96" s="16"/>
      <c r="K96" s="16"/>
    </row>
    <row r="97" spans="1:11">
      <c r="A97" s="17" t="s">
        <v>377</v>
      </c>
      <c r="B97" s="17" t="s">
        <v>378</v>
      </c>
      <c r="C97" s="181">
        <v>6000000</v>
      </c>
      <c r="D97" s="17" t="s">
        <v>182</v>
      </c>
      <c r="E97" s="17" t="s">
        <v>235</v>
      </c>
      <c r="F97" s="17" t="s">
        <v>170</v>
      </c>
      <c r="G97" s="17" t="s">
        <v>379</v>
      </c>
      <c r="H97" s="16"/>
      <c r="I97" s="16"/>
      <c r="J97" s="16"/>
      <c r="K97" s="16"/>
    </row>
    <row r="98" spans="1:11">
      <c r="A98" s="17" t="s">
        <v>380</v>
      </c>
      <c r="B98" s="17" t="s">
        <v>381</v>
      </c>
      <c r="C98" s="181">
        <v>350000</v>
      </c>
      <c r="D98" s="17" t="s">
        <v>382</v>
      </c>
      <c r="E98" s="17" t="s">
        <v>149</v>
      </c>
      <c r="F98" s="17" t="s">
        <v>170</v>
      </c>
      <c r="G98" s="17" t="s">
        <v>383</v>
      </c>
      <c r="H98" s="16"/>
      <c r="I98" s="16"/>
      <c r="J98" s="16"/>
      <c r="K98" s="16"/>
    </row>
    <row r="99" spans="1:11">
      <c r="A99" s="17" t="s">
        <v>380</v>
      </c>
      <c r="B99" s="17" t="s">
        <v>384</v>
      </c>
      <c r="C99" s="181">
        <v>120000</v>
      </c>
      <c r="D99" s="17" t="s">
        <v>382</v>
      </c>
      <c r="E99" s="17" t="s">
        <v>149</v>
      </c>
      <c r="F99" s="17" t="s">
        <v>170</v>
      </c>
      <c r="G99" s="17" t="s">
        <v>385</v>
      </c>
      <c r="H99" s="16"/>
      <c r="I99" s="16"/>
      <c r="J99" s="16"/>
      <c r="K99" s="16"/>
    </row>
    <row r="100" spans="1:11">
      <c r="A100" s="17" t="s">
        <v>386</v>
      </c>
      <c r="B100" s="17" t="s">
        <v>387</v>
      </c>
      <c r="C100" s="181">
        <v>45000</v>
      </c>
      <c r="D100" s="17" t="s">
        <v>382</v>
      </c>
      <c r="E100" s="17" t="s">
        <v>149</v>
      </c>
      <c r="F100" s="17" t="s">
        <v>170</v>
      </c>
      <c r="G100" s="17" t="s">
        <v>388</v>
      </c>
      <c r="H100" s="16"/>
      <c r="I100" s="16"/>
      <c r="J100" s="16"/>
      <c r="K100" s="16"/>
    </row>
    <row r="101" spans="1:11">
      <c r="A101" s="17" t="s">
        <v>389</v>
      </c>
      <c r="B101" s="17" t="s">
        <v>390</v>
      </c>
      <c r="C101" s="181">
        <v>75000</v>
      </c>
      <c r="D101" s="17" t="s">
        <v>382</v>
      </c>
      <c r="E101" s="17" t="s">
        <v>149</v>
      </c>
      <c r="F101" s="17" t="s">
        <v>170</v>
      </c>
      <c r="G101" s="17" t="s">
        <v>391</v>
      </c>
      <c r="H101" s="16"/>
      <c r="I101" s="16"/>
      <c r="J101" s="16"/>
      <c r="K101" s="16"/>
    </row>
    <row r="102" spans="1:11">
      <c r="A102" s="17" t="s">
        <v>386</v>
      </c>
      <c r="B102" s="17" t="s">
        <v>392</v>
      </c>
      <c r="C102" s="181">
        <v>12000000</v>
      </c>
      <c r="D102" s="17" t="s">
        <v>284</v>
      </c>
      <c r="E102" s="17" t="s">
        <v>149</v>
      </c>
      <c r="F102" s="17" t="s">
        <v>170</v>
      </c>
      <c r="G102" s="17" t="s">
        <v>393</v>
      </c>
      <c r="H102" s="16"/>
      <c r="I102" s="16"/>
      <c r="J102" s="16"/>
      <c r="K102" s="16"/>
    </row>
    <row r="103" spans="1:11">
      <c r="A103" s="17" t="s">
        <v>394</v>
      </c>
      <c r="B103" s="17" t="s">
        <v>395</v>
      </c>
      <c r="C103" s="181">
        <v>350000000</v>
      </c>
      <c r="D103" s="17" t="s">
        <v>396</v>
      </c>
      <c r="E103" s="17" t="s">
        <v>149</v>
      </c>
      <c r="F103" s="17" t="s">
        <v>170</v>
      </c>
      <c r="G103" s="17" t="s">
        <v>397</v>
      </c>
      <c r="H103" s="16"/>
      <c r="I103" s="16"/>
      <c r="J103" s="16"/>
      <c r="K103" s="16"/>
    </row>
    <row r="104" spans="1:11">
      <c r="A104" s="17" t="s">
        <v>394</v>
      </c>
      <c r="B104" s="17" t="s">
        <v>398</v>
      </c>
      <c r="C104" s="181">
        <v>250000000</v>
      </c>
      <c r="D104" s="17" t="s">
        <v>396</v>
      </c>
      <c r="E104" s="17" t="s">
        <v>149</v>
      </c>
      <c r="F104" s="17" t="s">
        <v>170</v>
      </c>
      <c r="G104" s="17" t="s">
        <v>399</v>
      </c>
      <c r="H104" s="16"/>
      <c r="I104" s="16"/>
      <c r="J104" s="16"/>
      <c r="K104" s="16"/>
    </row>
    <row r="105" spans="1:11">
      <c r="A105" s="17" t="s">
        <v>400</v>
      </c>
      <c r="B105" s="17" t="s">
        <v>401</v>
      </c>
      <c r="C105" s="181">
        <v>350000000</v>
      </c>
      <c r="D105" s="17" t="s">
        <v>396</v>
      </c>
      <c r="E105" s="17" t="s">
        <v>149</v>
      </c>
      <c r="F105" s="17" t="s">
        <v>170</v>
      </c>
      <c r="G105" s="17" t="s">
        <v>402</v>
      </c>
      <c r="H105" s="16"/>
      <c r="I105" s="16"/>
      <c r="J105" s="16"/>
      <c r="K105" s="16"/>
    </row>
    <row r="106" spans="1:11">
      <c r="A106" s="17" t="s">
        <v>403</v>
      </c>
      <c r="B106" s="17" t="s">
        <v>404</v>
      </c>
      <c r="C106" s="181">
        <v>75000000</v>
      </c>
      <c r="D106" s="17" t="s">
        <v>396</v>
      </c>
      <c r="E106" s="17" t="s">
        <v>149</v>
      </c>
      <c r="F106" s="17" t="s">
        <v>170</v>
      </c>
      <c r="G106" s="17" t="s">
        <v>405</v>
      </c>
      <c r="H106" s="16"/>
      <c r="I106" s="16"/>
      <c r="J106" s="16"/>
      <c r="K106" s="16"/>
    </row>
    <row r="107" spans="1:11">
      <c r="A107" s="17" t="s">
        <v>406</v>
      </c>
      <c r="B107" s="17" t="s">
        <v>407</v>
      </c>
      <c r="C107" s="181">
        <v>8</v>
      </c>
      <c r="D107" s="17" t="s">
        <v>408</v>
      </c>
      <c r="E107" s="17" t="s">
        <v>409</v>
      </c>
      <c r="F107" s="17" t="s">
        <v>150</v>
      </c>
      <c r="G107" s="17" t="s">
        <v>410</v>
      </c>
      <c r="H107" s="16"/>
      <c r="I107" s="16"/>
      <c r="J107" s="16"/>
      <c r="K107" s="16"/>
    </row>
    <row r="108" spans="1:11">
      <c r="A108" s="17" t="s">
        <v>406</v>
      </c>
      <c r="B108" s="17" t="s">
        <v>411</v>
      </c>
      <c r="C108" s="181">
        <v>1.5</v>
      </c>
      <c r="D108" s="17" t="s">
        <v>412</v>
      </c>
      <c r="E108" s="17" t="s">
        <v>413</v>
      </c>
      <c r="F108" s="17" t="s">
        <v>150</v>
      </c>
      <c r="G108" s="17" t="s">
        <v>414</v>
      </c>
      <c r="H108" s="16"/>
      <c r="I108" s="16"/>
      <c r="J108" s="16"/>
      <c r="K108" s="16"/>
    </row>
    <row r="109" spans="1:11">
      <c r="A109" s="17" t="s">
        <v>406</v>
      </c>
      <c r="B109" s="17" t="s">
        <v>415</v>
      </c>
      <c r="C109" s="180">
        <v>0.7</v>
      </c>
      <c r="D109" s="17" t="s">
        <v>416</v>
      </c>
      <c r="E109" s="17" t="s">
        <v>149</v>
      </c>
      <c r="F109" s="17" t="s">
        <v>170</v>
      </c>
      <c r="G109" s="17" t="s">
        <v>417</v>
      </c>
      <c r="H109" s="16"/>
      <c r="I109" s="16"/>
      <c r="J109" s="16"/>
      <c r="K109" s="16"/>
    </row>
    <row r="110" spans="1:11">
      <c r="A110" s="17" t="s">
        <v>406</v>
      </c>
      <c r="B110" s="17" t="s">
        <v>418</v>
      </c>
      <c r="C110" s="181">
        <v>500</v>
      </c>
      <c r="D110" s="17" t="s">
        <v>419</v>
      </c>
      <c r="E110" s="17" t="s">
        <v>149</v>
      </c>
      <c r="F110" s="17" t="s">
        <v>170</v>
      </c>
      <c r="G110" s="17" t="s">
        <v>420</v>
      </c>
      <c r="H110" s="16"/>
      <c r="I110" s="16"/>
      <c r="J110" s="16"/>
      <c r="K110" s="16"/>
    </row>
    <row r="111" spans="1:11">
      <c r="A111" s="17" t="s">
        <v>319</v>
      </c>
      <c r="B111" s="17" t="s">
        <v>421</v>
      </c>
      <c r="C111" s="181">
        <v>0.3</v>
      </c>
      <c r="D111" s="17" t="s">
        <v>422</v>
      </c>
      <c r="E111" s="17" t="s">
        <v>149</v>
      </c>
      <c r="F111" s="17" t="s">
        <v>170</v>
      </c>
      <c r="G111" s="17" t="s">
        <v>423</v>
      </c>
      <c r="H111" s="16"/>
      <c r="I111" s="16"/>
      <c r="J111" s="16"/>
      <c r="K111" s="16"/>
    </row>
    <row r="112" spans="1:11">
      <c r="A112" s="17" t="s">
        <v>319</v>
      </c>
      <c r="B112" s="17" t="s">
        <v>424</v>
      </c>
      <c r="C112" s="181">
        <v>0.5</v>
      </c>
      <c r="D112" s="17" t="s">
        <v>422</v>
      </c>
      <c r="E112" s="17" t="s">
        <v>149</v>
      </c>
      <c r="F112" s="17" t="s">
        <v>170</v>
      </c>
      <c r="G112" s="17" t="s">
        <v>425</v>
      </c>
      <c r="H112" s="16"/>
      <c r="I112" s="16"/>
      <c r="J112" s="16"/>
      <c r="K112" s="16"/>
    </row>
    <row r="113" spans="1:11">
      <c r="A113" s="17" t="s">
        <v>426</v>
      </c>
      <c r="B113" s="17" t="s">
        <v>427</v>
      </c>
      <c r="C113" s="180">
        <v>0.05</v>
      </c>
      <c r="D113" s="17" t="s">
        <v>428</v>
      </c>
      <c r="E113" s="17" t="s">
        <v>149</v>
      </c>
      <c r="F113" s="17" t="s">
        <v>150</v>
      </c>
      <c r="G113" s="17" t="s">
        <v>429</v>
      </c>
      <c r="H113" s="16"/>
      <c r="I113" s="16"/>
      <c r="J113" s="16"/>
      <c r="K113" s="16"/>
    </row>
    <row r="114" spans="1:11">
      <c r="A114" s="17" t="s">
        <v>426</v>
      </c>
      <c r="B114" s="17" t="s">
        <v>430</v>
      </c>
      <c r="C114" s="180">
        <v>0.02</v>
      </c>
      <c r="D114" s="17" t="s">
        <v>431</v>
      </c>
      <c r="E114" s="17" t="s">
        <v>149</v>
      </c>
      <c r="F114" s="17" t="s">
        <v>150</v>
      </c>
      <c r="G114" s="17" t="s">
        <v>429</v>
      </c>
      <c r="H114" s="16"/>
      <c r="I114" s="16"/>
      <c r="J114" s="16"/>
      <c r="K114" s="16"/>
    </row>
    <row r="115" spans="1:11">
      <c r="A115" s="17" t="s">
        <v>432</v>
      </c>
      <c r="B115" s="17" t="s">
        <v>433</v>
      </c>
      <c r="C115" s="181">
        <v>800</v>
      </c>
      <c r="D115" s="17" t="s">
        <v>265</v>
      </c>
      <c r="E115" s="17" t="s">
        <v>149</v>
      </c>
      <c r="F115" s="17" t="s">
        <v>170</v>
      </c>
      <c r="G115" s="17" t="s">
        <v>434</v>
      </c>
      <c r="H115" s="16"/>
      <c r="I115" s="16"/>
      <c r="J115" s="16"/>
      <c r="K115" s="16"/>
    </row>
    <row r="116" spans="1:11">
      <c r="A116" s="17" t="s">
        <v>432</v>
      </c>
      <c r="B116" s="17" t="s">
        <v>435</v>
      </c>
      <c r="C116" s="181">
        <v>500</v>
      </c>
      <c r="D116" s="17" t="s">
        <v>261</v>
      </c>
      <c r="E116" s="17" t="s">
        <v>149</v>
      </c>
      <c r="F116" s="17" t="s">
        <v>170</v>
      </c>
      <c r="G116" s="17" t="s">
        <v>434</v>
      </c>
      <c r="H116" s="16"/>
      <c r="I116" s="16"/>
      <c r="J116" s="16"/>
      <c r="K116" s="16"/>
    </row>
    <row r="117" spans="1:11">
      <c r="A117" s="17" t="s">
        <v>432</v>
      </c>
      <c r="B117" s="17" t="s">
        <v>436</v>
      </c>
      <c r="C117" s="181">
        <v>1500</v>
      </c>
      <c r="D117" s="17" t="s">
        <v>265</v>
      </c>
      <c r="E117" s="17" t="s">
        <v>149</v>
      </c>
      <c r="F117" s="17" t="s">
        <v>170</v>
      </c>
      <c r="G117" s="17" t="s">
        <v>434</v>
      </c>
      <c r="H117" s="16"/>
      <c r="I117" s="16"/>
      <c r="J117" s="16"/>
      <c r="K117" s="16"/>
    </row>
    <row r="118" spans="1:11">
      <c r="A118" s="17" t="s">
        <v>349</v>
      </c>
      <c r="B118" s="17" t="s">
        <v>437</v>
      </c>
      <c r="C118" s="181">
        <v>150000</v>
      </c>
      <c r="D118" s="17" t="s">
        <v>182</v>
      </c>
      <c r="E118" s="17" t="s">
        <v>365</v>
      </c>
      <c r="F118" s="17" t="s">
        <v>150</v>
      </c>
      <c r="G118" s="17" t="s">
        <v>438</v>
      </c>
      <c r="H118" s="16"/>
      <c r="I118" s="16"/>
      <c r="J118" s="16"/>
      <c r="K118" s="16"/>
    </row>
    <row r="119" spans="1:11">
      <c r="A119" s="17"/>
      <c r="B119" s="17"/>
      <c r="C119" s="185"/>
      <c r="D119" s="17"/>
      <c r="E119" s="17"/>
      <c r="F119" s="17"/>
      <c r="G119" s="17"/>
      <c r="H119" s="16"/>
      <c r="I119" s="16"/>
      <c r="J119" s="16"/>
      <c r="K119" s="16"/>
    </row>
    <row r="120" spans="1:11">
      <c r="A120" s="17"/>
      <c r="B120" s="17"/>
      <c r="C120" s="185"/>
      <c r="D120" s="17"/>
      <c r="E120" s="17"/>
      <c r="F120" s="17"/>
      <c r="G120" s="17"/>
      <c r="H120" s="16"/>
      <c r="I120" s="16"/>
      <c r="J120" s="16"/>
      <c r="K120" s="16"/>
    </row>
    <row r="121" spans="1:11" ht="20" customHeight="1">
      <c r="A121" s="208" t="s">
        <v>439</v>
      </c>
      <c r="B121" s="208"/>
      <c r="C121" s="256"/>
      <c r="D121" s="208"/>
      <c r="E121" s="208"/>
      <c r="F121" s="208"/>
      <c r="G121" s="208"/>
      <c r="H121" s="208"/>
      <c r="I121" s="208"/>
      <c r="J121" s="208"/>
      <c r="K121" s="208"/>
    </row>
    <row r="122" spans="1:11" ht="32" customHeight="1">
      <c r="A122" s="63" t="s">
        <v>82</v>
      </c>
      <c r="B122" s="64" t="s">
        <v>440</v>
      </c>
      <c r="C122" s="187" t="s">
        <v>441</v>
      </c>
      <c r="D122" s="64" t="s">
        <v>442</v>
      </c>
      <c r="E122" s="64" t="s">
        <v>443</v>
      </c>
      <c r="F122" s="64" t="s">
        <v>444</v>
      </c>
      <c r="G122" s="64" t="s">
        <v>445</v>
      </c>
      <c r="H122" s="64" t="s">
        <v>446</v>
      </c>
      <c r="I122" s="64" t="s">
        <v>447</v>
      </c>
      <c r="J122" s="64" t="s">
        <v>448</v>
      </c>
      <c r="K122" s="65" t="s">
        <v>449</v>
      </c>
    </row>
    <row r="123" spans="1:11">
      <c r="A123" s="17" t="s">
        <v>450</v>
      </c>
      <c r="B123" s="24">
        <v>1</v>
      </c>
      <c r="C123" s="180">
        <v>0.9</v>
      </c>
      <c r="D123" s="24">
        <v>0.7</v>
      </c>
      <c r="E123" s="24">
        <v>0.45</v>
      </c>
      <c r="F123" s="24">
        <v>0.25</v>
      </c>
      <c r="G123" s="24">
        <v>0.15</v>
      </c>
      <c r="H123" s="26">
        <v>0.1</v>
      </c>
      <c r="I123" s="26">
        <v>0.1</v>
      </c>
      <c r="J123" s="26">
        <v>0.1</v>
      </c>
      <c r="K123" s="26">
        <v>0.1</v>
      </c>
    </row>
    <row r="124" spans="1:11">
      <c r="A124" s="17" t="s">
        <v>451</v>
      </c>
      <c r="B124" s="27">
        <v>18</v>
      </c>
      <c r="C124" s="188">
        <v>20</v>
      </c>
      <c r="D124" s="27">
        <v>20</v>
      </c>
      <c r="E124" s="27">
        <v>19</v>
      </c>
      <c r="F124" s="27">
        <v>18</v>
      </c>
      <c r="G124" s="27">
        <v>18</v>
      </c>
      <c r="H124" s="28">
        <v>18</v>
      </c>
      <c r="I124" s="28">
        <v>18</v>
      </c>
      <c r="J124" s="28">
        <v>18</v>
      </c>
      <c r="K124" s="28">
        <v>18</v>
      </c>
    </row>
    <row r="125" spans="1:11">
      <c r="A125" s="17" t="s">
        <v>452</v>
      </c>
      <c r="B125" s="27">
        <v>0</v>
      </c>
      <c r="C125" s="188">
        <v>0</v>
      </c>
      <c r="D125" s="27">
        <v>15</v>
      </c>
      <c r="E125" s="27">
        <v>35</v>
      </c>
      <c r="F125" s="27">
        <v>60</v>
      </c>
      <c r="G125" s="27">
        <v>80</v>
      </c>
      <c r="H125" s="28">
        <v>100</v>
      </c>
      <c r="I125" s="28">
        <v>110</v>
      </c>
      <c r="J125" s="28">
        <v>110</v>
      </c>
      <c r="K125" s="28">
        <v>110</v>
      </c>
    </row>
    <row r="126" spans="1:11">
      <c r="A126" s="17" t="s">
        <v>453</v>
      </c>
      <c r="B126" s="27">
        <v>0</v>
      </c>
      <c r="C126" s="188">
        <v>0</v>
      </c>
      <c r="D126" s="27">
        <v>0</v>
      </c>
      <c r="E126" s="27">
        <v>0</v>
      </c>
      <c r="F126" s="27">
        <v>10</v>
      </c>
      <c r="G126" s="27">
        <v>25</v>
      </c>
      <c r="H126" s="28">
        <v>45</v>
      </c>
      <c r="I126" s="28">
        <v>65</v>
      </c>
      <c r="J126" s="28">
        <v>85</v>
      </c>
      <c r="K126" s="28">
        <v>100</v>
      </c>
    </row>
    <row r="127" spans="1:11">
      <c r="A127" s="17"/>
      <c r="B127" s="17"/>
      <c r="C127" s="185"/>
      <c r="D127" s="17"/>
      <c r="E127" s="17"/>
      <c r="F127" s="17"/>
      <c r="G127" s="17"/>
      <c r="H127" s="16"/>
      <c r="I127" s="16"/>
      <c r="J127" s="16"/>
      <c r="K127" s="16"/>
    </row>
    <row r="128" spans="1:11">
      <c r="A128" s="17"/>
      <c r="B128" s="17"/>
      <c r="C128" s="185"/>
      <c r="D128" s="17"/>
      <c r="E128" s="17"/>
      <c r="F128" s="17"/>
      <c r="G128" s="17"/>
      <c r="H128" s="16"/>
      <c r="I128" s="16"/>
      <c r="J128" s="16"/>
      <c r="K128" s="16"/>
    </row>
    <row r="129" spans="1:11" ht="20" customHeight="1">
      <c r="A129" s="208" t="s">
        <v>454</v>
      </c>
      <c r="B129" s="208"/>
      <c r="C129" s="256"/>
      <c r="D129" s="208"/>
      <c r="E129" s="208"/>
      <c r="F129" s="208"/>
      <c r="G129" s="208"/>
      <c r="H129" s="208"/>
      <c r="I129" s="208"/>
      <c r="J129" s="208"/>
      <c r="K129" s="208"/>
    </row>
    <row r="130" spans="1:11" ht="32" customHeight="1">
      <c r="A130" s="63" t="s">
        <v>455</v>
      </c>
      <c r="B130" s="64" t="s">
        <v>440</v>
      </c>
      <c r="C130" s="187" t="s">
        <v>441</v>
      </c>
      <c r="D130" s="64" t="s">
        <v>442</v>
      </c>
      <c r="E130" s="64" t="s">
        <v>443</v>
      </c>
      <c r="F130" s="64" t="s">
        <v>444</v>
      </c>
      <c r="G130" s="64" t="s">
        <v>445</v>
      </c>
      <c r="H130" s="64" t="s">
        <v>446</v>
      </c>
      <c r="I130" s="64" t="s">
        <v>447</v>
      </c>
      <c r="J130" s="64" t="s">
        <v>448</v>
      </c>
      <c r="K130" s="65" t="s">
        <v>449</v>
      </c>
    </row>
    <row r="131" spans="1:11">
      <c r="A131" s="17" t="s">
        <v>456</v>
      </c>
      <c r="B131" s="29">
        <v>0.23300000000000001</v>
      </c>
      <c r="C131" s="189">
        <v>0.23300000000000001</v>
      </c>
      <c r="D131" s="29">
        <v>0.23300000000000001</v>
      </c>
      <c r="E131" s="29">
        <v>0.23300000000000001</v>
      </c>
      <c r="F131" s="29">
        <v>0.23300000000000001</v>
      </c>
      <c r="G131" s="29">
        <v>0.23300000000000001</v>
      </c>
      <c r="H131" s="30">
        <v>0.23300000000000001</v>
      </c>
      <c r="I131" s="30">
        <v>0.23300000000000001</v>
      </c>
      <c r="J131" s="30">
        <v>0.23300000000000001</v>
      </c>
      <c r="K131" s="30">
        <v>0.23300000000000001</v>
      </c>
    </row>
    <row r="132" spans="1:11">
      <c r="A132" s="17" t="s">
        <v>457</v>
      </c>
      <c r="B132" s="29">
        <v>0.1</v>
      </c>
      <c r="C132" s="189">
        <v>0.1</v>
      </c>
      <c r="D132" s="29">
        <v>0.1</v>
      </c>
      <c r="E132" s="29">
        <v>0.1</v>
      </c>
      <c r="F132" s="29">
        <v>0.1</v>
      </c>
      <c r="G132" s="29">
        <v>0.1</v>
      </c>
      <c r="H132" s="30">
        <v>0.1</v>
      </c>
      <c r="I132" s="30">
        <v>0.1</v>
      </c>
      <c r="J132" s="30">
        <v>0.1</v>
      </c>
      <c r="K132" s="30">
        <v>0.1</v>
      </c>
    </row>
    <row r="133" spans="1:11">
      <c r="A133" s="17" t="s">
        <v>458</v>
      </c>
      <c r="B133" s="29">
        <v>0.1</v>
      </c>
      <c r="C133" s="189">
        <v>0.1</v>
      </c>
      <c r="D133" s="29">
        <v>0.1</v>
      </c>
      <c r="E133" s="29">
        <v>0.1</v>
      </c>
      <c r="F133" s="29">
        <v>0.1</v>
      </c>
      <c r="G133" s="29">
        <v>0.1</v>
      </c>
      <c r="H133" s="30">
        <v>0.1</v>
      </c>
      <c r="I133" s="30">
        <v>0.1</v>
      </c>
      <c r="J133" s="30">
        <v>0.1</v>
      </c>
      <c r="K133" s="30">
        <v>0.1</v>
      </c>
    </row>
    <row r="134" spans="1:11">
      <c r="A134" s="17" t="s">
        <v>459</v>
      </c>
      <c r="B134" s="29">
        <v>0.25</v>
      </c>
      <c r="C134" s="189">
        <v>0.35</v>
      </c>
      <c r="D134" s="29">
        <v>0</v>
      </c>
      <c r="E134" s="29">
        <v>0</v>
      </c>
      <c r="F134" s="29">
        <v>0</v>
      </c>
      <c r="G134" s="29">
        <v>0</v>
      </c>
      <c r="H134" s="30">
        <v>0</v>
      </c>
      <c r="I134" s="30">
        <v>0</v>
      </c>
      <c r="J134" s="30">
        <v>0</v>
      </c>
      <c r="K134" s="30">
        <v>0</v>
      </c>
    </row>
    <row r="135" spans="1:11">
      <c r="A135" s="17" t="s">
        <v>460</v>
      </c>
      <c r="B135" s="29">
        <v>0.15</v>
      </c>
      <c r="C135" s="189">
        <v>0.2</v>
      </c>
      <c r="D135" s="29">
        <v>0</v>
      </c>
      <c r="E135" s="29">
        <v>0</v>
      </c>
      <c r="F135" s="29">
        <v>0</v>
      </c>
      <c r="G135" s="29">
        <v>0</v>
      </c>
      <c r="H135" s="30">
        <v>0</v>
      </c>
      <c r="I135" s="30">
        <v>0</v>
      </c>
      <c r="J135" s="30">
        <v>0</v>
      </c>
      <c r="K135" s="30">
        <v>0</v>
      </c>
    </row>
    <row r="136" spans="1:11">
      <c r="A136" s="17" t="s">
        <v>461</v>
      </c>
      <c r="B136" s="29">
        <v>0.2</v>
      </c>
      <c r="C136" s="189">
        <v>0.25</v>
      </c>
      <c r="D136" s="29">
        <v>0</v>
      </c>
      <c r="E136" s="29">
        <v>0</v>
      </c>
      <c r="F136" s="29">
        <v>0</v>
      </c>
      <c r="G136" s="29">
        <v>0</v>
      </c>
      <c r="H136" s="30">
        <v>0</v>
      </c>
      <c r="I136" s="30">
        <v>0</v>
      </c>
      <c r="J136" s="30">
        <v>0</v>
      </c>
      <c r="K136" s="30">
        <v>0</v>
      </c>
    </row>
    <row r="137" spans="1:11">
      <c r="A137" s="17" t="s">
        <v>462</v>
      </c>
      <c r="B137" s="29">
        <v>0.25</v>
      </c>
      <c r="C137" s="189">
        <v>0.35</v>
      </c>
      <c r="D137" s="29">
        <v>0</v>
      </c>
      <c r="E137" s="29">
        <v>0</v>
      </c>
      <c r="F137" s="29">
        <v>0</v>
      </c>
      <c r="G137" s="29">
        <v>0</v>
      </c>
      <c r="H137" s="30">
        <v>0</v>
      </c>
      <c r="I137" s="30">
        <v>0</v>
      </c>
      <c r="J137" s="30">
        <v>0</v>
      </c>
      <c r="K137" s="30">
        <v>0</v>
      </c>
    </row>
    <row r="138" spans="1:11">
      <c r="A138" s="17" t="s">
        <v>463</v>
      </c>
      <c r="B138" s="29">
        <v>0</v>
      </c>
      <c r="C138" s="189">
        <v>0</v>
      </c>
      <c r="D138" s="29">
        <v>1.5</v>
      </c>
      <c r="E138" s="29">
        <v>2</v>
      </c>
      <c r="F138" s="29">
        <v>2.5</v>
      </c>
      <c r="G138" s="29">
        <v>2.5</v>
      </c>
      <c r="H138" s="30">
        <v>3</v>
      </c>
      <c r="I138" s="30">
        <v>3</v>
      </c>
      <c r="J138" s="30">
        <v>3</v>
      </c>
      <c r="K138" s="30">
        <v>3</v>
      </c>
    </row>
    <row r="139" spans="1:11">
      <c r="A139" s="17" t="s">
        <v>464</v>
      </c>
      <c r="B139" s="29">
        <v>0.2</v>
      </c>
      <c r="C139" s="189">
        <v>0.3</v>
      </c>
      <c r="D139" s="29">
        <v>0</v>
      </c>
      <c r="E139" s="29">
        <v>0</v>
      </c>
      <c r="F139" s="29">
        <v>0</v>
      </c>
      <c r="G139" s="29">
        <v>0</v>
      </c>
      <c r="H139" s="30">
        <v>0</v>
      </c>
      <c r="I139" s="30">
        <v>0</v>
      </c>
      <c r="J139" s="30">
        <v>0</v>
      </c>
      <c r="K139" s="30">
        <v>0</v>
      </c>
    </row>
    <row r="140" spans="1:11">
      <c r="A140" s="17" t="s">
        <v>465</v>
      </c>
      <c r="B140" s="29">
        <v>0.1</v>
      </c>
      <c r="C140" s="189">
        <v>0.15</v>
      </c>
      <c r="D140" s="29">
        <v>0</v>
      </c>
      <c r="E140" s="29">
        <v>0</v>
      </c>
      <c r="F140" s="29">
        <v>0</v>
      </c>
      <c r="G140" s="29">
        <v>0</v>
      </c>
      <c r="H140" s="30">
        <v>0</v>
      </c>
      <c r="I140" s="30">
        <v>0</v>
      </c>
      <c r="J140" s="30">
        <v>0</v>
      </c>
      <c r="K140" s="30">
        <v>0</v>
      </c>
    </row>
    <row r="141" spans="1:11">
      <c r="A141" s="17" t="s">
        <v>466</v>
      </c>
      <c r="B141" s="29">
        <v>0.25</v>
      </c>
      <c r="C141" s="189">
        <v>0.35</v>
      </c>
      <c r="D141" s="29">
        <v>0</v>
      </c>
      <c r="E141" s="29">
        <v>0</v>
      </c>
      <c r="F141" s="29">
        <v>0</v>
      </c>
      <c r="G141" s="29">
        <v>0</v>
      </c>
      <c r="H141" s="30">
        <v>0</v>
      </c>
      <c r="I141" s="30">
        <v>0</v>
      </c>
      <c r="J141" s="30">
        <v>0</v>
      </c>
      <c r="K141" s="30">
        <v>0</v>
      </c>
    </row>
    <row r="142" spans="1:11">
      <c r="A142" s="17" t="s">
        <v>467</v>
      </c>
      <c r="B142" s="29">
        <v>0.25</v>
      </c>
      <c r="C142" s="189">
        <v>0.4</v>
      </c>
      <c r="D142" s="29">
        <v>0</v>
      </c>
      <c r="E142" s="29">
        <v>0</v>
      </c>
      <c r="F142" s="29">
        <v>0</v>
      </c>
      <c r="G142" s="29">
        <v>0</v>
      </c>
      <c r="H142" s="30">
        <v>0</v>
      </c>
      <c r="I142" s="30">
        <v>0</v>
      </c>
      <c r="J142" s="30">
        <v>0</v>
      </c>
      <c r="K142" s="30">
        <v>0</v>
      </c>
    </row>
    <row r="143" spans="1:11">
      <c r="A143" s="17" t="s">
        <v>468</v>
      </c>
      <c r="B143" s="29">
        <v>0</v>
      </c>
      <c r="C143" s="189">
        <v>0</v>
      </c>
      <c r="D143" s="29">
        <v>1.5</v>
      </c>
      <c r="E143" s="29">
        <v>2</v>
      </c>
      <c r="F143" s="29">
        <v>3</v>
      </c>
      <c r="G143" s="29">
        <v>4</v>
      </c>
      <c r="H143" s="30">
        <v>5</v>
      </c>
      <c r="I143" s="30">
        <v>5</v>
      </c>
      <c r="J143" s="30">
        <v>6</v>
      </c>
      <c r="K143" s="30">
        <v>6</v>
      </c>
    </row>
    <row r="144" spans="1:11">
      <c r="A144" s="17" t="s">
        <v>469</v>
      </c>
      <c r="B144" s="29">
        <v>5</v>
      </c>
      <c r="C144" s="189">
        <v>10</v>
      </c>
      <c r="D144" s="29">
        <v>15</v>
      </c>
      <c r="E144" s="29">
        <v>15</v>
      </c>
      <c r="F144" s="29">
        <v>20</v>
      </c>
      <c r="G144" s="29">
        <v>20</v>
      </c>
      <c r="H144" s="30">
        <v>25</v>
      </c>
      <c r="I144" s="30">
        <v>25</v>
      </c>
      <c r="J144" s="30">
        <v>25</v>
      </c>
      <c r="K144" s="30">
        <v>25</v>
      </c>
    </row>
    <row r="145" spans="1:11">
      <c r="A145" s="17" t="s">
        <v>470</v>
      </c>
      <c r="B145" s="29">
        <v>5</v>
      </c>
      <c r="C145" s="189">
        <v>5</v>
      </c>
      <c r="D145" s="29">
        <v>5</v>
      </c>
      <c r="E145" s="29">
        <v>4</v>
      </c>
      <c r="F145" s="29">
        <v>4</v>
      </c>
      <c r="G145" s="29">
        <v>3</v>
      </c>
      <c r="H145" s="30">
        <v>3</v>
      </c>
      <c r="I145" s="30">
        <v>3</v>
      </c>
      <c r="J145" s="30">
        <v>3</v>
      </c>
      <c r="K145" s="30">
        <v>3</v>
      </c>
    </row>
    <row r="146" spans="1:11">
      <c r="A146" s="16"/>
      <c r="B146" s="16"/>
      <c r="C146" s="190"/>
      <c r="D146" s="16"/>
      <c r="E146" s="16"/>
      <c r="F146" s="16"/>
      <c r="G146" s="16"/>
      <c r="H146" s="16"/>
      <c r="I146" s="16"/>
      <c r="J146" s="16"/>
      <c r="K146" s="16"/>
    </row>
    <row r="147" spans="1:11">
      <c r="A147" s="16"/>
      <c r="B147" s="16"/>
      <c r="C147" s="190"/>
      <c r="D147" s="16"/>
      <c r="E147" s="16"/>
      <c r="F147" s="16"/>
      <c r="G147" s="16"/>
      <c r="H147" s="16"/>
      <c r="I147" s="16"/>
      <c r="J147" s="16"/>
      <c r="K147" s="16"/>
    </row>
    <row r="148" spans="1:11" ht="20" customHeight="1">
      <c r="A148" s="208" t="s">
        <v>471</v>
      </c>
      <c r="B148" s="208"/>
      <c r="C148" s="256"/>
      <c r="D148" s="208"/>
      <c r="E148" s="208"/>
      <c r="F148" s="208"/>
      <c r="G148" s="208"/>
      <c r="H148" s="16"/>
      <c r="I148" s="16"/>
      <c r="J148" s="16"/>
      <c r="K148" s="16"/>
    </row>
    <row r="149" spans="1:11" ht="32" customHeight="1">
      <c r="A149" s="69" t="s">
        <v>134</v>
      </c>
      <c r="B149" s="69" t="s">
        <v>135</v>
      </c>
      <c r="C149" s="191" t="s">
        <v>136</v>
      </c>
      <c r="D149" s="69" t="s">
        <v>137</v>
      </c>
      <c r="E149" s="69" t="s">
        <v>138</v>
      </c>
      <c r="F149" s="69" t="s">
        <v>139</v>
      </c>
      <c r="G149" s="69" t="s">
        <v>472</v>
      </c>
      <c r="H149" s="16"/>
      <c r="I149" s="16"/>
      <c r="J149" s="16"/>
      <c r="K149" s="16"/>
    </row>
    <row r="150" spans="1:11">
      <c r="A150" s="16" t="s">
        <v>473</v>
      </c>
      <c r="B150" s="16" t="s">
        <v>474</v>
      </c>
      <c r="C150" s="183">
        <v>1</v>
      </c>
      <c r="D150" s="16" t="s">
        <v>475</v>
      </c>
      <c r="E150" s="16" t="s">
        <v>144</v>
      </c>
      <c r="F150" s="16" t="s">
        <v>200</v>
      </c>
      <c r="G150" s="16" t="s">
        <v>476</v>
      </c>
      <c r="H150" s="16"/>
      <c r="I150" s="16"/>
      <c r="J150" s="16"/>
      <c r="K150" s="16"/>
    </row>
    <row r="151" spans="1:11">
      <c r="A151" s="16" t="s">
        <v>473</v>
      </c>
      <c r="B151" s="16" t="s">
        <v>477</v>
      </c>
      <c r="C151" s="183">
        <v>1</v>
      </c>
      <c r="D151" s="16" t="s">
        <v>475</v>
      </c>
      <c r="E151" s="16" t="s">
        <v>144</v>
      </c>
      <c r="F151" s="16" t="s">
        <v>200</v>
      </c>
      <c r="G151" s="16" t="s">
        <v>478</v>
      </c>
      <c r="H151" s="16"/>
      <c r="I151" s="16"/>
      <c r="J151" s="16"/>
      <c r="K151" s="16"/>
    </row>
    <row r="152" spans="1:11">
      <c r="A152" s="16" t="s">
        <v>473</v>
      </c>
      <c r="B152" s="16" t="s">
        <v>250</v>
      </c>
      <c r="C152" s="183">
        <v>1</v>
      </c>
      <c r="D152" s="16" t="s">
        <v>475</v>
      </c>
      <c r="E152" s="16" t="s">
        <v>144</v>
      </c>
      <c r="F152" s="16" t="s">
        <v>200</v>
      </c>
      <c r="G152" s="16" t="s">
        <v>479</v>
      </c>
      <c r="H152" s="16"/>
      <c r="I152" s="16"/>
      <c r="J152" s="16"/>
      <c r="K152" s="16"/>
    </row>
    <row r="153" spans="1:11">
      <c r="A153" s="16" t="s">
        <v>473</v>
      </c>
      <c r="B153" s="16" t="s">
        <v>480</v>
      </c>
      <c r="C153" s="183">
        <v>1</v>
      </c>
      <c r="D153" s="16" t="s">
        <v>475</v>
      </c>
      <c r="E153" s="16" t="s">
        <v>144</v>
      </c>
      <c r="F153" s="16" t="s">
        <v>200</v>
      </c>
      <c r="G153" s="16" t="s">
        <v>481</v>
      </c>
      <c r="H153" s="16"/>
      <c r="I153" s="16"/>
      <c r="J153" s="16"/>
      <c r="K153" s="16"/>
    </row>
    <row r="154" spans="1:11">
      <c r="A154" s="16" t="s">
        <v>473</v>
      </c>
      <c r="B154" s="16" t="s">
        <v>482</v>
      </c>
      <c r="C154" s="183">
        <v>1</v>
      </c>
      <c r="D154" s="16" t="s">
        <v>475</v>
      </c>
      <c r="E154" s="16" t="s">
        <v>144</v>
      </c>
      <c r="F154" s="16" t="s">
        <v>200</v>
      </c>
      <c r="G154" s="16" t="s">
        <v>483</v>
      </c>
      <c r="H154" s="16"/>
      <c r="I154" s="16"/>
      <c r="J154" s="16"/>
      <c r="K154" s="16"/>
    </row>
    <row r="155" spans="1:11">
      <c r="A155" s="16" t="s">
        <v>473</v>
      </c>
      <c r="B155" s="16" t="s">
        <v>484</v>
      </c>
      <c r="C155" s="183">
        <v>1</v>
      </c>
      <c r="D155" s="16" t="s">
        <v>475</v>
      </c>
      <c r="E155" s="16" t="s">
        <v>144</v>
      </c>
      <c r="F155" s="16" t="s">
        <v>200</v>
      </c>
      <c r="G155" s="16" t="s">
        <v>485</v>
      </c>
      <c r="H155" s="16"/>
      <c r="I155" s="16"/>
      <c r="J155" s="16"/>
      <c r="K155" s="16"/>
    </row>
    <row r="156" spans="1:11">
      <c r="A156" s="16" t="s">
        <v>473</v>
      </c>
      <c r="B156" s="16" t="s">
        <v>486</v>
      </c>
      <c r="C156" s="183">
        <v>1</v>
      </c>
      <c r="D156" s="16" t="s">
        <v>475</v>
      </c>
      <c r="E156" s="16" t="s">
        <v>144</v>
      </c>
      <c r="F156" s="16" t="s">
        <v>200</v>
      </c>
      <c r="G156" s="16" t="s">
        <v>487</v>
      </c>
      <c r="H156" s="16"/>
      <c r="I156" s="16"/>
      <c r="J156" s="16"/>
      <c r="K156" s="16"/>
    </row>
    <row r="157" spans="1:11">
      <c r="A157" s="16" t="s">
        <v>473</v>
      </c>
      <c r="B157" s="16" t="s">
        <v>488</v>
      </c>
      <c r="C157" s="183">
        <v>1</v>
      </c>
      <c r="D157" s="16" t="s">
        <v>475</v>
      </c>
      <c r="E157" s="16" t="s">
        <v>144</v>
      </c>
      <c r="F157" s="16" t="s">
        <v>200</v>
      </c>
      <c r="G157" s="16" t="s">
        <v>489</v>
      </c>
      <c r="H157" s="16"/>
      <c r="I157" s="16"/>
      <c r="J157" s="16"/>
      <c r="K157" s="16"/>
    </row>
    <row r="158" spans="1:11">
      <c r="A158" s="16" t="s">
        <v>490</v>
      </c>
      <c r="B158" s="16" t="s">
        <v>491</v>
      </c>
      <c r="C158" s="183">
        <v>40</v>
      </c>
      <c r="D158" s="16" t="s">
        <v>492</v>
      </c>
      <c r="E158" s="16" t="s">
        <v>149</v>
      </c>
      <c r="F158" s="16" t="s">
        <v>228</v>
      </c>
      <c r="G158" s="16" t="s">
        <v>493</v>
      </c>
      <c r="H158" s="16"/>
      <c r="I158" s="16"/>
      <c r="J158" s="16"/>
      <c r="K158" s="16"/>
    </row>
    <row r="159" spans="1:11">
      <c r="A159" s="16" t="s">
        <v>490</v>
      </c>
      <c r="B159" s="16" t="s">
        <v>494</v>
      </c>
      <c r="C159" s="184">
        <v>4.1666666999999998E-2</v>
      </c>
      <c r="D159" s="16" t="s">
        <v>193</v>
      </c>
      <c r="E159" s="16" t="s">
        <v>149</v>
      </c>
      <c r="F159" s="16" t="s">
        <v>228</v>
      </c>
      <c r="G159" s="16" t="s">
        <v>495</v>
      </c>
      <c r="H159" s="16"/>
      <c r="I159" s="16"/>
      <c r="J159" s="16"/>
      <c r="K159" s="16"/>
    </row>
    <row r="160" spans="1:11">
      <c r="A160" s="16" t="s">
        <v>490</v>
      </c>
      <c r="B160" s="16" t="s">
        <v>496</v>
      </c>
      <c r="C160" s="183">
        <v>60</v>
      </c>
      <c r="D160" s="16" t="s">
        <v>492</v>
      </c>
      <c r="E160" s="16" t="s">
        <v>149</v>
      </c>
      <c r="F160" s="16" t="s">
        <v>228</v>
      </c>
      <c r="G160" s="16" t="s">
        <v>493</v>
      </c>
      <c r="H160" s="16"/>
      <c r="I160" s="16"/>
      <c r="J160" s="16"/>
      <c r="K160" s="16"/>
    </row>
    <row r="161" spans="1:11">
      <c r="A161" s="16" t="s">
        <v>490</v>
      </c>
      <c r="B161" s="16" t="s">
        <v>497</v>
      </c>
      <c r="C161" s="184">
        <v>5.5555555999999999E-2</v>
      </c>
      <c r="D161" s="16" t="s">
        <v>193</v>
      </c>
      <c r="E161" s="16" t="s">
        <v>149</v>
      </c>
      <c r="F161" s="16" t="s">
        <v>228</v>
      </c>
      <c r="G161" s="16" t="s">
        <v>495</v>
      </c>
      <c r="H161" s="16"/>
      <c r="I161" s="16"/>
      <c r="J161" s="16"/>
      <c r="K161" s="16"/>
    </row>
    <row r="162" spans="1:11">
      <c r="A162" s="16" t="s">
        <v>490</v>
      </c>
      <c r="B162" s="16" t="s">
        <v>498</v>
      </c>
      <c r="C162" s="183">
        <v>80</v>
      </c>
      <c r="D162" s="16" t="s">
        <v>492</v>
      </c>
      <c r="E162" s="16" t="s">
        <v>149</v>
      </c>
      <c r="F162" s="16" t="s">
        <v>228</v>
      </c>
      <c r="G162" s="16" t="s">
        <v>499</v>
      </c>
      <c r="H162" s="16"/>
      <c r="I162" s="16"/>
      <c r="J162" s="16"/>
      <c r="K162" s="16"/>
    </row>
    <row r="163" spans="1:11">
      <c r="A163" s="16" t="s">
        <v>490</v>
      </c>
      <c r="B163" s="16" t="s">
        <v>500</v>
      </c>
      <c r="C163" s="184">
        <v>4.1666666999999998E-2</v>
      </c>
      <c r="D163" s="16" t="s">
        <v>193</v>
      </c>
      <c r="E163" s="16" t="s">
        <v>149</v>
      </c>
      <c r="F163" s="16" t="s">
        <v>228</v>
      </c>
      <c r="G163" s="16" t="s">
        <v>501</v>
      </c>
      <c r="H163" s="16"/>
      <c r="I163" s="16"/>
      <c r="J163" s="16"/>
      <c r="K163" s="16"/>
    </row>
    <row r="164" spans="1:11">
      <c r="A164" s="16" t="s">
        <v>490</v>
      </c>
      <c r="B164" s="16" t="s">
        <v>502</v>
      </c>
      <c r="C164" s="183">
        <v>0.2</v>
      </c>
      <c r="D164" s="16" t="s">
        <v>503</v>
      </c>
      <c r="E164" s="16" t="s">
        <v>149</v>
      </c>
      <c r="F164" s="16" t="s">
        <v>228</v>
      </c>
      <c r="G164" s="16" t="s">
        <v>499</v>
      </c>
      <c r="H164" s="16"/>
      <c r="I164" s="16"/>
      <c r="J164" s="16"/>
      <c r="K164" s="16"/>
    </row>
    <row r="165" spans="1:11">
      <c r="A165" s="16" t="s">
        <v>490</v>
      </c>
      <c r="B165" s="16" t="s">
        <v>504</v>
      </c>
      <c r="C165" s="183">
        <v>4</v>
      </c>
      <c r="D165" s="16" t="s">
        <v>505</v>
      </c>
      <c r="E165" s="16" t="s">
        <v>149</v>
      </c>
      <c r="F165" s="16" t="s">
        <v>228</v>
      </c>
      <c r="G165" s="16" t="s">
        <v>506</v>
      </c>
      <c r="H165" s="16"/>
      <c r="I165" s="16"/>
      <c r="J165" s="16"/>
      <c r="K165" s="16"/>
    </row>
    <row r="166" spans="1:11">
      <c r="A166" s="16" t="s">
        <v>507</v>
      </c>
      <c r="B166" s="16" t="s">
        <v>508</v>
      </c>
      <c r="C166" s="183">
        <v>0.1</v>
      </c>
      <c r="D166" s="16" t="s">
        <v>503</v>
      </c>
      <c r="E166" s="16" t="s">
        <v>149</v>
      </c>
      <c r="F166" s="16" t="s">
        <v>208</v>
      </c>
      <c r="G166" s="16" t="s">
        <v>509</v>
      </c>
      <c r="H166" s="16"/>
      <c r="I166" s="16"/>
      <c r="J166" s="16"/>
      <c r="K166" s="16"/>
    </row>
    <row r="167" spans="1:11">
      <c r="A167" s="16" t="s">
        <v>507</v>
      </c>
      <c r="B167" s="16" t="s">
        <v>510</v>
      </c>
      <c r="C167" s="183">
        <v>2</v>
      </c>
      <c r="D167" s="16" t="s">
        <v>505</v>
      </c>
      <c r="E167" s="16" t="s">
        <v>149</v>
      </c>
      <c r="F167" s="16" t="s">
        <v>228</v>
      </c>
      <c r="G167" s="16" t="s">
        <v>511</v>
      </c>
      <c r="H167" s="16"/>
      <c r="I167" s="16"/>
      <c r="J167" s="16"/>
      <c r="K167" s="16"/>
    </row>
    <row r="168" spans="1:11">
      <c r="A168" s="16" t="s">
        <v>507</v>
      </c>
      <c r="B168" s="16" t="s">
        <v>512</v>
      </c>
      <c r="C168" s="183">
        <v>4</v>
      </c>
      <c r="D168" s="16" t="s">
        <v>513</v>
      </c>
      <c r="E168" s="16" t="s">
        <v>149</v>
      </c>
      <c r="F168" s="16" t="s">
        <v>208</v>
      </c>
      <c r="G168" s="16" t="s">
        <v>514</v>
      </c>
      <c r="H168" s="16"/>
      <c r="I168" s="16"/>
      <c r="J168" s="16"/>
      <c r="K168" s="16"/>
    </row>
    <row r="169" spans="1:11">
      <c r="A169" s="16" t="s">
        <v>507</v>
      </c>
      <c r="B169" s="16" t="s">
        <v>515</v>
      </c>
      <c r="C169" s="183">
        <v>8</v>
      </c>
      <c r="D169" s="16" t="s">
        <v>513</v>
      </c>
      <c r="E169" s="16" t="s">
        <v>149</v>
      </c>
      <c r="F169" s="16" t="s">
        <v>228</v>
      </c>
      <c r="G169" s="16" t="s">
        <v>516</v>
      </c>
      <c r="H169" s="16"/>
      <c r="I169" s="16"/>
      <c r="J169" s="16"/>
      <c r="K169" s="16"/>
    </row>
    <row r="170" spans="1:11">
      <c r="A170" s="16" t="s">
        <v>507</v>
      </c>
      <c r="B170" s="16" t="s">
        <v>517</v>
      </c>
      <c r="C170" s="183">
        <v>2.6666666669999999</v>
      </c>
      <c r="D170" s="16" t="s">
        <v>513</v>
      </c>
      <c r="E170" s="16" t="s">
        <v>149</v>
      </c>
      <c r="F170" s="16" t="s">
        <v>228</v>
      </c>
      <c r="G170" s="16" t="s">
        <v>518</v>
      </c>
      <c r="H170" s="16"/>
      <c r="I170" s="16"/>
      <c r="J170" s="16"/>
      <c r="K170" s="16"/>
    </row>
    <row r="171" spans="1:11">
      <c r="A171" s="16" t="s">
        <v>519</v>
      </c>
      <c r="B171" s="16" t="s">
        <v>520</v>
      </c>
      <c r="C171" s="184">
        <v>0.1</v>
      </c>
      <c r="D171" s="16" t="s">
        <v>521</v>
      </c>
      <c r="E171" s="16" t="s">
        <v>149</v>
      </c>
      <c r="F171" s="16" t="s">
        <v>228</v>
      </c>
      <c r="G171" s="16" t="s">
        <v>522</v>
      </c>
      <c r="H171" s="16"/>
      <c r="I171" s="16"/>
      <c r="J171" s="16"/>
      <c r="K171" s="16"/>
    </row>
    <row r="172" spans="1:11">
      <c r="A172" s="16" t="s">
        <v>519</v>
      </c>
      <c r="B172" s="16" t="s">
        <v>523</v>
      </c>
      <c r="C172" s="184">
        <v>1.3333332999999999E-2</v>
      </c>
      <c r="D172" s="16" t="s">
        <v>521</v>
      </c>
      <c r="E172" s="16" t="s">
        <v>149</v>
      </c>
      <c r="F172" s="16" t="s">
        <v>228</v>
      </c>
      <c r="G172" s="16" t="s">
        <v>524</v>
      </c>
      <c r="H172" s="16"/>
      <c r="I172" s="16"/>
      <c r="J172" s="16"/>
      <c r="K172" s="16"/>
    </row>
    <row r="173" spans="1:11">
      <c r="A173" s="16" t="s">
        <v>519</v>
      </c>
      <c r="B173" s="16" t="s">
        <v>525</v>
      </c>
      <c r="C173" s="184">
        <v>0.05</v>
      </c>
      <c r="D173" s="16" t="s">
        <v>521</v>
      </c>
      <c r="E173" s="16" t="s">
        <v>149</v>
      </c>
      <c r="F173" s="16" t="s">
        <v>228</v>
      </c>
      <c r="G173" s="16" t="s">
        <v>526</v>
      </c>
      <c r="H173" s="16"/>
      <c r="I173" s="16"/>
      <c r="J173" s="16"/>
      <c r="K173" s="16"/>
    </row>
    <row r="174" spans="1:11">
      <c r="A174" s="16" t="s">
        <v>519</v>
      </c>
      <c r="B174" s="16" t="s">
        <v>527</v>
      </c>
      <c r="C174" s="184">
        <v>6.6666670000000003E-3</v>
      </c>
      <c r="D174" s="16" t="s">
        <v>521</v>
      </c>
      <c r="E174" s="16" t="s">
        <v>149</v>
      </c>
      <c r="F174" s="16" t="s">
        <v>228</v>
      </c>
      <c r="G174" s="16" t="s">
        <v>524</v>
      </c>
      <c r="H174" s="16"/>
      <c r="I174" s="16"/>
      <c r="J174" s="16"/>
      <c r="K174" s="16"/>
    </row>
    <row r="175" spans="1:11">
      <c r="A175" s="16" t="s">
        <v>519</v>
      </c>
      <c r="B175" s="16" t="s">
        <v>528</v>
      </c>
      <c r="C175" s="183">
        <v>0.05</v>
      </c>
      <c r="D175" s="16" t="s">
        <v>529</v>
      </c>
      <c r="E175" s="16" t="s">
        <v>149</v>
      </c>
      <c r="F175" s="16" t="s">
        <v>228</v>
      </c>
      <c r="G175" s="16" t="s">
        <v>530</v>
      </c>
      <c r="H175" s="16"/>
      <c r="I175" s="16"/>
      <c r="J175" s="16"/>
      <c r="K175" s="16"/>
    </row>
    <row r="176" spans="1:11">
      <c r="A176" s="16" t="s">
        <v>531</v>
      </c>
      <c r="B176" s="16" t="s">
        <v>532</v>
      </c>
      <c r="C176" s="192">
        <v>25000000</v>
      </c>
      <c r="D176" s="16" t="s">
        <v>533</v>
      </c>
      <c r="E176" s="16" t="s">
        <v>149</v>
      </c>
      <c r="F176" s="16" t="s">
        <v>228</v>
      </c>
      <c r="G176" s="16" t="s">
        <v>534</v>
      </c>
      <c r="H176" s="16"/>
      <c r="I176" s="16"/>
      <c r="J176" s="16"/>
      <c r="K176" s="16"/>
    </row>
    <row r="177" spans="1:11">
      <c r="A177" s="16" t="s">
        <v>535</v>
      </c>
      <c r="B177" s="16" t="s">
        <v>536</v>
      </c>
      <c r="C177" s="192">
        <v>1.6666667E-2</v>
      </c>
      <c r="D177" s="16" t="s">
        <v>193</v>
      </c>
      <c r="E177" s="16" t="s">
        <v>149</v>
      </c>
      <c r="F177" s="16" t="s">
        <v>228</v>
      </c>
      <c r="G177" s="16" t="s">
        <v>537</v>
      </c>
      <c r="H177" s="16"/>
      <c r="I177" s="16"/>
      <c r="J177" s="16"/>
      <c r="K177" s="16"/>
    </row>
    <row r="178" spans="1:11">
      <c r="A178" s="16" t="s">
        <v>535</v>
      </c>
      <c r="B178" s="16" t="s">
        <v>538</v>
      </c>
      <c r="C178" s="192">
        <v>6.6666666999999999E-2</v>
      </c>
      <c r="D178" s="16" t="s">
        <v>193</v>
      </c>
      <c r="E178" s="16" t="s">
        <v>149</v>
      </c>
      <c r="F178" s="16" t="s">
        <v>228</v>
      </c>
      <c r="G178" s="16" t="s">
        <v>539</v>
      </c>
      <c r="H178" s="16"/>
      <c r="I178" s="16"/>
      <c r="J178" s="16"/>
      <c r="K178" s="16"/>
    </row>
    <row r="179" spans="1:11">
      <c r="A179" s="16" t="s">
        <v>535</v>
      </c>
      <c r="B179" s="16" t="s">
        <v>540</v>
      </c>
      <c r="C179" s="192">
        <v>250000000</v>
      </c>
      <c r="D179" s="16" t="s">
        <v>541</v>
      </c>
      <c r="E179" s="16" t="s">
        <v>149</v>
      </c>
      <c r="F179" s="16" t="s">
        <v>228</v>
      </c>
      <c r="G179" s="16" t="s">
        <v>542</v>
      </c>
      <c r="H179" s="16"/>
      <c r="I179" s="16"/>
      <c r="J179" s="16"/>
      <c r="K179" s="16"/>
    </row>
    <row r="180" spans="1:11">
      <c r="A180" s="16" t="s">
        <v>535</v>
      </c>
      <c r="B180" s="16" t="s">
        <v>543</v>
      </c>
      <c r="C180" s="192">
        <v>120000000</v>
      </c>
      <c r="D180" s="16" t="s">
        <v>541</v>
      </c>
      <c r="E180" s="16" t="s">
        <v>149</v>
      </c>
      <c r="F180" s="16" t="s">
        <v>228</v>
      </c>
      <c r="G180" s="16" t="s">
        <v>542</v>
      </c>
      <c r="H180" s="16"/>
      <c r="I180" s="16"/>
      <c r="J180" s="16"/>
      <c r="K180" s="16"/>
    </row>
    <row r="181" spans="1:11">
      <c r="A181" s="16" t="s">
        <v>544</v>
      </c>
      <c r="B181" s="16" t="s">
        <v>545</v>
      </c>
      <c r="C181" s="184">
        <v>0.03</v>
      </c>
      <c r="D181" s="16" t="s">
        <v>521</v>
      </c>
      <c r="E181" s="16" t="s">
        <v>149</v>
      </c>
      <c r="F181" s="16" t="s">
        <v>228</v>
      </c>
      <c r="G181" s="16" t="s">
        <v>546</v>
      </c>
      <c r="H181" s="16"/>
      <c r="I181" s="16"/>
      <c r="J181" s="16"/>
      <c r="K181" s="16"/>
    </row>
    <row r="182" spans="1:11">
      <c r="A182" s="16" t="s">
        <v>544</v>
      </c>
      <c r="B182" s="16" t="s">
        <v>547</v>
      </c>
      <c r="C182" s="184">
        <v>0.01</v>
      </c>
      <c r="D182" s="16" t="s">
        <v>521</v>
      </c>
      <c r="E182" s="16" t="s">
        <v>149</v>
      </c>
      <c r="F182" s="16" t="s">
        <v>228</v>
      </c>
      <c r="G182" s="16" t="s">
        <v>548</v>
      </c>
      <c r="H182" s="16"/>
      <c r="I182" s="16"/>
      <c r="J182" s="16"/>
      <c r="K182" s="16"/>
    </row>
    <row r="183" spans="1:11">
      <c r="A183" s="16" t="s">
        <v>549</v>
      </c>
      <c r="B183" s="16" t="s">
        <v>550</v>
      </c>
      <c r="C183" s="184">
        <v>0.2</v>
      </c>
      <c r="D183" s="16" t="s">
        <v>551</v>
      </c>
      <c r="E183" s="16" t="s">
        <v>149</v>
      </c>
      <c r="F183" s="16" t="s">
        <v>228</v>
      </c>
      <c r="G183" s="16" t="s">
        <v>552</v>
      </c>
      <c r="H183" s="16"/>
      <c r="I183" s="16"/>
      <c r="J183" s="16"/>
      <c r="K183" s="16"/>
    </row>
    <row r="184" spans="1:11">
      <c r="A184" s="16" t="s">
        <v>549</v>
      </c>
      <c r="B184" s="16" t="s">
        <v>553</v>
      </c>
      <c r="C184" s="184">
        <v>0.1</v>
      </c>
      <c r="D184" s="16" t="s">
        <v>551</v>
      </c>
      <c r="E184" s="16" t="s">
        <v>149</v>
      </c>
      <c r="F184" s="16" t="s">
        <v>228</v>
      </c>
      <c r="G184" s="16" t="s">
        <v>552</v>
      </c>
      <c r="H184" s="16"/>
      <c r="I184" s="16"/>
      <c r="J184" s="16"/>
      <c r="K184" s="16"/>
    </row>
    <row r="185" spans="1:11">
      <c r="C185" s="193"/>
    </row>
  </sheetData>
  <mergeCells count="11">
    <mergeCell ref="A148:G148"/>
    <mergeCell ref="A51:G51"/>
    <mergeCell ref="A66:G66"/>
    <mergeCell ref="A91:G91"/>
    <mergeCell ref="A121:K121"/>
    <mergeCell ref="A129:K129"/>
    <mergeCell ref="A1:K1"/>
    <mergeCell ref="A2:K2"/>
    <mergeCell ref="A4:G4"/>
    <mergeCell ref="A22:G22"/>
    <mergeCell ref="A38:G38"/>
  </mergeCells>
  <dataValidations count="3">
    <dataValidation type="whole" sqref="C8" xr:uid="{00000000-0002-0000-0200-000000000000}">
      <formula1>1</formula1>
      <formula2>4</formula2>
    </dataValidation>
    <dataValidation type="list" sqref="C9" xr:uid="{00000000-0002-0000-0200-000001000000}">
      <formula1>"22,25"</formula1>
    </dataValidation>
    <dataValidation type="list" sqref="C150:C157" xr:uid="{00000000-0002-0000-0200-000002000000}">
      <formula1>"0,1"</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showGridLines="0" workbookViewId="0"/>
  </sheetViews>
  <sheetFormatPr defaultRowHeight="13.5"/>
  <cols>
    <col min="1" max="1" width="28" customWidth="1"/>
    <col min="2" max="3" width="12" customWidth="1"/>
    <col min="4" max="4" width="40" customWidth="1"/>
    <col min="5" max="8" width="13" customWidth="1"/>
    <col min="9" max="9" width="18" customWidth="1"/>
    <col min="10" max="10" width="12" customWidth="1"/>
    <col min="11" max="11" width="40" customWidth="1"/>
  </cols>
  <sheetData>
    <row r="1" spans="1:11" ht="28.05" customHeight="1">
      <c r="A1" s="206" t="s">
        <v>554</v>
      </c>
      <c r="B1" s="206"/>
      <c r="C1" s="206"/>
      <c r="D1" s="206"/>
      <c r="E1" s="206"/>
      <c r="F1" s="206"/>
      <c r="G1" s="206"/>
      <c r="H1" s="206"/>
      <c r="I1" s="206"/>
      <c r="J1" s="206"/>
      <c r="K1" s="206"/>
    </row>
    <row r="2" spans="1:11" ht="38" customHeight="1">
      <c r="A2" s="207" t="s">
        <v>555</v>
      </c>
      <c r="B2" s="207"/>
      <c r="C2" s="207"/>
      <c r="D2" s="207"/>
      <c r="E2" s="207"/>
      <c r="F2" s="207"/>
      <c r="G2" s="207"/>
      <c r="H2" s="207"/>
      <c r="I2" s="207"/>
      <c r="J2" s="207"/>
      <c r="K2" s="207"/>
    </row>
    <row r="3" spans="1:11">
      <c r="A3" s="16"/>
      <c r="B3" s="16"/>
      <c r="C3" s="16"/>
      <c r="D3" s="16"/>
      <c r="E3" s="16"/>
      <c r="F3" s="16"/>
      <c r="G3" s="16"/>
      <c r="H3" s="16"/>
      <c r="I3" s="16"/>
      <c r="J3" s="16"/>
      <c r="K3" s="16"/>
    </row>
    <row r="4" spans="1:11" ht="20" customHeight="1">
      <c r="A4" s="254" t="s">
        <v>556</v>
      </c>
      <c r="B4" s="254"/>
      <c r="C4" s="254"/>
      <c r="D4" s="254"/>
      <c r="E4" s="254"/>
      <c r="F4" s="254"/>
      <c r="G4" s="254"/>
      <c r="H4" s="254"/>
      <c r="I4" s="254"/>
      <c r="J4" s="254"/>
      <c r="K4" s="254"/>
    </row>
    <row r="5" spans="1:11" ht="30" customHeight="1">
      <c r="A5" s="2" t="s">
        <v>557</v>
      </c>
      <c r="B5" s="3" t="s">
        <v>558</v>
      </c>
      <c r="C5" s="3" t="s">
        <v>559</v>
      </c>
      <c r="D5" s="3" t="s">
        <v>560</v>
      </c>
      <c r="E5" s="3" t="s">
        <v>561</v>
      </c>
      <c r="F5" s="3" t="s">
        <v>562</v>
      </c>
      <c r="G5" s="3" t="s">
        <v>563</v>
      </c>
      <c r="H5" s="3" t="s">
        <v>564</v>
      </c>
      <c r="I5" s="3" t="s">
        <v>565</v>
      </c>
      <c r="J5" s="3" t="s">
        <v>160</v>
      </c>
      <c r="K5" s="4" t="s">
        <v>566</v>
      </c>
    </row>
    <row r="6" spans="1:11">
      <c r="A6" s="18" t="s">
        <v>567</v>
      </c>
      <c r="B6" s="31">
        <v>0.2</v>
      </c>
      <c r="C6" s="18">
        <v>4</v>
      </c>
      <c r="D6" s="18" t="s">
        <v>568</v>
      </c>
      <c r="E6" s="32"/>
      <c r="F6" s="32"/>
      <c r="G6" s="32"/>
      <c r="H6" s="32"/>
      <c r="I6" s="18" t="s">
        <v>569</v>
      </c>
      <c r="J6" s="18" t="s">
        <v>570</v>
      </c>
      <c r="K6" s="18" t="s">
        <v>571</v>
      </c>
    </row>
    <row r="7" spans="1:11">
      <c r="A7" s="18" t="s">
        <v>572</v>
      </c>
      <c r="B7" s="31">
        <v>0.15</v>
      </c>
      <c r="C7" s="18">
        <v>4</v>
      </c>
      <c r="D7" s="18" t="s">
        <v>573</v>
      </c>
      <c r="E7" s="32"/>
      <c r="F7" s="32"/>
      <c r="G7" s="32"/>
      <c r="H7" s="32"/>
      <c r="I7" s="18" t="s">
        <v>574</v>
      </c>
      <c r="J7" s="18" t="s">
        <v>575</v>
      </c>
      <c r="K7" s="18" t="s">
        <v>576</v>
      </c>
    </row>
    <row r="8" spans="1:11">
      <c r="A8" s="18" t="s">
        <v>577</v>
      </c>
      <c r="B8" s="31">
        <v>0.15</v>
      </c>
      <c r="C8" s="18">
        <v>3</v>
      </c>
      <c r="D8" s="18" t="s">
        <v>578</v>
      </c>
      <c r="E8" s="32"/>
      <c r="F8" s="32"/>
      <c r="G8" s="32"/>
      <c r="H8" s="32"/>
      <c r="I8" s="18" t="s">
        <v>579</v>
      </c>
      <c r="J8" s="18" t="s">
        <v>580</v>
      </c>
      <c r="K8" s="18" t="s">
        <v>581</v>
      </c>
    </row>
    <row r="9" spans="1:11">
      <c r="A9" s="18" t="s">
        <v>582</v>
      </c>
      <c r="B9" s="31">
        <v>0.1</v>
      </c>
      <c r="C9" s="18">
        <v>4</v>
      </c>
      <c r="D9" s="18" t="s">
        <v>583</v>
      </c>
      <c r="E9" s="32"/>
      <c r="F9" s="32"/>
      <c r="G9" s="32"/>
      <c r="H9" s="32"/>
      <c r="I9" s="18" t="s">
        <v>584</v>
      </c>
      <c r="J9" s="18" t="s">
        <v>580</v>
      </c>
      <c r="K9" s="18" t="s">
        <v>585</v>
      </c>
    </row>
    <row r="10" spans="1:11">
      <c r="A10" s="18" t="s">
        <v>586</v>
      </c>
      <c r="B10" s="31">
        <v>0.1</v>
      </c>
      <c r="C10" s="18">
        <v>4</v>
      </c>
      <c r="D10" s="18" t="s">
        <v>587</v>
      </c>
      <c r="E10" s="32"/>
      <c r="F10" s="32"/>
      <c r="G10" s="32"/>
      <c r="H10" s="32"/>
      <c r="I10" s="18" t="s">
        <v>584</v>
      </c>
      <c r="J10" s="18" t="s">
        <v>580</v>
      </c>
      <c r="K10" s="18" t="s">
        <v>588</v>
      </c>
    </row>
    <row r="11" spans="1:11">
      <c r="A11" s="18" t="s">
        <v>589</v>
      </c>
      <c r="B11" s="31">
        <v>0.08</v>
      </c>
      <c r="C11" s="18">
        <v>3</v>
      </c>
      <c r="D11" s="18" t="s">
        <v>590</v>
      </c>
      <c r="E11" s="32"/>
      <c r="F11" s="32"/>
      <c r="G11" s="32"/>
      <c r="H11" s="32"/>
      <c r="I11" s="18" t="s">
        <v>591</v>
      </c>
      <c r="J11" s="18" t="s">
        <v>580</v>
      </c>
      <c r="K11" s="18" t="s">
        <v>592</v>
      </c>
    </row>
    <row r="12" spans="1:11">
      <c r="A12" s="18" t="s">
        <v>593</v>
      </c>
      <c r="B12" s="31">
        <v>7.0000000000000007E-2</v>
      </c>
      <c r="C12" s="18">
        <v>4</v>
      </c>
      <c r="D12" s="18" t="s">
        <v>594</v>
      </c>
      <c r="E12" s="32"/>
      <c r="F12" s="32"/>
      <c r="G12" s="32"/>
      <c r="H12" s="32"/>
      <c r="I12" s="18" t="s">
        <v>595</v>
      </c>
      <c r="J12" s="18" t="s">
        <v>580</v>
      </c>
      <c r="K12" s="18" t="s">
        <v>596</v>
      </c>
    </row>
    <row r="13" spans="1:11">
      <c r="A13" s="18" t="s">
        <v>597</v>
      </c>
      <c r="B13" s="31">
        <v>0.06</v>
      </c>
      <c r="C13" s="18">
        <v>3</v>
      </c>
      <c r="D13" s="18" t="s">
        <v>598</v>
      </c>
      <c r="E13" s="32"/>
      <c r="F13" s="32"/>
      <c r="G13" s="32"/>
      <c r="H13" s="32"/>
      <c r="I13" s="18" t="s">
        <v>599</v>
      </c>
      <c r="J13" s="18" t="s">
        <v>575</v>
      </c>
      <c r="K13" s="18" t="s">
        <v>600</v>
      </c>
    </row>
    <row r="14" spans="1:11">
      <c r="A14" s="18" t="s">
        <v>601</v>
      </c>
      <c r="B14" s="31">
        <v>0.05</v>
      </c>
      <c r="C14" s="18">
        <v>3</v>
      </c>
      <c r="D14" s="18" t="s">
        <v>602</v>
      </c>
      <c r="E14" s="32"/>
      <c r="F14" s="32"/>
      <c r="G14" s="32"/>
      <c r="H14" s="32"/>
      <c r="I14" s="18" t="s">
        <v>603</v>
      </c>
      <c r="J14" s="18" t="s">
        <v>604</v>
      </c>
      <c r="K14" s="18" t="s">
        <v>605</v>
      </c>
    </row>
    <row r="15" spans="1:11">
      <c r="A15" s="18" t="s">
        <v>606</v>
      </c>
      <c r="B15" s="31">
        <v>0.04</v>
      </c>
      <c r="C15" s="18">
        <v>3</v>
      </c>
      <c r="D15" s="18" t="s">
        <v>607</v>
      </c>
      <c r="E15" s="32"/>
      <c r="F15" s="32"/>
      <c r="G15" s="32"/>
      <c r="H15" s="32"/>
      <c r="I15" s="18" t="s">
        <v>599</v>
      </c>
      <c r="J15" s="18" t="s">
        <v>575</v>
      </c>
      <c r="K15" s="18" t="s">
        <v>608</v>
      </c>
    </row>
    <row r="16" spans="1:11">
      <c r="A16" s="257" t="s">
        <v>609</v>
      </c>
      <c r="B16" s="257"/>
      <c r="C16" s="257"/>
      <c r="D16" s="257"/>
      <c r="E16" s="33" t="str">
        <f>IF(COUNT(E6:E15)=10,SUMPRODUCT($B$6:$B$15,E6:E15)/5,"Input scores")</f>
        <v>Input scores</v>
      </c>
      <c r="F16" s="33" t="str">
        <f>IF(COUNT(F6:F15)=10,SUMPRODUCT($B$6:$B$15,F6:F15)/5,"Input scores")</f>
        <v>Input scores</v>
      </c>
      <c r="G16" s="33" t="str">
        <f>IF(COUNT(G6:G15)=10,SUMPRODUCT($B$6:$B$15,G6:G15)/5,"Input scores")</f>
        <v>Input scores</v>
      </c>
      <c r="H16" s="33" t="str">
        <f>IF(COUNT(H6:H15)=10,SUMPRODUCT($B$6:$B$15,H6:H15)/5,"Input scores")</f>
        <v>Input scores</v>
      </c>
      <c r="I16" s="18"/>
      <c r="J16" s="18"/>
      <c r="K16" s="18"/>
    </row>
    <row r="17" spans="1:11">
      <c r="A17" s="18"/>
      <c r="B17" s="18"/>
      <c r="C17" s="18"/>
      <c r="D17" s="18"/>
      <c r="E17" s="18"/>
      <c r="F17" s="18"/>
      <c r="G17" s="18"/>
      <c r="H17" s="18"/>
      <c r="I17" s="18"/>
      <c r="J17" s="18"/>
      <c r="K17" s="18"/>
    </row>
    <row r="18" spans="1:11">
      <c r="A18" s="18"/>
      <c r="B18" s="18"/>
      <c r="C18" s="18"/>
      <c r="D18" s="18"/>
      <c r="E18" s="18"/>
      <c r="F18" s="18"/>
      <c r="G18" s="18"/>
      <c r="H18" s="18"/>
      <c r="I18" s="18"/>
      <c r="J18" s="18"/>
      <c r="K18" s="18"/>
    </row>
    <row r="19" spans="1:11" ht="20" customHeight="1">
      <c r="A19" s="258" t="s">
        <v>610</v>
      </c>
      <c r="B19" s="258"/>
      <c r="C19" s="258"/>
      <c r="D19" s="258"/>
      <c r="E19" s="258"/>
      <c r="F19" s="258"/>
      <c r="G19" s="258"/>
      <c r="H19" s="258"/>
      <c r="I19" s="18"/>
      <c r="J19" s="18"/>
      <c r="K19" s="18"/>
    </row>
    <row r="20" spans="1:11" ht="30" customHeight="1">
      <c r="A20" s="2" t="s">
        <v>611</v>
      </c>
      <c r="B20" s="3" t="s">
        <v>612</v>
      </c>
      <c r="C20" s="3" t="s">
        <v>613</v>
      </c>
      <c r="D20" s="3" t="s">
        <v>614</v>
      </c>
      <c r="E20" s="3" t="s">
        <v>615</v>
      </c>
      <c r="F20" s="3" t="s">
        <v>616</v>
      </c>
      <c r="G20" s="3" t="s">
        <v>120</v>
      </c>
      <c r="H20" s="4" t="s">
        <v>140</v>
      </c>
      <c r="I20" s="18"/>
      <c r="J20" s="18"/>
      <c r="K20" s="18"/>
    </row>
    <row r="21" spans="1:11" ht="69.75">
      <c r="A21" s="18" t="s">
        <v>617</v>
      </c>
      <c r="B21" s="18" t="s">
        <v>618</v>
      </c>
      <c r="C21" s="18" t="s">
        <v>619</v>
      </c>
      <c r="D21" s="18" t="s">
        <v>620</v>
      </c>
      <c r="E21" s="18" t="s">
        <v>621</v>
      </c>
      <c r="F21" s="18" t="s">
        <v>622</v>
      </c>
      <c r="G21" s="32" t="s">
        <v>183</v>
      </c>
      <c r="H21" s="18"/>
      <c r="I21" s="18"/>
      <c r="J21" s="18"/>
      <c r="K21" s="18"/>
    </row>
    <row r="22" spans="1:11" ht="46.5">
      <c r="A22" s="18" t="s">
        <v>623</v>
      </c>
      <c r="B22" s="18" t="s">
        <v>624</v>
      </c>
      <c r="C22" s="18" t="s">
        <v>625</v>
      </c>
      <c r="D22" s="18" t="s">
        <v>626</v>
      </c>
      <c r="E22" s="18" t="s">
        <v>627</v>
      </c>
      <c r="F22" s="18" t="s">
        <v>628</v>
      </c>
      <c r="G22" s="32" t="s">
        <v>183</v>
      </c>
      <c r="H22" s="18"/>
      <c r="I22" s="18"/>
      <c r="J22" s="18"/>
      <c r="K22" s="18"/>
    </row>
    <row r="23" spans="1:11" ht="58.15">
      <c r="A23" s="18" t="s">
        <v>629</v>
      </c>
      <c r="B23" s="18" t="s">
        <v>630</v>
      </c>
      <c r="C23" s="18" t="s">
        <v>631</v>
      </c>
      <c r="D23" s="18" t="s">
        <v>632</v>
      </c>
      <c r="E23" s="18" t="s">
        <v>633</v>
      </c>
      <c r="F23" s="18" t="s">
        <v>634</v>
      </c>
      <c r="G23" s="32" t="s">
        <v>183</v>
      </c>
      <c r="H23" s="18"/>
      <c r="I23" s="18"/>
      <c r="J23" s="18"/>
      <c r="K23" s="18"/>
    </row>
    <row r="24" spans="1:11" ht="34.9">
      <c r="A24" s="18" t="s">
        <v>400</v>
      </c>
      <c r="B24" s="18" t="s">
        <v>635</v>
      </c>
      <c r="C24" s="18" t="s">
        <v>636</v>
      </c>
      <c r="D24" s="18" t="s">
        <v>637</v>
      </c>
      <c r="E24" s="18" t="s">
        <v>599</v>
      </c>
      <c r="F24" s="18" t="s">
        <v>638</v>
      </c>
      <c r="G24" s="32" t="s">
        <v>183</v>
      </c>
      <c r="H24" s="18"/>
      <c r="I24" s="18"/>
      <c r="J24" s="18"/>
      <c r="K24" s="18"/>
    </row>
    <row r="25" spans="1:11" ht="69.75">
      <c r="A25" s="18" t="s">
        <v>639</v>
      </c>
      <c r="B25" s="18" t="s">
        <v>640</v>
      </c>
      <c r="C25" s="18" t="s">
        <v>641</v>
      </c>
      <c r="D25" s="18" t="s">
        <v>642</v>
      </c>
      <c r="E25" s="18" t="s">
        <v>643</v>
      </c>
      <c r="F25" s="18" t="s">
        <v>644</v>
      </c>
      <c r="G25" s="32" t="s">
        <v>183</v>
      </c>
      <c r="H25" s="18"/>
      <c r="I25" s="18"/>
      <c r="J25" s="18"/>
      <c r="K25" s="18"/>
    </row>
    <row r="26" spans="1:11" ht="34.9">
      <c r="A26" s="18" t="s">
        <v>645</v>
      </c>
      <c r="B26" s="18" t="s">
        <v>646</v>
      </c>
      <c r="C26" s="18" t="s">
        <v>647</v>
      </c>
      <c r="D26" s="18" t="s">
        <v>648</v>
      </c>
      <c r="E26" s="18" t="s">
        <v>584</v>
      </c>
      <c r="F26" s="18" t="s">
        <v>628</v>
      </c>
      <c r="G26" s="32" t="s">
        <v>183</v>
      </c>
      <c r="H26" s="18"/>
      <c r="I26" s="18"/>
      <c r="J26" s="18"/>
      <c r="K26" s="18"/>
    </row>
    <row r="27" spans="1:11">
      <c r="A27" s="18"/>
      <c r="B27" s="18"/>
      <c r="C27" s="18"/>
      <c r="D27" s="18"/>
      <c r="E27" s="18"/>
      <c r="F27" s="18"/>
      <c r="G27" s="18"/>
      <c r="H27" s="18"/>
      <c r="I27" s="18"/>
      <c r="J27" s="18"/>
      <c r="K27" s="18"/>
    </row>
    <row r="28" spans="1:11">
      <c r="A28" s="18"/>
      <c r="B28" s="18"/>
      <c r="C28" s="18"/>
      <c r="D28" s="18"/>
      <c r="E28" s="18"/>
      <c r="F28" s="18"/>
      <c r="G28" s="18"/>
      <c r="H28" s="18"/>
      <c r="I28" s="18"/>
      <c r="J28" s="18"/>
      <c r="K28" s="18"/>
    </row>
    <row r="29" spans="1:11" ht="20" customHeight="1">
      <c r="A29" s="258" t="s">
        <v>649</v>
      </c>
      <c r="B29" s="258"/>
      <c r="C29" s="258"/>
      <c r="D29" s="258"/>
      <c r="E29" s="258"/>
      <c r="F29" s="258"/>
      <c r="G29" s="258"/>
      <c r="H29" s="18"/>
      <c r="I29" s="18"/>
      <c r="J29" s="18"/>
      <c r="K29" s="18"/>
    </row>
    <row r="30" spans="1:11" ht="30" customHeight="1">
      <c r="A30" s="2" t="s">
        <v>650</v>
      </c>
      <c r="B30" s="3" t="s">
        <v>651</v>
      </c>
      <c r="C30" s="3" t="s">
        <v>652</v>
      </c>
      <c r="D30" s="3" t="s">
        <v>653</v>
      </c>
      <c r="E30" s="3" t="s">
        <v>654</v>
      </c>
      <c r="F30" s="3" t="s">
        <v>655</v>
      </c>
      <c r="G30" s="4" t="s">
        <v>656</v>
      </c>
      <c r="H30" s="18"/>
      <c r="I30" s="18"/>
      <c r="J30" s="18"/>
      <c r="K30" s="18"/>
    </row>
    <row r="31" spans="1:11" ht="34.9">
      <c r="A31" s="18">
        <v>1</v>
      </c>
      <c r="B31" s="18" t="s">
        <v>657</v>
      </c>
      <c r="C31" s="18" t="s">
        <v>658</v>
      </c>
      <c r="D31" s="18">
        <v>4</v>
      </c>
      <c r="E31" s="18" t="s">
        <v>659</v>
      </c>
      <c r="F31" s="18" t="s">
        <v>660</v>
      </c>
      <c r="G31" s="18" t="s">
        <v>661</v>
      </c>
      <c r="H31" s="18"/>
      <c r="I31" s="18"/>
      <c r="J31" s="18"/>
      <c r="K31" s="18"/>
    </row>
    <row r="32" spans="1:11" ht="34.9">
      <c r="A32" s="18">
        <v>2</v>
      </c>
      <c r="B32" s="18" t="s">
        <v>662</v>
      </c>
      <c r="C32" s="18" t="s">
        <v>663</v>
      </c>
      <c r="D32" s="18">
        <v>8</v>
      </c>
      <c r="E32" s="18" t="s">
        <v>664</v>
      </c>
      <c r="F32" s="18" t="s">
        <v>665</v>
      </c>
      <c r="G32" s="18" t="s">
        <v>666</v>
      </c>
      <c r="H32" s="18"/>
      <c r="I32" s="18"/>
      <c r="J32" s="18"/>
      <c r="K32" s="18"/>
    </row>
    <row r="33" spans="1:11" ht="34.9">
      <c r="A33" s="18">
        <v>3</v>
      </c>
      <c r="B33" s="18" t="s">
        <v>667</v>
      </c>
      <c r="C33" s="18" t="s">
        <v>668</v>
      </c>
      <c r="D33" s="18">
        <v>10</v>
      </c>
      <c r="E33" s="18" t="s">
        <v>664</v>
      </c>
      <c r="F33" s="18" t="s">
        <v>665</v>
      </c>
      <c r="G33" s="18" t="s">
        <v>669</v>
      </c>
      <c r="H33" s="18"/>
      <c r="I33" s="18"/>
      <c r="J33" s="18"/>
      <c r="K33" s="18"/>
    </row>
    <row r="34" spans="1:11" ht="34.9">
      <c r="A34" s="18">
        <v>4</v>
      </c>
      <c r="B34" s="18" t="s">
        <v>670</v>
      </c>
      <c r="C34" s="18" t="s">
        <v>671</v>
      </c>
      <c r="D34" s="18">
        <v>6</v>
      </c>
      <c r="E34" s="18" t="s">
        <v>659</v>
      </c>
      <c r="F34" s="18" t="s">
        <v>672</v>
      </c>
      <c r="G34" s="18" t="s">
        <v>673</v>
      </c>
      <c r="H34" s="18"/>
      <c r="I34" s="18"/>
      <c r="J34" s="18"/>
      <c r="K34" s="18"/>
    </row>
  </sheetData>
  <mergeCells count="6">
    <mergeCell ref="A29:G29"/>
    <mergeCell ref="A1:K1"/>
    <mergeCell ref="A2:K2"/>
    <mergeCell ref="A4:K4"/>
    <mergeCell ref="A16:D16"/>
    <mergeCell ref="A19:H19"/>
  </mergeCells>
  <dataValidations count="2">
    <dataValidation type="whole" sqref="E6:H15" xr:uid="{00000000-0002-0000-0300-000000000000}">
      <formula1>1</formula1>
      <formula2>5</formula2>
    </dataValidation>
    <dataValidation type="list" sqref="G21:G26" xr:uid="{00000000-0002-0000-0300-000001000000}">
      <formula1>"OPEN,PASS,NO-GO"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6"/>
  <sheetViews>
    <sheetView showGridLines="0" workbookViewId="0"/>
  </sheetViews>
  <sheetFormatPr defaultRowHeight="13.5"/>
  <cols>
    <col min="1" max="1" width="28" customWidth="1"/>
    <col min="2" max="2" width="18" customWidth="1"/>
    <col min="3" max="3" width="15" customWidth="1"/>
    <col min="4" max="4" width="17" customWidth="1"/>
    <col min="5" max="5" width="15" customWidth="1"/>
    <col min="6" max="6" width="17" customWidth="1"/>
    <col min="7" max="7" width="15" customWidth="1"/>
    <col min="8" max="8" width="17" customWidth="1"/>
    <col min="9" max="13" width="15" customWidth="1"/>
    <col min="14" max="14" width="46" customWidth="1"/>
    <col min="15" max="15" width="10" customWidth="1"/>
  </cols>
  <sheetData>
    <row r="1" spans="1:15" ht="28.05" customHeight="1">
      <c r="A1" s="206" t="s">
        <v>674</v>
      </c>
      <c r="B1" s="206"/>
      <c r="C1" s="206"/>
      <c r="D1" s="206"/>
      <c r="E1" s="206"/>
      <c r="F1" s="206"/>
      <c r="G1" s="206"/>
      <c r="H1" s="206"/>
      <c r="I1" s="206"/>
      <c r="J1" s="206"/>
      <c r="K1" s="206"/>
      <c r="L1" s="61"/>
      <c r="M1" s="61"/>
      <c r="N1" s="61"/>
      <c r="O1" s="61"/>
    </row>
    <row r="2" spans="1:15" ht="38" customHeight="1">
      <c r="A2" s="207" t="s">
        <v>675</v>
      </c>
      <c r="B2" s="207"/>
      <c r="C2" s="207"/>
      <c r="D2" s="207"/>
      <c r="E2" s="207"/>
      <c r="F2" s="207"/>
      <c r="G2" s="207"/>
      <c r="H2" s="207"/>
      <c r="I2" s="207"/>
      <c r="J2" s="207"/>
      <c r="K2" s="207"/>
      <c r="L2" s="1"/>
      <c r="M2" s="1"/>
      <c r="N2" s="1"/>
      <c r="O2" s="1"/>
    </row>
    <row r="3" spans="1:15">
      <c r="A3" s="16"/>
      <c r="B3" s="16"/>
      <c r="C3" s="16"/>
      <c r="D3" s="16"/>
      <c r="E3" s="16"/>
      <c r="F3" s="16"/>
      <c r="G3" s="16"/>
      <c r="H3" s="16"/>
      <c r="I3" s="16"/>
      <c r="J3" s="16"/>
      <c r="K3" s="16"/>
      <c r="L3" s="16"/>
      <c r="M3" s="16"/>
      <c r="N3" s="16"/>
      <c r="O3" s="16"/>
    </row>
    <row r="4" spans="1:15" ht="20" customHeight="1">
      <c r="A4" s="208" t="s">
        <v>676</v>
      </c>
      <c r="B4" s="208"/>
      <c r="C4" s="208"/>
      <c r="D4" s="208"/>
      <c r="E4" s="208"/>
      <c r="F4" s="208"/>
      <c r="G4" s="208"/>
      <c r="H4" s="208"/>
      <c r="I4" s="208"/>
      <c r="J4" s="208"/>
      <c r="K4" s="208"/>
      <c r="L4" s="62"/>
      <c r="M4" s="62"/>
      <c r="N4" s="62"/>
      <c r="O4" s="62"/>
    </row>
    <row r="5" spans="1:15" ht="32" customHeight="1">
      <c r="A5" s="63" t="s">
        <v>677</v>
      </c>
      <c r="B5" s="64" t="s">
        <v>678</v>
      </c>
      <c r="C5" s="64" t="s">
        <v>679</v>
      </c>
      <c r="D5" s="64" t="s">
        <v>474</v>
      </c>
      <c r="E5" s="64" t="s">
        <v>680</v>
      </c>
      <c r="F5" s="64" t="s">
        <v>477</v>
      </c>
      <c r="G5" s="64" t="s">
        <v>681</v>
      </c>
      <c r="H5" s="64" t="s">
        <v>250</v>
      </c>
      <c r="I5" s="64" t="s">
        <v>480</v>
      </c>
      <c r="J5" s="64" t="s">
        <v>482</v>
      </c>
      <c r="K5" s="65" t="s">
        <v>484</v>
      </c>
      <c r="L5" s="69" t="s">
        <v>486</v>
      </c>
      <c r="M5" s="69" t="s">
        <v>682</v>
      </c>
      <c r="N5" s="69" t="s">
        <v>472</v>
      </c>
      <c r="O5" s="69" t="s">
        <v>473</v>
      </c>
    </row>
    <row r="6" spans="1:15">
      <c r="A6" s="17" t="s">
        <v>683</v>
      </c>
      <c r="B6" s="66">
        <f>'02_Assumptions'!$C$24</f>
        <v>88</v>
      </c>
      <c r="C6" s="66">
        <f>'02_Assumptions'!$C$26</f>
        <v>83</v>
      </c>
      <c r="D6" s="66">
        <f>$B6*$C6*'02_Assumptions'!$C$150</f>
        <v>7304</v>
      </c>
      <c r="E6" s="66">
        <f>'02_Assumptions'!$C$27</f>
        <v>30</v>
      </c>
      <c r="F6" s="66">
        <f>$B6*$E6*'02_Assumptions'!$C$151</f>
        <v>2640</v>
      </c>
      <c r="G6" s="66">
        <f>'02_Assumptions'!$C$28</f>
        <v>500</v>
      </c>
      <c r="H6" s="66">
        <f>$B6*$G6*'02_Assumptions'!$C$152</f>
        <v>44000</v>
      </c>
      <c r="I6" s="66">
        <f>$B6*'02_Assumptions'!$C$29*'02_Assumptions'!$C$153</f>
        <v>13200</v>
      </c>
      <c r="J6" s="66">
        <f>$B6*'02_Assumptions'!$C$30*'02_Assumptions'!$C$154</f>
        <v>26400</v>
      </c>
      <c r="K6" s="66">
        <f>$B6*'02_Assumptions'!$C$31*'02_Assumptions'!$C$155</f>
        <v>35200</v>
      </c>
      <c r="L6" s="66">
        <f>'17_Model_Fleksibel'!$E$6</f>
        <v>220000</v>
      </c>
      <c r="M6" s="66">
        <f>'17_Model_Fleksibel'!$E$7</f>
        <v>57.2</v>
      </c>
      <c r="N6" s="16" t="s">
        <v>684</v>
      </c>
      <c r="O6" s="16">
        <v>1</v>
      </c>
    </row>
    <row r="7" spans="1:15">
      <c r="A7" s="17" t="s">
        <v>685</v>
      </c>
      <c r="B7" s="66">
        <f>'02_Assumptions'!$C$25</f>
        <v>12</v>
      </c>
      <c r="C7" s="66">
        <v>0</v>
      </c>
      <c r="D7" s="66">
        <v>0</v>
      </c>
      <c r="E7" s="66">
        <v>0</v>
      </c>
      <c r="F7" s="66">
        <v>0</v>
      </c>
      <c r="G7" s="66">
        <v>0</v>
      </c>
      <c r="H7" s="66">
        <v>0</v>
      </c>
      <c r="I7" s="66">
        <v>0</v>
      </c>
      <c r="J7" s="66">
        <v>0</v>
      </c>
      <c r="K7" s="66">
        <v>0</v>
      </c>
      <c r="L7" s="66">
        <v>0</v>
      </c>
      <c r="M7" s="66">
        <v>0</v>
      </c>
      <c r="N7" s="16" t="s">
        <v>686</v>
      </c>
      <c r="O7" s="16">
        <v>0</v>
      </c>
    </row>
    <row r="8" spans="1:15">
      <c r="A8" s="85" t="s">
        <v>687</v>
      </c>
      <c r="B8" s="86">
        <f>SUM(B6:B7)</f>
        <v>100</v>
      </c>
      <c r="C8" s="86"/>
      <c r="D8" s="86">
        <f>SUM(D6:D7)</f>
        <v>7304</v>
      </c>
      <c r="E8" s="86"/>
      <c r="F8" s="86">
        <f>SUM(F6:F7)</f>
        <v>2640</v>
      </c>
      <c r="G8" s="86"/>
      <c r="H8" s="86">
        <f t="shared" ref="H8:M8" si="0">SUM(H6:H7)</f>
        <v>44000</v>
      </c>
      <c r="I8" s="86">
        <f t="shared" si="0"/>
        <v>13200</v>
      </c>
      <c r="J8" s="86">
        <f t="shared" si="0"/>
        <v>26400</v>
      </c>
      <c r="K8" s="86">
        <f t="shared" si="0"/>
        <v>35200</v>
      </c>
      <c r="L8" s="99">
        <f t="shared" si="0"/>
        <v>220000</v>
      </c>
      <c r="M8" s="99">
        <f t="shared" si="0"/>
        <v>57.2</v>
      </c>
      <c r="N8" s="100"/>
      <c r="O8" s="100"/>
    </row>
    <row r="9" spans="1:15">
      <c r="A9" s="17"/>
      <c r="B9" s="17"/>
      <c r="C9" s="17"/>
      <c r="D9" s="17"/>
      <c r="E9" s="17"/>
      <c r="F9" s="17"/>
      <c r="G9" s="17"/>
      <c r="H9" s="17"/>
      <c r="I9" s="17"/>
      <c r="J9" s="17"/>
      <c r="K9" s="17"/>
      <c r="L9" s="16"/>
      <c r="M9" s="16"/>
      <c r="N9" s="16"/>
      <c r="O9" s="16"/>
    </row>
    <row r="10" spans="1:15">
      <c r="A10" s="17"/>
      <c r="B10" s="17"/>
      <c r="C10" s="17"/>
      <c r="D10" s="17"/>
      <c r="E10" s="17"/>
      <c r="F10" s="17"/>
      <c r="G10" s="17"/>
      <c r="H10" s="17"/>
      <c r="I10" s="17"/>
      <c r="J10" s="17"/>
      <c r="K10" s="17"/>
      <c r="L10" s="16"/>
      <c r="M10" s="16"/>
      <c r="N10" s="16"/>
      <c r="O10" s="16"/>
    </row>
    <row r="11" spans="1:15" ht="20" customHeight="1">
      <c r="A11" s="211" t="s">
        <v>688</v>
      </c>
      <c r="B11" s="211"/>
      <c r="C11" s="211"/>
      <c r="D11" s="211"/>
      <c r="E11" s="211"/>
      <c r="F11" s="211"/>
      <c r="G11" s="211"/>
      <c r="H11" s="211"/>
      <c r="I11" s="17"/>
      <c r="J11" s="17"/>
      <c r="K11" s="17"/>
      <c r="L11" s="16"/>
      <c r="M11" s="16"/>
      <c r="N11" s="16"/>
      <c r="O11" s="16"/>
    </row>
    <row r="12" spans="1:15" ht="30" customHeight="1">
      <c r="A12" s="2" t="s">
        <v>519</v>
      </c>
      <c r="B12" s="3" t="s">
        <v>689</v>
      </c>
      <c r="C12" s="3" t="s">
        <v>690</v>
      </c>
      <c r="D12" s="3" t="s">
        <v>691</v>
      </c>
      <c r="E12" s="3" t="s">
        <v>137</v>
      </c>
      <c r="F12" s="3" t="s">
        <v>692</v>
      </c>
      <c r="G12" s="3" t="s">
        <v>693</v>
      </c>
      <c r="H12" s="4" t="s">
        <v>140</v>
      </c>
      <c r="I12" s="17"/>
      <c r="J12" s="17"/>
      <c r="K12" s="17"/>
      <c r="L12" s="16"/>
      <c r="M12" s="16"/>
      <c r="N12" s="16"/>
      <c r="O12" s="16"/>
    </row>
    <row r="13" spans="1:15">
      <c r="A13" s="17" t="s">
        <v>694</v>
      </c>
      <c r="B13" s="34">
        <f>$D$8</f>
        <v>7304</v>
      </c>
      <c r="C13" s="35">
        <f>'02_Assumptions'!$C$34</f>
        <v>0.1</v>
      </c>
      <c r="D13" s="34">
        <f t="shared" ref="D13:D18" si="1">$B13*(1+$C13)</f>
        <v>8034.4000000000005</v>
      </c>
      <c r="E13" s="17" t="s">
        <v>695</v>
      </c>
      <c r="F13" s="23">
        <f>'02_Assumptions'!$C$53</f>
        <v>65000</v>
      </c>
      <c r="G13" s="23">
        <f t="shared" ref="G13:G18" si="2">$D13*$F13</f>
        <v>522236000.00000006</v>
      </c>
      <c r="H13" s="17" t="s">
        <v>696</v>
      </c>
      <c r="I13" s="17"/>
      <c r="J13" s="17"/>
      <c r="K13" s="17"/>
      <c r="L13" s="16"/>
      <c r="M13" s="16"/>
      <c r="N13" s="16"/>
      <c r="O13" s="16"/>
    </row>
    <row r="14" spans="1:15">
      <c r="A14" s="17" t="s">
        <v>697</v>
      </c>
      <c r="B14" s="34">
        <f>$F$8</f>
        <v>2640</v>
      </c>
      <c r="C14" s="35">
        <f>'02_Assumptions'!$C$34</f>
        <v>0.1</v>
      </c>
      <c r="D14" s="34">
        <f t="shared" si="1"/>
        <v>2904.0000000000005</v>
      </c>
      <c r="E14" s="17" t="s">
        <v>695</v>
      </c>
      <c r="F14" s="23">
        <f>'02_Assumptions'!$C$54</f>
        <v>75000</v>
      </c>
      <c r="G14" s="23">
        <f t="shared" si="2"/>
        <v>217800000.00000003</v>
      </c>
      <c r="H14" s="17" t="s">
        <v>211</v>
      </c>
      <c r="I14" s="17"/>
      <c r="J14" s="17"/>
      <c r="K14" s="17"/>
      <c r="L14" s="16"/>
      <c r="M14" s="16"/>
      <c r="N14" s="16"/>
      <c r="O14" s="16"/>
    </row>
    <row r="15" spans="1:15">
      <c r="A15" s="17" t="s">
        <v>280</v>
      </c>
      <c r="B15" s="34">
        <f>$H$8</f>
        <v>44000</v>
      </c>
      <c r="C15" s="35">
        <f>'02_Assumptions'!$C$34</f>
        <v>0.1</v>
      </c>
      <c r="D15" s="34">
        <f t="shared" si="1"/>
        <v>48400.000000000007</v>
      </c>
      <c r="E15" s="17" t="s">
        <v>695</v>
      </c>
      <c r="F15" s="23">
        <f>'02_Assumptions'!$C$55</f>
        <v>15000</v>
      </c>
      <c r="G15" s="23">
        <f t="shared" si="2"/>
        <v>726000000.00000012</v>
      </c>
      <c r="H15" s="17" t="s">
        <v>698</v>
      </c>
      <c r="I15" s="17"/>
      <c r="J15" s="17"/>
      <c r="K15" s="17"/>
      <c r="L15" s="16"/>
      <c r="M15" s="16"/>
      <c r="N15" s="16"/>
      <c r="O15" s="16"/>
    </row>
    <row r="16" spans="1:15">
      <c r="A16" s="17" t="s">
        <v>480</v>
      </c>
      <c r="B16" s="34">
        <f>$I$8</f>
        <v>13200</v>
      </c>
      <c r="C16" s="35">
        <f>'02_Assumptions'!$C$34</f>
        <v>0.1</v>
      </c>
      <c r="D16" s="34">
        <f t="shared" si="1"/>
        <v>14520.000000000002</v>
      </c>
      <c r="E16" s="17" t="s">
        <v>699</v>
      </c>
      <c r="F16" s="23">
        <f>'02_Assumptions'!$C$56</f>
        <v>2500</v>
      </c>
      <c r="G16" s="23">
        <f t="shared" si="2"/>
        <v>36300000.000000007</v>
      </c>
      <c r="H16" s="17" t="s">
        <v>700</v>
      </c>
      <c r="I16" s="17"/>
      <c r="J16" s="17"/>
      <c r="K16" s="17"/>
      <c r="L16" s="16"/>
      <c r="M16" s="16"/>
      <c r="N16" s="16"/>
      <c r="O16" s="16"/>
    </row>
    <row r="17" spans="1:15">
      <c r="A17" s="17" t="s">
        <v>482</v>
      </c>
      <c r="B17" s="34">
        <f>$J$8</f>
        <v>26400</v>
      </c>
      <c r="C17" s="35">
        <f>'02_Assumptions'!$C$34</f>
        <v>0.1</v>
      </c>
      <c r="D17" s="34">
        <f t="shared" si="1"/>
        <v>29040.000000000004</v>
      </c>
      <c r="E17" s="17" t="s">
        <v>695</v>
      </c>
      <c r="F17" s="23">
        <f>'02_Assumptions'!$C$57</f>
        <v>3000</v>
      </c>
      <c r="G17" s="23">
        <f t="shared" si="2"/>
        <v>87120000.000000015</v>
      </c>
      <c r="H17" s="17" t="s">
        <v>701</v>
      </c>
      <c r="I17" s="17"/>
      <c r="J17" s="17"/>
      <c r="K17" s="17"/>
      <c r="L17" s="16"/>
      <c r="M17" s="16"/>
      <c r="N17" s="16"/>
      <c r="O17" s="16"/>
    </row>
    <row r="18" spans="1:15">
      <c r="A18" s="17" t="s">
        <v>484</v>
      </c>
      <c r="B18" s="34">
        <f>$K$8</f>
        <v>35200</v>
      </c>
      <c r="C18" s="35">
        <f>'02_Assumptions'!$C$34</f>
        <v>0.1</v>
      </c>
      <c r="D18" s="34">
        <f t="shared" si="1"/>
        <v>38720</v>
      </c>
      <c r="E18" s="17" t="s">
        <v>702</v>
      </c>
      <c r="F18" s="23">
        <f>'02_Assumptions'!$C$58</f>
        <v>1500</v>
      </c>
      <c r="G18" s="23">
        <f t="shared" si="2"/>
        <v>58080000</v>
      </c>
      <c r="H18" s="17" t="s">
        <v>703</v>
      </c>
      <c r="I18" s="17"/>
      <c r="J18" s="17"/>
      <c r="K18" s="17"/>
      <c r="L18" s="16"/>
      <c r="M18" s="16"/>
      <c r="N18" s="16"/>
      <c r="O18" s="16"/>
    </row>
    <row r="19" spans="1:15">
      <c r="A19" s="259" t="s">
        <v>704</v>
      </c>
      <c r="B19" s="259"/>
      <c r="C19" s="259"/>
      <c r="D19" s="259"/>
      <c r="E19" s="259"/>
      <c r="F19" s="259"/>
      <c r="G19" s="36">
        <f>SUM(G13:G18)+'17_Model_Fleksibel'!$I$18</f>
        <v>2151776000.0000005</v>
      </c>
      <c r="H19" s="17"/>
      <c r="I19" s="17"/>
      <c r="J19" s="17"/>
      <c r="K19" s="17"/>
      <c r="L19" s="16"/>
      <c r="M19" s="16"/>
      <c r="N19" s="16"/>
      <c r="O19" s="16"/>
    </row>
    <row r="20" spans="1:15">
      <c r="A20" s="17"/>
      <c r="B20" s="17"/>
      <c r="C20" s="17"/>
      <c r="D20" s="17"/>
      <c r="E20" s="17"/>
      <c r="F20" s="17"/>
      <c r="G20" s="17"/>
      <c r="H20" s="17"/>
      <c r="I20" s="17"/>
      <c r="J20" s="17"/>
      <c r="K20" s="17"/>
      <c r="L20" s="16"/>
      <c r="M20" s="16"/>
      <c r="N20" s="16"/>
      <c r="O20" s="16"/>
    </row>
    <row r="21" spans="1:15">
      <c r="A21" s="17"/>
      <c r="B21" s="17"/>
      <c r="C21" s="17"/>
      <c r="D21" s="17"/>
      <c r="E21" s="17"/>
      <c r="F21" s="17"/>
      <c r="G21" s="17"/>
      <c r="H21" s="17"/>
      <c r="I21" s="17"/>
      <c r="J21" s="17"/>
      <c r="K21" s="17"/>
      <c r="L21" s="16"/>
      <c r="M21" s="16"/>
      <c r="N21" s="16"/>
      <c r="O21" s="16"/>
    </row>
    <row r="22" spans="1:15" ht="20" customHeight="1">
      <c r="A22" s="211" t="s">
        <v>705</v>
      </c>
      <c r="B22" s="211"/>
      <c r="C22" s="211"/>
      <c r="D22" s="211"/>
      <c r="E22" s="17"/>
      <c r="F22" s="17"/>
      <c r="G22" s="17"/>
      <c r="H22" s="17"/>
      <c r="I22" s="17"/>
      <c r="J22" s="17"/>
      <c r="K22" s="17"/>
      <c r="L22" s="16"/>
      <c r="M22" s="16"/>
      <c r="N22" s="16"/>
      <c r="O22" s="16"/>
    </row>
    <row r="23" spans="1:15" ht="30" customHeight="1">
      <c r="A23" s="2" t="s">
        <v>706</v>
      </c>
      <c r="B23" s="3" t="s">
        <v>707</v>
      </c>
      <c r="C23" s="3" t="s">
        <v>245</v>
      </c>
      <c r="D23" s="4" t="s">
        <v>708</v>
      </c>
      <c r="E23" s="17"/>
      <c r="F23" s="17"/>
      <c r="G23" s="17"/>
      <c r="H23" s="17"/>
      <c r="I23" s="17"/>
      <c r="J23" s="17"/>
      <c r="K23" s="17"/>
      <c r="L23" s="16"/>
      <c r="M23" s="16"/>
      <c r="N23" s="16"/>
      <c r="O23" s="16"/>
    </row>
    <row r="24" spans="1:15">
      <c r="A24" s="17" t="s">
        <v>474</v>
      </c>
      <c r="B24" s="34">
        <f>D8</f>
        <v>7304</v>
      </c>
      <c r="C24" s="35">
        <f>'02_Assumptions'!$C$40</f>
        <v>0.95</v>
      </c>
      <c r="D24" s="34">
        <f>B24*C24</f>
        <v>6938.7999999999993</v>
      </c>
      <c r="E24" s="17"/>
      <c r="F24" s="17"/>
      <c r="G24" s="17"/>
      <c r="H24" s="17"/>
      <c r="I24" s="17"/>
      <c r="J24" s="17"/>
      <c r="K24" s="17"/>
      <c r="L24" s="16"/>
      <c r="M24" s="16"/>
      <c r="N24" s="16"/>
      <c r="O24" s="16"/>
    </row>
    <row r="25" spans="1:15">
      <c r="A25" s="17" t="s">
        <v>477</v>
      </c>
      <c r="B25" s="34">
        <f>F8</f>
        <v>2640</v>
      </c>
      <c r="C25" s="35">
        <f>'02_Assumptions'!$C$41</f>
        <v>0.9</v>
      </c>
      <c r="D25" s="34">
        <f>B25*C25</f>
        <v>2376</v>
      </c>
      <c r="E25" s="17"/>
      <c r="F25" s="17"/>
      <c r="G25" s="17"/>
      <c r="H25" s="17"/>
      <c r="I25" s="17"/>
      <c r="J25" s="17"/>
      <c r="K25" s="17"/>
      <c r="L25" s="16"/>
      <c r="M25" s="16"/>
      <c r="N25" s="16"/>
      <c r="O25" s="16"/>
    </row>
    <row r="26" spans="1:15">
      <c r="A26" s="17" t="s">
        <v>250</v>
      </c>
      <c r="B26" s="34">
        <f>H8</f>
        <v>44000</v>
      </c>
      <c r="C26" s="35">
        <f>'02_Assumptions'!$C$42</f>
        <v>0.92</v>
      </c>
      <c r="D26" s="34">
        <f>B26*C26</f>
        <v>40480</v>
      </c>
      <c r="E26" s="17"/>
      <c r="F26" s="17"/>
      <c r="G26" s="17"/>
      <c r="H26" s="17"/>
      <c r="I26" s="17"/>
      <c r="J26" s="17"/>
      <c r="K26" s="17"/>
      <c r="L26" s="16"/>
      <c r="M26" s="16"/>
      <c r="N26" s="16"/>
      <c r="O26" s="16"/>
    </row>
    <row r="27" spans="1:15">
      <c r="A27" s="17"/>
      <c r="B27" s="17"/>
      <c r="C27" s="17"/>
      <c r="D27" s="17"/>
      <c r="E27" s="17"/>
      <c r="F27" s="17"/>
      <c r="G27" s="17"/>
      <c r="H27" s="17"/>
      <c r="I27" s="17"/>
      <c r="J27" s="17"/>
      <c r="K27" s="17"/>
      <c r="L27" s="16"/>
      <c r="M27" s="16"/>
      <c r="N27" s="16"/>
      <c r="O27" s="16"/>
    </row>
    <row r="28" spans="1:15">
      <c r="A28" s="17"/>
      <c r="B28" s="17"/>
      <c r="C28" s="17"/>
      <c r="D28" s="17"/>
      <c r="E28" s="17"/>
      <c r="F28" s="17"/>
      <c r="G28" s="17"/>
      <c r="H28" s="17"/>
      <c r="I28" s="17"/>
      <c r="J28" s="17"/>
      <c r="K28" s="17"/>
      <c r="L28" s="16"/>
      <c r="M28" s="16"/>
      <c r="N28" s="16"/>
      <c r="O28" s="16"/>
    </row>
    <row r="29" spans="1:15" ht="20" customHeight="1">
      <c r="A29" s="211" t="s">
        <v>709</v>
      </c>
      <c r="B29" s="211"/>
      <c r="C29" s="211"/>
      <c r="D29" s="211"/>
      <c r="E29" s="211"/>
      <c r="F29" s="211"/>
      <c r="G29" s="211"/>
      <c r="H29" s="211"/>
      <c r="I29" s="17"/>
      <c r="J29" s="17"/>
      <c r="K29" s="17"/>
      <c r="L29" s="16"/>
      <c r="M29" s="16"/>
      <c r="N29" s="16"/>
      <c r="O29" s="16"/>
    </row>
    <row r="30" spans="1:15" ht="30" customHeight="1">
      <c r="A30" s="2" t="s">
        <v>710</v>
      </c>
      <c r="B30" s="3" t="s">
        <v>711</v>
      </c>
      <c r="C30" s="3" t="s">
        <v>712</v>
      </c>
      <c r="D30" s="3" t="s">
        <v>713</v>
      </c>
      <c r="E30" s="3" t="s">
        <v>714</v>
      </c>
      <c r="F30" s="3" t="s">
        <v>715</v>
      </c>
      <c r="G30" s="3" t="s">
        <v>656</v>
      </c>
      <c r="H30" s="4" t="s">
        <v>140</v>
      </c>
      <c r="I30" s="17"/>
      <c r="J30" s="17"/>
      <c r="K30" s="17"/>
      <c r="L30" s="16"/>
      <c r="M30" s="16"/>
      <c r="N30" s="16"/>
      <c r="O30" s="16"/>
    </row>
    <row r="31" spans="1:15" ht="23.25">
      <c r="A31" s="18" t="s">
        <v>716</v>
      </c>
      <c r="B31" s="18" t="s">
        <v>717</v>
      </c>
      <c r="C31" s="18" t="s">
        <v>718</v>
      </c>
      <c r="D31" s="18" t="s">
        <v>719</v>
      </c>
      <c r="E31" s="18" t="s">
        <v>720</v>
      </c>
      <c r="F31" s="37">
        <v>0</v>
      </c>
      <c r="G31" s="18" t="s">
        <v>721</v>
      </c>
      <c r="H31" s="18" t="s">
        <v>722</v>
      </c>
      <c r="I31" s="17"/>
      <c r="J31" s="17"/>
      <c r="K31" s="17"/>
      <c r="L31" s="16"/>
      <c r="M31" s="16"/>
      <c r="N31" s="16"/>
      <c r="O31" s="16"/>
    </row>
    <row r="32" spans="1:15" ht="23.25">
      <c r="A32" s="18" t="s">
        <v>482</v>
      </c>
      <c r="B32" s="18" t="s">
        <v>723</v>
      </c>
      <c r="C32" s="18" t="s">
        <v>724</v>
      </c>
      <c r="D32" s="18" t="s">
        <v>725</v>
      </c>
      <c r="E32" s="18" t="s">
        <v>726</v>
      </c>
      <c r="F32" s="37">
        <v>0</v>
      </c>
      <c r="G32" s="18" t="s">
        <v>721</v>
      </c>
      <c r="H32" s="18" t="s">
        <v>727</v>
      </c>
      <c r="I32" s="17"/>
      <c r="J32" s="17"/>
      <c r="K32" s="17"/>
      <c r="L32" s="16"/>
      <c r="M32" s="16"/>
      <c r="N32" s="16"/>
      <c r="O32" s="16"/>
    </row>
    <row r="33" spans="1:15" ht="23.25">
      <c r="A33" s="18" t="s">
        <v>484</v>
      </c>
      <c r="B33" s="18" t="s">
        <v>728</v>
      </c>
      <c r="C33" s="18" t="s">
        <v>729</v>
      </c>
      <c r="D33" s="18" t="s">
        <v>730</v>
      </c>
      <c r="E33" s="18" t="s">
        <v>731</v>
      </c>
      <c r="F33" s="37">
        <v>0</v>
      </c>
      <c r="G33" s="18" t="s">
        <v>721</v>
      </c>
      <c r="H33" s="18" t="s">
        <v>732</v>
      </c>
      <c r="I33" s="17"/>
      <c r="J33" s="17"/>
      <c r="K33" s="17"/>
      <c r="L33" s="16"/>
      <c r="M33" s="16"/>
      <c r="N33" s="16"/>
      <c r="O33" s="16"/>
    </row>
    <row r="34" spans="1:15" ht="23.25">
      <c r="A34" s="18" t="s">
        <v>733</v>
      </c>
      <c r="B34" s="18" t="s">
        <v>734</v>
      </c>
      <c r="C34" s="18" t="s">
        <v>735</v>
      </c>
      <c r="D34" s="18" t="s">
        <v>736</v>
      </c>
      <c r="E34" s="18" t="s">
        <v>737</v>
      </c>
      <c r="F34" s="37">
        <v>0</v>
      </c>
      <c r="G34" s="18" t="s">
        <v>721</v>
      </c>
      <c r="H34" s="18" t="s">
        <v>738</v>
      </c>
      <c r="I34" s="17"/>
      <c r="J34" s="17"/>
      <c r="K34" s="17"/>
      <c r="L34" s="16"/>
      <c r="M34" s="16"/>
      <c r="N34" s="16"/>
      <c r="O34" s="16"/>
    </row>
    <row r="35" spans="1:15" ht="23.25">
      <c r="A35" s="18" t="s">
        <v>739</v>
      </c>
      <c r="B35" s="18" t="s">
        <v>740</v>
      </c>
      <c r="C35" s="18" t="s">
        <v>741</v>
      </c>
      <c r="D35" s="18" t="s">
        <v>742</v>
      </c>
      <c r="E35" s="18" t="s">
        <v>743</v>
      </c>
      <c r="F35" s="37">
        <v>0</v>
      </c>
      <c r="G35" s="18" t="s">
        <v>721</v>
      </c>
      <c r="H35" s="18" t="s">
        <v>744</v>
      </c>
      <c r="I35" s="17"/>
      <c r="J35" s="17"/>
      <c r="K35" s="17"/>
      <c r="L35" s="16"/>
      <c r="M35" s="16"/>
      <c r="N35" s="16"/>
      <c r="O35" s="16"/>
    </row>
    <row r="36" spans="1:15" ht="23.25">
      <c r="A36" s="18" t="s">
        <v>745</v>
      </c>
      <c r="B36" s="18" t="s">
        <v>746</v>
      </c>
      <c r="C36" s="18" t="s">
        <v>685</v>
      </c>
      <c r="D36" s="18" t="s">
        <v>747</v>
      </c>
      <c r="E36" s="18" t="s">
        <v>748</v>
      </c>
      <c r="F36" s="37">
        <v>0</v>
      </c>
      <c r="G36" s="18" t="s">
        <v>749</v>
      </c>
      <c r="H36" s="18" t="s">
        <v>750</v>
      </c>
      <c r="I36" s="17"/>
      <c r="J36" s="17"/>
      <c r="K36" s="17"/>
      <c r="L36" s="16"/>
      <c r="M36" s="16"/>
      <c r="N36" s="16"/>
      <c r="O36" s="16"/>
    </row>
  </sheetData>
  <mergeCells count="7">
    <mergeCell ref="A22:D22"/>
    <mergeCell ref="A29:H29"/>
    <mergeCell ref="A1:K1"/>
    <mergeCell ref="A2:K2"/>
    <mergeCell ref="A4:K4"/>
    <mergeCell ref="A11:H11"/>
    <mergeCell ref="A19: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3"/>
  <sheetViews>
    <sheetView showGridLines="0" workbookViewId="0"/>
  </sheetViews>
  <sheetFormatPr defaultRowHeight="13.5"/>
  <cols>
    <col min="1" max="1" width="16" customWidth="1"/>
    <col min="2" max="2" width="31" customWidth="1"/>
    <col min="3" max="4" width="8" customWidth="1"/>
    <col min="5" max="7" width="12" customWidth="1"/>
    <col min="8" max="8" width="10" customWidth="1"/>
    <col min="9" max="10" width="12" customWidth="1"/>
    <col min="11" max="12" width="16" customWidth="1"/>
    <col min="13" max="13" width="32" customWidth="1"/>
    <col min="14" max="25" width="9" customWidth="1"/>
    <col min="26" max="26" width="12" customWidth="1"/>
  </cols>
  <sheetData>
    <row r="1" spans="1:26" ht="28.05" customHeight="1">
      <c r="A1" s="260" t="s">
        <v>751</v>
      </c>
      <c r="B1" s="260"/>
      <c r="C1" s="260"/>
      <c r="D1" s="260"/>
      <c r="E1" s="260"/>
      <c r="F1" s="260"/>
      <c r="G1" s="260"/>
      <c r="H1" s="260"/>
      <c r="I1" s="260"/>
      <c r="J1" s="260"/>
      <c r="K1" s="260"/>
      <c r="L1" s="260"/>
      <c r="M1" s="260"/>
      <c r="N1" s="260"/>
      <c r="O1" s="260"/>
      <c r="P1" s="260"/>
      <c r="Q1" s="260"/>
      <c r="R1" s="260"/>
      <c r="S1" s="260"/>
      <c r="T1" s="260"/>
      <c r="U1" s="260"/>
      <c r="V1" s="260"/>
      <c r="W1" s="260"/>
      <c r="X1" s="260"/>
      <c r="Y1" s="16"/>
      <c r="Z1" s="16"/>
    </row>
    <row r="2" spans="1:26" ht="38" customHeight="1">
      <c r="A2" s="207" t="s">
        <v>752</v>
      </c>
      <c r="B2" s="207"/>
      <c r="C2" s="207"/>
      <c r="D2" s="207"/>
      <c r="E2" s="207"/>
      <c r="F2" s="207"/>
      <c r="G2" s="207"/>
      <c r="H2" s="207"/>
      <c r="I2" s="207"/>
      <c r="J2" s="207"/>
      <c r="K2" s="207"/>
      <c r="L2" s="207"/>
      <c r="M2" s="207"/>
      <c r="N2" s="207"/>
      <c r="O2" s="207"/>
      <c r="P2" s="207"/>
      <c r="Q2" s="207"/>
      <c r="R2" s="207"/>
      <c r="S2" s="207"/>
      <c r="T2" s="207"/>
      <c r="U2" s="207"/>
      <c r="V2" s="207"/>
      <c r="W2" s="207"/>
      <c r="X2" s="207"/>
      <c r="Y2" s="103"/>
      <c r="Z2" s="103"/>
    </row>
    <row r="3" spans="1:26">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ht="20" customHeight="1">
      <c r="A4" s="254" t="s">
        <v>753</v>
      </c>
      <c r="B4" s="254"/>
      <c r="C4" s="254"/>
      <c r="D4" s="254"/>
      <c r="E4" s="254"/>
      <c r="F4" s="254"/>
      <c r="G4" s="254"/>
      <c r="H4" s="254"/>
      <c r="I4" s="254"/>
      <c r="J4" s="254"/>
      <c r="K4" s="254"/>
      <c r="L4" s="254"/>
      <c r="M4" s="254"/>
      <c r="N4" s="254"/>
      <c r="O4" s="254"/>
      <c r="P4" s="254"/>
      <c r="Q4" s="254"/>
      <c r="R4" s="254"/>
      <c r="S4" s="254"/>
      <c r="T4" s="254"/>
      <c r="U4" s="254"/>
      <c r="V4" s="254"/>
      <c r="W4" s="254"/>
      <c r="X4" s="254"/>
      <c r="Y4" s="16"/>
      <c r="Z4" s="16"/>
    </row>
    <row r="5" spans="1:26" ht="30" customHeight="1">
      <c r="A5" s="2" t="s">
        <v>754</v>
      </c>
      <c r="B5" s="3" t="s">
        <v>651</v>
      </c>
      <c r="C5" s="3" t="s">
        <v>755</v>
      </c>
      <c r="D5" s="3" t="s">
        <v>756</v>
      </c>
      <c r="E5" s="3" t="s">
        <v>757</v>
      </c>
      <c r="F5" s="3" t="s">
        <v>758</v>
      </c>
      <c r="G5" s="3" t="s">
        <v>759</v>
      </c>
      <c r="H5" s="3" t="s">
        <v>760</v>
      </c>
      <c r="I5" s="3" t="s">
        <v>761</v>
      </c>
      <c r="J5" s="3" t="s">
        <v>762</v>
      </c>
      <c r="K5" s="3" t="s">
        <v>763</v>
      </c>
      <c r="L5" s="3" t="s">
        <v>764</v>
      </c>
      <c r="M5" s="3" t="s">
        <v>765</v>
      </c>
      <c r="N5" s="3" t="s">
        <v>766</v>
      </c>
      <c r="O5" s="3" t="s">
        <v>767</v>
      </c>
      <c r="P5" s="3" t="s">
        <v>768</v>
      </c>
      <c r="Q5" s="3" t="s">
        <v>769</v>
      </c>
      <c r="R5" s="3" t="s">
        <v>770</v>
      </c>
      <c r="S5" s="3" t="s">
        <v>771</v>
      </c>
      <c r="T5" s="3" t="s">
        <v>772</v>
      </c>
      <c r="U5" s="3" t="s">
        <v>773</v>
      </c>
      <c r="V5" s="3" t="s">
        <v>774</v>
      </c>
      <c r="W5" s="3" t="s">
        <v>775</v>
      </c>
      <c r="X5" s="3" t="s">
        <v>776</v>
      </c>
      <c r="Y5" s="3" t="s">
        <v>777</v>
      </c>
      <c r="Z5" s="4" t="s">
        <v>778</v>
      </c>
    </row>
    <row r="6" spans="1:26">
      <c r="A6" s="18" t="s">
        <v>779</v>
      </c>
      <c r="B6" s="18" t="s">
        <v>780</v>
      </c>
      <c r="C6" s="18">
        <v>1</v>
      </c>
      <c r="D6" s="18">
        <v>1</v>
      </c>
      <c r="E6" s="18" t="s">
        <v>781</v>
      </c>
      <c r="F6" s="38">
        <v>1</v>
      </c>
      <c r="G6" s="38">
        <v>1</v>
      </c>
      <c r="H6" s="38">
        <v>30</v>
      </c>
      <c r="I6" s="38">
        <f t="shared" ref="I6:I25" si="0">F6*H6</f>
        <v>30</v>
      </c>
      <c r="J6" s="38">
        <f t="shared" ref="J6:J25" si="1">G6*H6</f>
        <v>30</v>
      </c>
      <c r="K6" s="37">
        <f>0</f>
        <v>0</v>
      </c>
      <c r="L6" s="37">
        <f>0</f>
        <v>0</v>
      </c>
      <c r="M6" s="18" t="s">
        <v>782</v>
      </c>
      <c r="N6" s="38">
        <f>IF(AND(1&gt;=$C6,1&lt;=$D6),($I6+($J6-$I6)*('02_Assumptions'!$C$8-1)/3)/($D6-$C6+1),0)</f>
        <v>30</v>
      </c>
      <c r="O6" s="38">
        <f>IF(AND(2&gt;=$C6,2&lt;=$D6),($I6+($J6-$I6)*('02_Assumptions'!$C$8-1)/3)/($D6-$C6+1),0)</f>
        <v>0</v>
      </c>
      <c r="P6" s="38">
        <f>IF(AND(3&gt;=$C6,3&lt;=$D6),($I6+($J6-$I6)*('02_Assumptions'!$C$8-1)/3)/($D6-$C6+1),0)</f>
        <v>0</v>
      </c>
      <c r="Q6" s="38">
        <f>IF(AND(4&gt;=$C6,4&lt;=$D6),($I6+($J6-$I6)*('02_Assumptions'!$C$8-1)/3)/($D6-$C6+1),0)</f>
        <v>0</v>
      </c>
      <c r="R6" s="38">
        <f>IF(AND(5&gt;=$C6,5&lt;=$D6),($I6+($J6-$I6)*('02_Assumptions'!$C$8-1)/3)/($D6-$C6+1),0)</f>
        <v>0</v>
      </c>
      <c r="S6" s="38">
        <f>IF(AND(6&gt;=$C6,6&lt;=$D6),($I6+($J6-$I6)*('02_Assumptions'!$C$8-1)/3)/($D6-$C6+1),0)</f>
        <v>0</v>
      </c>
      <c r="T6" s="38">
        <f>IF(AND(7&gt;=$C6,7&lt;=$D6),($I6+($J6-$I6)*('02_Assumptions'!$C$8-1)/3)/($D6-$C6+1),0)</f>
        <v>0</v>
      </c>
      <c r="U6" s="38">
        <f>IF(AND(8&gt;=$C6,8&lt;=$D6),($I6+($J6-$I6)*('02_Assumptions'!$C$8-1)/3)/($D6-$C6+1),0)</f>
        <v>0</v>
      </c>
      <c r="V6" s="38">
        <f>IF(AND(9&gt;=$C6,9&lt;=$D6),($I6+($J6-$I6)*('02_Assumptions'!$C$8-1)/3)/($D6-$C6+1),0)</f>
        <v>0</v>
      </c>
      <c r="W6" s="38">
        <f>IF(AND(10&gt;=$C6,10&lt;=$D6),($I6+($J6-$I6)*('02_Assumptions'!$C$8-1)/3)/($D6-$C6+1),0)</f>
        <v>0</v>
      </c>
      <c r="X6" s="38">
        <f>IF(AND(11&gt;=$C6,11&lt;=$D6),($I6+($J6-$I6)*('02_Assumptions'!$C$8-1)/3)/($D6-$C6+1),0)</f>
        <v>0</v>
      </c>
      <c r="Y6" s="38">
        <f>IF(AND(12&gt;=$C6,12&lt;=$D6),($I6+($J6-$I6)*('02_Assumptions'!$C$8-1)/3)/($D6-$C6+1),0)</f>
        <v>0</v>
      </c>
      <c r="Z6" s="38">
        <f>(I6+(J6-I6)*('02_Assumptions'!$C$8-1)/3)/(D6-C6+1)/'02_Assumptions'!$C$9</f>
        <v>1.2</v>
      </c>
    </row>
    <row r="7" spans="1:26">
      <c r="A7" s="18" t="s">
        <v>779</v>
      </c>
      <c r="B7" s="18" t="s">
        <v>783</v>
      </c>
      <c r="C7" s="18">
        <v>1</v>
      </c>
      <c r="D7" s="18">
        <v>2</v>
      </c>
      <c r="E7" s="18" t="s">
        <v>154</v>
      </c>
      <c r="F7" s="38">
        <v>1</v>
      </c>
      <c r="G7" s="38">
        <v>4</v>
      </c>
      <c r="H7" s="38">
        <v>40</v>
      </c>
      <c r="I7" s="38">
        <f t="shared" si="0"/>
        <v>40</v>
      </c>
      <c r="J7" s="38">
        <f t="shared" si="1"/>
        <v>160</v>
      </c>
      <c r="K7" s="37">
        <f>0</f>
        <v>0</v>
      </c>
      <c r="L7" s="37">
        <f>0</f>
        <v>0</v>
      </c>
      <c r="M7" s="18" t="s">
        <v>784</v>
      </c>
      <c r="N7" s="38">
        <f>IF(AND(1&gt;=$C7,1&lt;=$D7),($I7+($J7-$I7)*('02_Assumptions'!$C$8-1)/3)/($D7-$C7+1),0)</f>
        <v>20</v>
      </c>
      <c r="O7" s="38">
        <f>IF(AND(2&gt;=$C7,2&lt;=$D7),($I7+($J7-$I7)*('02_Assumptions'!$C$8-1)/3)/($D7-$C7+1),0)</f>
        <v>20</v>
      </c>
      <c r="P7" s="38">
        <f>IF(AND(3&gt;=$C7,3&lt;=$D7),($I7+($J7-$I7)*('02_Assumptions'!$C$8-1)/3)/($D7-$C7+1),0)</f>
        <v>0</v>
      </c>
      <c r="Q7" s="38">
        <f>IF(AND(4&gt;=$C7,4&lt;=$D7),($I7+($J7-$I7)*('02_Assumptions'!$C$8-1)/3)/($D7-$C7+1),0)</f>
        <v>0</v>
      </c>
      <c r="R7" s="38">
        <f>IF(AND(5&gt;=$C7,5&lt;=$D7),($I7+($J7-$I7)*('02_Assumptions'!$C$8-1)/3)/($D7-$C7+1),0)</f>
        <v>0</v>
      </c>
      <c r="S7" s="38">
        <f>IF(AND(6&gt;=$C7,6&lt;=$D7),($I7+($J7-$I7)*('02_Assumptions'!$C$8-1)/3)/($D7-$C7+1),0)</f>
        <v>0</v>
      </c>
      <c r="T7" s="38">
        <f>IF(AND(7&gt;=$C7,7&lt;=$D7),($I7+($J7-$I7)*('02_Assumptions'!$C$8-1)/3)/($D7-$C7+1),0)</f>
        <v>0</v>
      </c>
      <c r="U7" s="38">
        <f>IF(AND(8&gt;=$C7,8&lt;=$D7),($I7+($J7-$I7)*('02_Assumptions'!$C$8-1)/3)/($D7-$C7+1),0)</f>
        <v>0</v>
      </c>
      <c r="V7" s="38">
        <f>IF(AND(9&gt;=$C7,9&lt;=$D7),($I7+($J7-$I7)*('02_Assumptions'!$C$8-1)/3)/($D7-$C7+1),0)</f>
        <v>0</v>
      </c>
      <c r="W7" s="38">
        <f>IF(AND(10&gt;=$C7,10&lt;=$D7),($I7+($J7-$I7)*('02_Assumptions'!$C$8-1)/3)/($D7-$C7+1),0)</f>
        <v>0</v>
      </c>
      <c r="X7" s="38">
        <f>IF(AND(11&gt;=$C7,11&lt;=$D7),($I7+($J7-$I7)*('02_Assumptions'!$C$8-1)/3)/($D7-$C7+1),0)</f>
        <v>0</v>
      </c>
      <c r="Y7" s="38">
        <f>IF(AND(12&gt;=$C7,12&lt;=$D7),($I7+($J7-$I7)*('02_Assumptions'!$C$8-1)/3)/($D7-$C7+1),0)</f>
        <v>0</v>
      </c>
      <c r="Z7" s="38">
        <f>(I7+(J7-I7)*('02_Assumptions'!$C$8-1)/3)/(D7-C7+1)/'02_Assumptions'!$C$9</f>
        <v>0.8</v>
      </c>
    </row>
    <row r="8" spans="1:26">
      <c r="A8" s="18" t="s">
        <v>779</v>
      </c>
      <c r="B8" s="18" t="s">
        <v>785</v>
      </c>
      <c r="C8" s="18">
        <v>1</v>
      </c>
      <c r="D8" s="18">
        <v>2</v>
      </c>
      <c r="E8" s="18" t="s">
        <v>154</v>
      </c>
      <c r="F8" s="38">
        <v>1</v>
      </c>
      <c r="G8" s="38">
        <v>4</v>
      </c>
      <c r="H8" s="38">
        <v>30</v>
      </c>
      <c r="I8" s="38">
        <f t="shared" si="0"/>
        <v>30</v>
      </c>
      <c r="J8" s="38">
        <f t="shared" si="1"/>
        <v>120</v>
      </c>
      <c r="K8" s="37">
        <f>0</f>
        <v>0</v>
      </c>
      <c r="L8" s="37">
        <f>0</f>
        <v>0</v>
      </c>
      <c r="M8" s="18" t="s">
        <v>786</v>
      </c>
      <c r="N8" s="38">
        <f>IF(AND(1&gt;=$C8,1&lt;=$D8),($I8+($J8-$I8)*('02_Assumptions'!$C$8-1)/3)/($D8-$C8+1),0)</f>
        <v>15</v>
      </c>
      <c r="O8" s="38">
        <f>IF(AND(2&gt;=$C8,2&lt;=$D8),($I8+($J8-$I8)*('02_Assumptions'!$C$8-1)/3)/($D8-$C8+1),0)</f>
        <v>15</v>
      </c>
      <c r="P8" s="38">
        <f>IF(AND(3&gt;=$C8,3&lt;=$D8),($I8+($J8-$I8)*('02_Assumptions'!$C$8-1)/3)/($D8-$C8+1),0)</f>
        <v>0</v>
      </c>
      <c r="Q8" s="38">
        <f>IF(AND(4&gt;=$C8,4&lt;=$D8),($I8+($J8-$I8)*('02_Assumptions'!$C$8-1)/3)/($D8-$C8+1),0)</f>
        <v>0</v>
      </c>
      <c r="R8" s="38">
        <f>IF(AND(5&gt;=$C8,5&lt;=$D8),($I8+($J8-$I8)*('02_Assumptions'!$C$8-1)/3)/($D8-$C8+1),0)</f>
        <v>0</v>
      </c>
      <c r="S8" s="38">
        <f>IF(AND(6&gt;=$C8,6&lt;=$D8),($I8+($J8-$I8)*('02_Assumptions'!$C$8-1)/3)/($D8-$C8+1),0)</f>
        <v>0</v>
      </c>
      <c r="T8" s="38">
        <f>IF(AND(7&gt;=$C8,7&lt;=$D8),($I8+($J8-$I8)*('02_Assumptions'!$C$8-1)/3)/($D8-$C8+1),0)</f>
        <v>0</v>
      </c>
      <c r="U8" s="38">
        <f>IF(AND(8&gt;=$C8,8&lt;=$D8),($I8+($J8-$I8)*('02_Assumptions'!$C$8-1)/3)/($D8-$C8+1),0)</f>
        <v>0</v>
      </c>
      <c r="V8" s="38">
        <f>IF(AND(9&gt;=$C8,9&lt;=$D8),($I8+($J8-$I8)*('02_Assumptions'!$C$8-1)/3)/($D8-$C8+1),0)</f>
        <v>0</v>
      </c>
      <c r="W8" s="38">
        <f>IF(AND(10&gt;=$C8,10&lt;=$D8),($I8+($J8-$I8)*('02_Assumptions'!$C$8-1)/3)/($D8-$C8+1),0)</f>
        <v>0</v>
      </c>
      <c r="X8" s="38">
        <f>IF(AND(11&gt;=$C8,11&lt;=$D8),($I8+($J8-$I8)*('02_Assumptions'!$C$8-1)/3)/($D8-$C8+1),0)</f>
        <v>0</v>
      </c>
      <c r="Y8" s="38">
        <f>IF(AND(12&gt;=$C8,12&lt;=$D8),($I8+($J8-$I8)*('02_Assumptions'!$C$8-1)/3)/($D8-$C8+1),0)</f>
        <v>0</v>
      </c>
      <c r="Z8" s="38">
        <f>(I8+(J8-I8)*('02_Assumptions'!$C$8-1)/3)/(D8-C8+1)/'02_Assumptions'!$C$9</f>
        <v>0.6</v>
      </c>
    </row>
    <row r="9" spans="1:26">
      <c r="A9" s="18" t="s">
        <v>363</v>
      </c>
      <c r="B9" s="18" t="s">
        <v>787</v>
      </c>
      <c r="C9" s="18">
        <v>2</v>
      </c>
      <c r="D9" s="18">
        <v>3</v>
      </c>
      <c r="E9" s="18" t="s">
        <v>143</v>
      </c>
      <c r="F9" s="38">
        <f>'02_Assumptions'!$C$6</f>
        <v>100</v>
      </c>
      <c r="G9" s="38">
        <f>'02_Assumptions'!$C$6</f>
        <v>100</v>
      </c>
      <c r="H9" s="38">
        <v>0.2</v>
      </c>
      <c r="I9" s="38">
        <f t="shared" si="0"/>
        <v>20</v>
      </c>
      <c r="J9" s="38">
        <f t="shared" si="1"/>
        <v>20</v>
      </c>
      <c r="K9" s="37">
        <f>0</f>
        <v>0</v>
      </c>
      <c r="L9" s="37">
        <f>0</f>
        <v>0</v>
      </c>
      <c r="M9" s="18" t="s">
        <v>782</v>
      </c>
      <c r="N9" s="38">
        <f>IF(AND(1&gt;=$C9,1&lt;=$D9),($I9+($J9-$I9)*('02_Assumptions'!$C$8-1)/3)/($D9-$C9+1),0)</f>
        <v>0</v>
      </c>
      <c r="O9" s="38">
        <f>IF(AND(2&gt;=$C9,2&lt;=$D9),($I9+($J9-$I9)*('02_Assumptions'!$C$8-1)/3)/($D9-$C9+1),0)</f>
        <v>10</v>
      </c>
      <c r="P9" s="38">
        <f>IF(AND(3&gt;=$C9,3&lt;=$D9),($I9+($J9-$I9)*('02_Assumptions'!$C$8-1)/3)/($D9-$C9+1),0)</f>
        <v>10</v>
      </c>
      <c r="Q9" s="38">
        <f>IF(AND(4&gt;=$C9,4&lt;=$D9),($I9+($J9-$I9)*('02_Assumptions'!$C$8-1)/3)/($D9-$C9+1),0)</f>
        <v>0</v>
      </c>
      <c r="R9" s="38">
        <f>IF(AND(5&gt;=$C9,5&lt;=$D9),($I9+($J9-$I9)*('02_Assumptions'!$C$8-1)/3)/($D9-$C9+1),0)</f>
        <v>0</v>
      </c>
      <c r="S9" s="38">
        <f>IF(AND(6&gt;=$C9,6&lt;=$D9),($I9+($J9-$I9)*('02_Assumptions'!$C$8-1)/3)/($D9-$C9+1),0)</f>
        <v>0</v>
      </c>
      <c r="T9" s="38">
        <f>IF(AND(7&gt;=$C9,7&lt;=$D9),($I9+($J9-$I9)*('02_Assumptions'!$C$8-1)/3)/($D9-$C9+1),0)</f>
        <v>0</v>
      </c>
      <c r="U9" s="38">
        <f>IF(AND(8&gt;=$C9,8&lt;=$D9),($I9+($J9-$I9)*('02_Assumptions'!$C$8-1)/3)/($D9-$C9+1),0)</f>
        <v>0</v>
      </c>
      <c r="V9" s="38">
        <f>IF(AND(9&gt;=$C9,9&lt;=$D9),($I9+($J9-$I9)*('02_Assumptions'!$C$8-1)/3)/($D9-$C9+1),0)</f>
        <v>0</v>
      </c>
      <c r="W9" s="38">
        <f>IF(AND(10&gt;=$C9,10&lt;=$D9),($I9+($J9-$I9)*('02_Assumptions'!$C$8-1)/3)/($D9-$C9+1),0)</f>
        <v>0</v>
      </c>
      <c r="X9" s="38">
        <f>IF(AND(11&gt;=$C9,11&lt;=$D9),($I9+($J9-$I9)*('02_Assumptions'!$C$8-1)/3)/($D9-$C9+1),0)</f>
        <v>0</v>
      </c>
      <c r="Y9" s="38">
        <f>IF(AND(12&gt;=$C9,12&lt;=$D9),($I9+($J9-$I9)*('02_Assumptions'!$C$8-1)/3)/($D9-$C9+1),0)</f>
        <v>0</v>
      </c>
      <c r="Z9" s="38">
        <f>(I9+(J9-I9)*('02_Assumptions'!$C$8-1)/3)/(D9-C9+1)/'02_Assumptions'!$C$9</f>
        <v>0.4</v>
      </c>
    </row>
    <row r="10" spans="1:26">
      <c r="A10" s="18" t="s">
        <v>363</v>
      </c>
      <c r="B10" s="18" t="s">
        <v>788</v>
      </c>
      <c r="C10" s="18">
        <v>2</v>
      </c>
      <c r="D10" s="18">
        <v>3</v>
      </c>
      <c r="E10" s="18" t="s">
        <v>789</v>
      </c>
      <c r="F10" s="38">
        <f>'02_Assumptions'!$C$6/'02_Assumptions'!$C$96</f>
        <v>40</v>
      </c>
      <c r="G10" s="38">
        <f>'02_Assumptions'!$C$6/'02_Assumptions'!$C$96+12</f>
        <v>52</v>
      </c>
      <c r="H10" s="38">
        <v>1</v>
      </c>
      <c r="I10" s="38">
        <f t="shared" si="0"/>
        <v>40</v>
      </c>
      <c r="J10" s="38">
        <f t="shared" si="1"/>
        <v>52</v>
      </c>
      <c r="K10" s="37">
        <f>0</f>
        <v>0</v>
      </c>
      <c r="L10" s="37">
        <f>0</f>
        <v>0</v>
      </c>
      <c r="M10" s="18" t="s">
        <v>790</v>
      </c>
      <c r="N10" s="38">
        <f>IF(AND(1&gt;=$C10,1&lt;=$D10),($I10+($J10-$I10)*('02_Assumptions'!$C$8-1)/3)/($D10-$C10+1),0)</f>
        <v>0</v>
      </c>
      <c r="O10" s="38">
        <f>IF(AND(2&gt;=$C10,2&lt;=$D10),($I10+($J10-$I10)*('02_Assumptions'!$C$8-1)/3)/($D10-$C10+1),0)</f>
        <v>20</v>
      </c>
      <c r="P10" s="38">
        <f>IF(AND(3&gt;=$C10,3&lt;=$D10),($I10+($J10-$I10)*('02_Assumptions'!$C$8-1)/3)/($D10-$C10+1),0)</f>
        <v>20</v>
      </c>
      <c r="Q10" s="38">
        <f>IF(AND(4&gt;=$C10,4&lt;=$D10),($I10+($J10-$I10)*('02_Assumptions'!$C$8-1)/3)/($D10-$C10+1),0)</f>
        <v>0</v>
      </c>
      <c r="R10" s="38">
        <f>IF(AND(5&gt;=$C10,5&lt;=$D10),($I10+($J10-$I10)*('02_Assumptions'!$C$8-1)/3)/($D10-$C10+1),0)</f>
        <v>0</v>
      </c>
      <c r="S10" s="38">
        <f>IF(AND(6&gt;=$C10,6&lt;=$D10),($I10+($J10-$I10)*('02_Assumptions'!$C$8-1)/3)/($D10-$C10+1),0)</f>
        <v>0</v>
      </c>
      <c r="T10" s="38">
        <f>IF(AND(7&gt;=$C10,7&lt;=$D10),($I10+($J10-$I10)*('02_Assumptions'!$C$8-1)/3)/($D10-$C10+1),0)</f>
        <v>0</v>
      </c>
      <c r="U10" s="38">
        <f>IF(AND(8&gt;=$C10,8&lt;=$D10),($I10+($J10-$I10)*('02_Assumptions'!$C$8-1)/3)/($D10-$C10+1),0)</f>
        <v>0</v>
      </c>
      <c r="V10" s="38">
        <f>IF(AND(9&gt;=$C10,9&lt;=$D10),($I10+($J10-$I10)*('02_Assumptions'!$C$8-1)/3)/($D10-$C10+1),0)</f>
        <v>0</v>
      </c>
      <c r="W10" s="38">
        <f>IF(AND(10&gt;=$C10,10&lt;=$D10),($I10+($J10-$I10)*('02_Assumptions'!$C$8-1)/3)/($D10-$C10+1),0)</f>
        <v>0</v>
      </c>
      <c r="X10" s="38">
        <f>IF(AND(11&gt;=$C10,11&lt;=$D10),($I10+($J10-$I10)*('02_Assumptions'!$C$8-1)/3)/($D10-$C10+1),0)</f>
        <v>0</v>
      </c>
      <c r="Y10" s="38">
        <f>IF(AND(12&gt;=$C10,12&lt;=$D10),($I10+($J10-$I10)*('02_Assumptions'!$C$8-1)/3)/($D10-$C10+1),0)</f>
        <v>0</v>
      </c>
      <c r="Z10" s="38">
        <f>(I10+(J10-I10)*('02_Assumptions'!$C$8-1)/3)/(D10-C10+1)/'02_Assumptions'!$C$9</f>
        <v>0.8</v>
      </c>
    </row>
    <row r="11" spans="1:26">
      <c r="A11" s="18" t="s">
        <v>791</v>
      </c>
      <c r="B11" s="18" t="s">
        <v>792</v>
      </c>
      <c r="C11" s="18">
        <v>2</v>
      </c>
      <c r="D11" s="18">
        <v>3</v>
      </c>
      <c r="E11" s="18" t="s">
        <v>154</v>
      </c>
      <c r="F11" s="38">
        <v>1</v>
      </c>
      <c r="G11" s="38">
        <v>4</v>
      </c>
      <c r="H11" s="38">
        <v>60</v>
      </c>
      <c r="I11" s="38">
        <f t="shared" si="0"/>
        <v>60</v>
      </c>
      <c r="J11" s="38">
        <f t="shared" si="1"/>
        <v>240</v>
      </c>
      <c r="K11" s="37">
        <f>0</f>
        <v>0</v>
      </c>
      <c r="L11" s="37">
        <f>0</f>
        <v>0</v>
      </c>
      <c r="M11" s="18" t="s">
        <v>793</v>
      </c>
      <c r="N11" s="38">
        <f>IF(AND(1&gt;=$C11,1&lt;=$D11),($I11+($J11-$I11)*('02_Assumptions'!$C$8-1)/3)/($D11-$C11+1),0)</f>
        <v>0</v>
      </c>
      <c r="O11" s="38">
        <f>IF(AND(2&gt;=$C11,2&lt;=$D11),($I11+($J11-$I11)*('02_Assumptions'!$C$8-1)/3)/($D11-$C11+1),0)</f>
        <v>30</v>
      </c>
      <c r="P11" s="38">
        <f>IF(AND(3&gt;=$C11,3&lt;=$D11),($I11+($J11-$I11)*('02_Assumptions'!$C$8-1)/3)/($D11-$C11+1),0)</f>
        <v>30</v>
      </c>
      <c r="Q11" s="38">
        <f>IF(AND(4&gt;=$C11,4&lt;=$D11),($I11+($J11-$I11)*('02_Assumptions'!$C$8-1)/3)/($D11-$C11+1),0)</f>
        <v>0</v>
      </c>
      <c r="R11" s="38">
        <f>IF(AND(5&gt;=$C11,5&lt;=$D11),($I11+($J11-$I11)*('02_Assumptions'!$C$8-1)/3)/($D11-$C11+1),0)</f>
        <v>0</v>
      </c>
      <c r="S11" s="38">
        <f>IF(AND(6&gt;=$C11,6&lt;=$D11),($I11+($J11-$I11)*('02_Assumptions'!$C$8-1)/3)/($D11-$C11+1),0)</f>
        <v>0</v>
      </c>
      <c r="T11" s="38">
        <f>IF(AND(7&gt;=$C11,7&lt;=$D11),($I11+($J11-$I11)*('02_Assumptions'!$C$8-1)/3)/($D11-$C11+1),0)</f>
        <v>0</v>
      </c>
      <c r="U11" s="38">
        <f>IF(AND(8&gt;=$C11,8&lt;=$D11),($I11+($J11-$I11)*('02_Assumptions'!$C$8-1)/3)/($D11-$C11+1),0)</f>
        <v>0</v>
      </c>
      <c r="V11" s="38">
        <f>IF(AND(9&gt;=$C11,9&lt;=$D11),($I11+($J11-$I11)*('02_Assumptions'!$C$8-1)/3)/($D11-$C11+1),0)</f>
        <v>0</v>
      </c>
      <c r="W11" s="38">
        <f>IF(AND(10&gt;=$C11,10&lt;=$D11),($I11+($J11-$I11)*('02_Assumptions'!$C$8-1)/3)/($D11-$C11+1),0)</f>
        <v>0</v>
      </c>
      <c r="X11" s="38">
        <f>IF(AND(11&gt;=$C11,11&lt;=$D11),($I11+($J11-$I11)*('02_Assumptions'!$C$8-1)/3)/($D11-$C11+1),0)</f>
        <v>0</v>
      </c>
      <c r="Y11" s="38">
        <f>IF(AND(12&gt;=$C11,12&lt;=$D11),($I11+($J11-$I11)*('02_Assumptions'!$C$8-1)/3)/($D11-$C11+1),0)</f>
        <v>0</v>
      </c>
      <c r="Z11" s="38">
        <f>(I11+(J11-I11)*('02_Assumptions'!$C$8-1)/3)/(D11-C11+1)/'02_Assumptions'!$C$9</f>
        <v>1.2</v>
      </c>
    </row>
    <row r="12" spans="1:26">
      <c r="A12" s="18" t="s">
        <v>377</v>
      </c>
      <c r="B12" s="18" t="s">
        <v>794</v>
      </c>
      <c r="C12" s="18">
        <v>3</v>
      </c>
      <c r="D12" s="18">
        <v>4</v>
      </c>
      <c r="E12" s="18" t="s">
        <v>143</v>
      </c>
      <c r="F12" s="38">
        <f>'02_Assumptions'!$C$6</f>
        <v>100</v>
      </c>
      <c r="G12" s="38">
        <f>'02_Assumptions'!$C$6</f>
        <v>100</v>
      </c>
      <c r="H12" s="38">
        <v>2</v>
      </c>
      <c r="I12" s="38">
        <f t="shared" si="0"/>
        <v>200</v>
      </c>
      <c r="J12" s="38">
        <f t="shared" si="1"/>
        <v>200</v>
      </c>
      <c r="K12" s="37">
        <f>I12*'02_Assumptions'!$C$60</f>
        <v>24000000</v>
      </c>
      <c r="L12" s="37">
        <f>J12*'02_Assumptions'!$C$60</f>
        <v>24000000</v>
      </c>
      <c r="M12" s="18" t="s">
        <v>795</v>
      </c>
      <c r="N12" s="38">
        <f>IF(AND(1&gt;=$C12,1&lt;=$D12),($I12+($J12-$I12)*('02_Assumptions'!$C$8-1)/3)/($D12-$C12+1),0)</f>
        <v>0</v>
      </c>
      <c r="O12" s="38">
        <f>IF(AND(2&gt;=$C12,2&lt;=$D12),($I12+($J12-$I12)*('02_Assumptions'!$C$8-1)/3)/($D12-$C12+1),0)</f>
        <v>0</v>
      </c>
      <c r="P12" s="38">
        <f>IF(AND(3&gt;=$C12,3&lt;=$D12),($I12+($J12-$I12)*('02_Assumptions'!$C$8-1)/3)/($D12-$C12+1),0)</f>
        <v>100</v>
      </c>
      <c r="Q12" s="38">
        <f>IF(AND(4&gt;=$C12,4&lt;=$D12),($I12+($J12-$I12)*('02_Assumptions'!$C$8-1)/3)/($D12-$C12+1),0)</f>
        <v>100</v>
      </c>
      <c r="R12" s="38">
        <f>IF(AND(5&gt;=$C12,5&lt;=$D12),($I12+($J12-$I12)*('02_Assumptions'!$C$8-1)/3)/($D12-$C12+1),0)</f>
        <v>0</v>
      </c>
      <c r="S12" s="38">
        <f>IF(AND(6&gt;=$C12,6&lt;=$D12),($I12+($J12-$I12)*('02_Assumptions'!$C$8-1)/3)/($D12-$C12+1),0)</f>
        <v>0</v>
      </c>
      <c r="T12" s="38">
        <f>IF(AND(7&gt;=$C12,7&lt;=$D12),($I12+($J12-$I12)*('02_Assumptions'!$C$8-1)/3)/($D12-$C12+1),0)</f>
        <v>0</v>
      </c>
      <c r="U12" s="38">
        <f>IF(AND(8&gt;=$C12,8&lt;=$D12),($I12+($J12-$I12)*('02_Assumptions'!$C$8-1)/3)/($D12-$C12+1),0)</f>
        <v>0</v>
      </c>
      <c r="V12" s="38">
        <f>IF(AND(9&gt;=$C12,9&lt;=$D12),($I12+($J12-$I12)*('02_Assumptions'!$C$8-1)/3)/($D12-$C12+1),0)</f>
        <v>0</v>
      </c>
      <c r="W12" s="38">
        <f>IF(AND(10&gt;=$C12,10&lt;=$D12),($I12+($J12-$I12)*('02_Assumptions'!$C$8-1)/3)/($D12-$C12+1),0)</f>
        <v>0</v>
      </c>
      <c r="X12" s="38">
        <f>IF(AND(11&gt;=$C12,11&lt;=$D12),($I12+($J12-$I12)*('02_Assumptions'!$C$8-1)/3)/($D12-$C12+1),0)</f>
        <v>0</v>
      </c>
      <c r="Y12" s="38">
        <f>IF(AND(12&gt;=$C12,12&lt;=$D12),($I12+($J12-$I12)*('02_Assumptions'!$C$8-1)/3)/($D12-$C12+1),0)</f>
        <v>0</v>
      </c>
      <c r="Z12" s="38">
        <f>(I12+(J12-I12)*('02_Assumptions'!$C$8-1)/3)/(D12-C12+1)/'02_Assumptions'!$C$9</f>
        <v>4</v>
      </c>
    </row>
    <row r="13" spans="1:26">
      <c r="A13" s="18" t="s">
        <v>377</v>
      </c>
      <c r="B13" s="18" t="s">
        <v>796</v>
      </c>
      <c r="C13" s="18">
        <v>4</v>
      </c>
      <c r="D13" s="18">
        <v>6</v>
      </c>
      <c r="E13" s="18" t="s">
        <v>143</v>
      </c>
      <c r="F13" s="38">
        <f>'02_Assumptions'!$C$6</f>
        <v>100</v>
      </c>
      <c r="G13" s="38">
        <f>'02_Assumptions'!$C$6</f>
        <v>100</v>
      </c>
      <c r="H13" s="38">
        <v>18</v>
      </c>
      <c r="I13" s="38">
        <f t="shared" si="0"/>
        <v>1800</v>
      </c>
      <c r="J13" s="38">
        <f t="shared" si="1"/>
        <v>1800</v>
      </c>
      <c r="K13" s="37">
        <f>I13*'02_Assumptions'!$C$60</f>
        <v>216000000</v>
      </c>
      <c r="L13" s="37">
        <f>J13*'02_Assumptions'!$C$60</f>
        <v>216000000</v>
      </c>
      <c r="M13" s="18" t="s">
        <v>797</v>
      </c>
      <c r="N13" s="38">
        <f>IF(AND(1&gt;=$C13,1&lt;=$D13),($I13+($J13-$I13)*('02_Assumptions'!$C$8-1)/3)/($D13-$C13+1),0)</f>
        <v>0</v>
      </c>
      <c r="O13" s="38">
        <f>IF(AND(2&gt;=$C13,2&lt;=$D13),($I13+($J13-$I13)*('02_Assumptions'!$C$8-1)/3)/($D13-$C13+1),0)</f>
        <v>0</v>
      </c>
      <c r="P13" s="38">
        <f>IF(AND(3&gt;=$C13,3&lt;=$D13),($I13+($J13-$I13)*('02_Assumptions'!$C$8-1)/3)/($D13-$C13+1),0)</f>
        <v>0</v>
      </c>
      <c r="Q13" s="38">
        <f>IF(AND(4&gt;=$C13,4&lt;=$D13),($I13+($J13-$I13)*('02_Assumptions'!$C$8-1)/3)/($D13-$C13+1),0)</f>
        <v>600</v>
      </c>
      <c r="R13" s="38">
        <f>IF(AND(5&gt;=$C13,5&lt;=$D13),($I13+($J13-$I13)*('02_Assumptions'!$C$8-1)/3)/($D13-$C13+1),0)</f>
        <v>600</v>
      </c>
      <c r="S13" s="38">
        <f>IF(AND(6&gt;=$C13,6&lt;=$D13),($I13+($J13-$I13)*('02_Assumptions'!$C$8-1)/3)/($D13-$C13+1),0)</f>
        <v>600</v>
      </c>
      <c r="T13" s="38">
        <f>IF(AND(7&gt;=$C13,7&lt;=$D13),($I13+($J13-$I13)*('02_Assumptions'!$C$8-1)/3)/($D13-$C13+1),0)</f>
        <v>0</v>
      </c>
      <c r="U13" s="38">
        <f>IF(AND(8&gt;=$C13,8&lt;=$D13),($I13+($J13-$I13)*('02_Assumptions'!$C$8-1)/3)/($D13-$C13+1),0)</f>
        <v>0</v>
      </c>
      <c r="V13" s="38">
        <f>IF(AND(9&gt;=$C13,9&lt;=$D13),($I13+($J13-$I13)*('02_Assumptions'!$C$8-1)/3)/($D13-$C13+1),0)</f>
        <v>0</v>
      </c>
      <c r="W13" s="38">
        <f>IF(AND(10&gt;=$C13,10&lt;=$D13),($I13+($J13-$I13)*('02_Assumptions'!$C$8-1)/3)/($D13-$C13+1),0)</f>
        <v>0</v>
      </c>
      <c r="X13" s="38">
        <f>IF(AND(11&gt;=$C13,11&lt;=$D13),($I13+($J13-$I13)*('02_Assumptions'!$C$8-1)/3)/($D13-$C13+1),0)</f>
        <v>0</v>
      </c>
      <c r="Y13" s="38">
        <f>IF(AND(12&gt;=$C13,12&lt;=$D13),($I13+($J13-$I13)*('02_Assumptions'!$C$8-1)/3)/($D13-$C13+1),0)</f>
        <v>0</v>
      </c>
      <c r="Z13" s="38">
        <f>(I13+(J13-I13)*('02_Assumptions'!$C$8-1)/3)/(D13-C13+1)/'02_Assumptions'!$C$9</f>
        <v>24</v>
      </c>
    </row>
    <row r="14" spans="1:26">
      <c r="A14" s="18" t="s">
        <v>377</v>
      </c>
      <c r="B14" s="18" t="s">
        <v>798</v>
      </c>
      <c r="C14" s="18">
        <v>4</v>
      </c>
      <c r="D14" s="18">
        <v>7</v>
      </c>
      <c r="E14" s="18" t="s">
        <v>143</v>
      </c>
      <c r="F14" s="38">
        <f>'02_Assumptions'!$C$6</f>
        <v>100</v>
      </c>
      <c r="G14" s="38">
        <f>'02_Assumptions'!$C$6</f>
        <v>100</v>
      </c>
      <c r="H14" s="38">
        <v>8</v>
      </c>
      <c r="I14" s="38">
        <f t="shared" si="0"/>
        <v>800</v>
      </c>
      <c r="J14" s="38">
        <f t="shared" si="1"/>
        <v>800</v>
      </c>
      <c r="K14" s="37">
        <f>I14*'02_Assumptions'!$C$60</f>
        <v>96000000</v>
      </c>
      <c r="L14" s="37">
        <f>J14*'02_Assumptions'!$C$60</f>
        <v>96000000</v>
      </c>
      <c r="M14" s="18" t="s">
        <v>799</v>
      </c>
      <c r="N14" s="38">
        <f>IF(AND(1&gt;=$C14,1&lt;=$D14),($I14+($J14-$I14)*('02_Assumptions'!$C$8-1)/3)/($D14-$C14+1),0)</f>
        <v>0</v>
      </c>
      <c r="O14" s="38">
        <f>IF(AND(2&gt;=$C14,2&lt;=$D14),($I14+($J14-$I14)*('02_Assumptions'!$C$8-1)/3)/($D14-$C14+1),0)</f>
        <v>0</v>
      </c>
      <c r="P14" s="38">
        <f>IF(AND(3&gt;=$C14,3&lt;=$D14),($I14+($J14-$I14)*('02_Assumptions'!$C$8-1)/3)/($D14-$C14+1),0)</f>
        <v>0</v>
      </c>
      <c r="Q14" s="38">
        <f>IF(AND(4&gt;=$C14,4&lt;=$D14),($I14+($J14-$I14)*('02_Assumptions'!$C$8-1)/3)/($D14-$C14+1),0)</f>
        <v>200</v>
      </c>
      <c r="R14" s="38">
        <f>IF(AND(5&gt;=$C14,5&lt;=$D14),($I14+($J14-$I14)*('02_Assumptions'!$C$8-1)/3)/($D14-$C14+1),0)</f>
        <v>200</v>
      </c>
      <c r="S14" s="38">
        <f>IF(AND(6&gt;=$C14,6&lt;=$D14),($I14+($J14-$I14)*('02_Assumptions'!$C$8-1)/3)/($D14-$C14+1),0)</f>
        <v>200</v>
      </c>
      <c r="T14" s="38">
        <f>IF(AND(7&gt;=$C14,7&lt;=$D14),($I14+($J14-$I14)*('02_Assumptions'!$C$8-1)/3)/($D14-$C14+1),0)</f>
        <v>200</v>
      </c>
      <c r="U14" s="38">
        <f>IF(AND(8&gt;=$C14,8&lt;=$D14),($I14+($J14-$I14)*('02_Assumptions'!$C$8-1)/3)/($D14-$C14+1),0)</f>
        <v>0</v>
      </c>
      <c r="V14" s="38">
        <f>IF(AND(9&gt;=$C14,9&lt;=$D14),($I14+($J14-$I14)*('02_Assumptions'!$C$8-1)/3)/($D14-$C14+1),0)</f>
        <v>0</v>
      </c>
      <c r="W14" s="38">
        <f>IF(AND(10&gt;=$C14,10&lt;=$D14),($I14+($J14-$I14)*('02_Assumptions'!$C$8-1)/3)/($D14-$C14+1),0)</f>
        <v>0</v>
      </c>
      <c r="X14" s="38">
        <f>IF(AND(11&gt;=$C14,11&lt;=$D14),($I14+($J14-$I14)*('02_Assumptions'!$C$8-1)/3)/($D14-$C14+1),0)</f>
        <v>0</v>
      </c>
      <c r="Y14" s="38">
        <f>IF(AND(12&gt;=$C14,12&lt;=$D14),($I14+($J14-$I14)*('02_Assumptions'!$C$8-1)/3)/($D14-$C14+1),0)</f>
        <v>0</v>
      </c>
      <c r="Z14" s="38">
        <f>(I14+(J14-I14)*('02_Assumptions'!$C$8-1)/3)/(D14-C14+1)/'02_Assumptions'!$C$9</f>
        <v>8</v>
      </c>
    </row>
    <row r="15" spans="1:26">
      <c r="A15" s="18" t="s">
        <v>800</v>
      </c>
      <c r="B15" s="18" t="s">
        <v>801</v>
      </c>
      <c r="C15" s="18">
        <v>5</v>
      </c>
      <c r="D15" s="18">
        <v>7</v>
      </c>
      <c r="E15" s="18" t="s">
        <v>802</v>
      </c>
      <c r="F15" s="38">
        <f>'02_Assumptions'!$C$6*'02_Assumptions'!$C$7</f>
        <v>88</v>
      </c>
      <c r="G15" s="38">
        <f>'02_Assumptions'!$C$6*'02_Assumptions'!$C$7</f>
        <v>88</v>
      </c>
      <c r="H15" s="38">
        <v>5</v>
      </c>
      <c r="I15" s="38">
        <f t="shared" si="0"/>
        <v>440</v>
      </c>
      <c r="J15" s="38">
        <f t="shared" si="1"/>
        <v>440</v>
      </c>
      <c r="K15" s="37">
        <f>I15*'02_Assumptions'!$C$60</f>
        <v>52800000</v>
      </c>
      <c r="L15" s="37">
        <f>J15*'02_Assumptions'!$C$60</f>
        <v>52800000</v>
      </c>
      <c r="M15" s="18" t="s">
        <v>803</v>
      </c>
      <c r="N15" s="38">
        <f>IF(AND(1&gt;=$C15,1&lt;=$D15),($I15+($J15-$I15)*('02_Assumptions'!$C$8-1)/3)/($D15-$C15+1),0)</f>
        <v>0</v>
      </c>
      <c r="O15" s="38">
        <f>IF(AND(2&gt;=$C15,2&lt;=$D15),($I15+($J15-$I15)*('02_Assumptions'!$C$8-1)/3)/($D15-$C15+1),0)</f>
        <v>0</v>
      </c>
      <c r="P15" s="38">
        <f>IF(AND(3&gt;=$C15,3&lt;=$D15),($I15+($J15-$I15)*('02_Assumptions'!$C$8-1)/3)/($D15-$C15+1),0)</f>
        <v>0</v>
      </c>
      <c r="Q15" s="38">
        <f>IF(AND(4&gt;=$C15,4&lt;=$D15),($I15+($J15-$I15)*('02_Assumptions'!$C$8-1)/3)/($D15-$C15+1),0)</f>
        <v>0</v>
      </c>
      <c r="R15" s="38">
        <f>IF(AND(5&gt;=$C15,5&lt;=$D15),($I15+($J15-$I15)*('02_Assumptions'!$C$8-1)/3)/($D15-$C15+1),0)</f>
        <v>146.66666666666666</v>
      </c>
      <c r="S15" s="38">
        <f>IF(AND(6&gt;=$C15,6&lt;=$D15),($I15+($J15-$I15)*('02_Assumptions'!$C$8-1)/3)/($D15-$C15+1),0)</f>
        <v>146.66666666666666</v>
      </c>
      <c r="T15" s="38">
        <f>IF(AND(7&gt;=$C15,7&lt;=$D15),($I15+($J15-$I15)*('02_Assumptions'!$C$8-1)/3)/($D15-$C15+1),0)</f>
        <v>146.66666666666666</v>
      </c>
      <c r="U15" s="38">
        <f>IF(AND(8&gt;=$C15,8&lt;=$D15),($I15+($J15-$I15)*('02_Assumptions'!$C$8-1)/3)/($D15-$C15+1),0)</f>
        <v>0</v>
      </c>
      <c r="V15" s="38">
        <f>IF(AND(9&gt;=$C15,9&lt;=$D15),($I15+($J15-$I15)*('02_Assumptions'!$C$8-1)/3)/($D15-$C15+1),0)</f>
        <v>0</v>
      </c>
      <c r="W15" s="38">
        <f>IF(AND(10&gt;=$C15,10&lt;=$D15),($I15+($J15-$I15)*('02_Assumptions'!$C$8-1)/3)/($D15-$C15+1),0)</f>
        <v>0</v>
      </c>
      <c r="X15" s="38">
        <f>IF(AND(11&gt;=$C15,11&lt;=$D15),($I15+($J15-$I15)*('02_Assumptions'!$C$8-1)/3)/($D15-$C15+1),0)</f>
        <v>0</v>
      </c>
      <c r="Y15" s="38">
        <f>IF(AND(12&gt;=$C15,12&lt;=$D15),($I15+($J15-$I15)*('02_Assumptions'!$C$8-1)/3)/($D15-$C15+1),0)</f>
        <v>0</v>
      </c>
      <c r="Z15" s="38">
        <f>(I15+(J15-I15)*('02_Assumptions'!$C$8-1)/3)/(D15-C15+1)/'02_Assumptions'!$C$9</f>
        <v>5.8666666666666663</v>
      </c>
    </row>
    <row r="16" spans="1:26">
      <c r="A16" s="18" t="s">
        <v>406</v>
      </c>
      <c r="B16" s="18" t="s">
        <v>804</v>
      </c>
      <c r="C16" s="18">
        <v>6</v>
      </c>
      <c r="D16" s="18">
        <v>8</v>
      </c>
      <c r="E16" s="18" t="s">
        <v>802</v>
      </c>
      <c r="F16" s="38">
        <f>'02_Assumptions'!$C$6*'02_Assumptions'!$C$7</f>
        <v>88</v>
      </c>
      <c r="G16" s="38">
        <f>'02_Assumptions'!$C$6*'02_Assumptions'!$C$7</f>
        <v>88</v>
      </c>
      <c r="H16" s="38">
        <v>8</v>
      </c>
      <c r="I16" s="38">
        <f t="shared" si="0"/>
        <v>704</v>
      </c>
      <c r="J16" s="38">
        <f t="shared" si="1"/>
        <v>704</v>
      </c>
      <c r="K16" s="37">
        <f>I16*'02_Assumptions'!$C$60</f>
        <v>84480000</v>
      </c>
      <c r="L16" s="37">
        <f>J16*'02_Assumptions'!$C$60</f>
        <v>84480000</v>
      </c>
      <c r="M16" s="18" t="s">
        <v>805</v>
      </c>
      <c r="N16" s="38">
        <f>IF(AND(1&gt;=$C16,1&lt;=$D16),($I16+($J16-$I16)*('02_Assumptions'!$C$8-1)/3)/($D16-$C16+1),0)</f>
        <v>0</v>
      </c>
      <c r="O16" s="38">
        <f>IF(AND(2&gt;=$C16,2&lt;=$D16),($I16+($J16-$I16)*('02_Assumptions'!$C$8-1)/3)/($D16-$C16+1),0)</f>
        <v>0</v>
      </c>
      <c r="P16" s="38">
        <f>IF(AND(3&gt;=$C16,3&lt;=$D16),($I16+($J16-$I16)*('02_Assumptions'!$C$8-1)/3)/($D16-$C16+1),0)</f>
        <v>0</v>
      </c>
      <c r="Q16" s="38">
        <f>IF(AND(4&gt;=$C16,4&lt;=$D16),($I16+($J16-$I16)*('02_Assumptions'!$C$8-1)/3)/($D16-$C16+1),0)</f>
        <v>0</v>
      </c>
      <c r="R16" s="38">
        <f>IF(AND(5&gt;=$C16,5&lt;=$D16),($I16+($J16-$I16)*('02_Assumptions'!$C$8-1)/3)/($D16-$C16+1),0)</f>
        <v>0</v>
      </c>
      <c r="S16" s="38">
        <f>IF(AND(6&gt;=$C16,6&lt;=$D16),($I16+($J16-$I16)*('02_Assumptions'!$C$8-1)/3)/($D16-$C16+1),0)</f>
        <v>234.66666666666666</v>
      </c>
      <c r="T16" s="38">
        <f>IF(AND(7&gt;=$C16,7&lt;=$D16),($I16+($J16-$I16)*('02_Assumptions'!$C$8-1)/3)/($D16-$C16+1),0)</f>
        <v>234.66666666666666</v>
      </c>
      <c r="U16" s="38">
        <f>IF(AND(8&gt;=$C16,8&lt;=$D16),($I16+($J16-$I16)*('02_Assumptions'!$C$8-1)/3)/($D16-$C16+1),0)</f>
        <v>234.66666666666666</v>
      </c>
      <c r="V16" s="38">
        <f>IF(AND(9&gt;=$C16,9&lt;=$D16),($I16+($J16-$I16)*('02_Assumptions'!$C$8-1)/3)/($D16-$C16+1),0)</f>
        <v>0</v>
      </c>
      <c r="W16" s="38">
        <f>IF(AND(10&gt;=$C16,10&lt;=$D16),($I16+($J16-$I16)*('02_Assumptions'!$C$8-1)/3)/($D16-$C16+1),0)</f>
        <v>0</v>
      </c>
      <c r="X16" s="38">
        <f>IF(AND(11&gt;=$C16,11&lt;=$D16),($I16+($J16-$I16)*('02_Assumptions'!$C$8-1)/3)/($D16-$C16+1),0)</f>
        <v>0</v>
      </c>
      <c r="Y16" s="38">
        <f>IF(AND(12&gt;=$C16,12&lt;=$D16),($I16+($J16-$I16)*('02_Assumptions'!$C$8-1)/3)/($D16-$C16+1),0)</f>
        <v>0</v>
      </c>
      <c r="Z16" s="38">
        <f>(I16+(J16-I16)*('02_Assumptions'!$C$8-1)/3)/(D16-C16+1)/'02_Assumptions'!$C$9</f>
        <v>9.3866666666666667</v>
      </c>
    </row>
    <row r="17" spans="1:26">
      <c r="A17" s="18" t="s">
        <v>806</v>
      </c>
      <c r="B17" s="18" t="s">
        <v>807</v>
      </c>
      <c r="C17" s="18">
        <v>6</v>
      </c>
      <c r="D17" s="18">
        <v>8</v>
      </c>
      <c r="E17" s="18" t="s">
        <v>808</v>
      </c>
      <c r="F17" s="38">
        <f>'04_Planting_Design'!$D$8+'04_Planting_Design'!$F$8</f>
        <v>9944</v>
      </c>
      <c r="G17" s="38">
        <f>'04_Planting_Design'!$D$8+'04_Planting_Design'!$F$8</f>
        <v>9944</v>
      </c>
      <c r="H17" s="38">
        <v>0.08</v>
      </c>
      <c r="I17" s="38">
        <f t="shared" si="0"/>
        <v>795.52</v>
      </c>
      <c r="J17" s="38">
        <f t="shared" si="1"/>
        <v>795.52</v>
      </c>
      <c r="K17" s="37">
        <f>I17*'02_Assumptions'!$C$60</f>
        <v>95462400</v>
      </c>
      <c r="L17" s="37">
        <f>J17*'02_Assumptions'!$C$60</f>
        <v>95462400</v>
      </c>
      <c r="M17" s="18" t="s">
        <v>809</v>
      </c>
      <c r="N17" s="38">
        <f>IF(AND(1&gt;=$C17,1&lt;=$D17),($I17+($J17-$I17)*('02_Assumptions'!$C$8-1)/3)/($D17-$C17+1),0)</f>
        <v>0</v>
      </c>
      <c r="O17" s="38">
        <f>IF(AND(2&gt;=$C17,2&lt;=$D17),($I17+($J17-$I17)*('02_Assumptions'!$C$8-1)/3)/($D17-$C17+1),0)</f>
        <v>0</v>
      </c>
      <c r="P17" s="38">
        <f>IF(AND(3&gt;=$C17,3&lt;=$D17),($I17+($J17-$I17)*('02_Assumptions'!$C$8-1)/3)/($D17-$C17+1),0)</f>
        <v>0</v>
      </c>
      <c r="Q17" s="38">
        <f>IF(AND(4&gt;=$C17,4&lt;=$D17),($I17+($J17-$I17)*('02_Assumptions'!$C$8-1)/3)/($D17-$C17+1),0)</f>
        <v>0</v>
      </c>
      <c r="R17" s="38">
        <f>IF(AND(5&gt;=$C17,5&lt;=$D17),($I17+($J17-$I17)*('02_Assumptions'!$C$8-1)/3)/($D17-$C17+1),0)</f>
        <v>0</v>
      </c>
      <c r="S17" s="38">
        <f>IF(AND(6&gt;=$C17,6&lt;=$D17),($I17+($J17-$I17)*('02_Assumptions'!$C$8-1)/3)/($D17-$C17+1),0)</f>
        <v>265.17333333333335</v>
      </c>
      <c r="T17" s="38">
        <f>IF(AND(7&gt;=$C17,7&lt;=$D17),($I17+($J17-$I17)*('02_Assumptions'!$C$8-1)/3)/($D17-$C17+1),0)</f>
        <v>265.17333333333335</v>
      </c>
      <c r="U17" s="38">
        <f>IF(AND(8&gt;=$C17,8&lt;=$D17),($I17+($J17-$I17)*('02_Assumptions'!$C$8-1)/3)/($D17-$C17+1),0)</f>
        <v>265.17333333333335</v>
      </c>
      <c r="V17" s="38">
        <f>IF(AND(9&gt;=$C17,9&lt;=$D17),($I17+($J17-$I17)*('02_Assumptions'!$C$8-1)/3)/($D17-$C17+1),0)</f>
        <v>0</v>
      </c>
      <c r="W17" s="38">
        <f>IF(AND(10&gt;=$C17,10&lt;=$D17),($I17+($J17-$I17)*('02_Assumptions'!$C$8-1)/3)/($D17-$C17+1),0)</f>
        <v>0</v>
      </c>
      <c r="X17" s="38">
        <f>IF(AND(11&gt;=$C17,11&lt;=$D17),($I17+($J17-$I17)*('02_Assumptions'!$C$8-1)/3)/($D17-$C17+1),0)</f>
        <v>0</v>
      </c>
      <c r="Y17" s="38">
        <f>IF(AND(12&gt;=$C17,12&lt;=$D17),($I17+($J17-$I17)*('02_Assumptions'!$C$8-1)/3)/($D17-$C17+1),0)</f>
        <v>0</v>
      </c>
      <c r="Z17" s="38">
        <f>(I17+(J17-I17)*('02_Assumptions'!$C$8-1)/3)/(D17-C17+1)/'02_Assumptions'!$C$9</f>
        <v>10.606933333333334</v>
      </c>
    </row>
    <row r="18" spans="1:26">
      <c r="A18" s="18" t="s">
        <v>806</v>
      </c>
      <c r="B18" s="18" t="s">
        <v>810</v>
      </c>
      <c r="C18" s="18">
        <v>6</v>
      </c>
      <c r="D18" s="18">
        <v>9</v>
      </c>
      <c r="E18" s="18" t="s">
        <v>808</v>
      </c>
      <c r="F18" s="38">
        <f>'04_Planting_Design'!$H$8</f>
        <v>44000</v>
      </c>
      <c r="G18" s="38">
        <f>'04_Planting_Design'!$H$8</f>
        <v>44000</v>
      </c>
      <c r="H18" s="38">
        <v>2.5000000000000001E-2</v>
      </c>
      <c r="I18" s="38">
        <f t="shared" si="0"/>
        <v>1100</v>
      </c>
      <c r="J18" s="38">
        <f t="shared" si="1"/>
        <v>1100</v>
      </c>
      <c r="K18" s="37">
        <f>I18*'02_Assumptions'!$C$60</f>
        <v>132000000</v>
      </c>
      <c r="L18" s="37">
        <f>J18*'02_Assumptions'!$C$60</f>
        <v>132000000</v>
      </c>
      <c r="M18" s="18" t="s">
        <v>811</v>
      </c>
      <c r="N18" s="38">
        <f>IF(AND(1&gt;=$C18,1&lt;=$D18),($I18+($J18-$I18)*('02_Assumptions'!$C$8-1)/3)/($D18-$C18+1),0)</f>
        <v>0</v>
      </c>
      <c r="O18" s="38">
        <f>IF(AND(2&gt;=$C18,2&lt;=$D18),($I18+($J18-$I18)*('02_Assumptions'!$C$8-1)/3)/($D18-$C18+1),0)</f>
        <v>0</v>
      </c>
      <c r="P18" s="38">
        <f>IF(AND(3&gt;=$C18,3&lt;=$D18),($I18+($J18-$I18)*('02_Assumptions'!$C$8-1)/3)/($D18-$C18+1),0)</f>
        <v>0</v>
      </c>
      <c r="Q18" s="38">
        <f>IF(AND(4&gt;=$C18,4&lt;=$D18),($I18+($J18-$I18)*('02_Assumptions'!$C$8-1)/3)/($D18-$C18+1),0)</f>
        <v>0</v>
      </c>
      <c r="R18" s="38">
        <f>IF(AND(5&gt;=$C18,5&lt;=$D18),($I18+($J18-$I18)*('02_Assumptions'!$C$8-1)/3)/($D18-$C18+1),0)</f>
        <v>0</v>
      </c>
      <c r="S18" s="38">
        <f>IF(AND(6&gt;=$C18,6&lt;=$D18),($I18+($J18-$I18)*('02_Assumptions'!$C$8-1)/3)/($D18-$C18+1),0)</f>
        <v>275</v>
      </c>
      <c r="T18" s="38">
        <f>IF(AND(7&gt;=$C18,7&lt;=$D18),($I18+($J18-$I18)*('02_Assumptions'!$C$8-1)/3)/($D18-$C18+1),0)</f>
        <v>275</v>
      </c>
      <c r="U18" s="38">
        <f>IF(AND(8&gt;=$C18,8&lt;=$D18),($I18+($J18-$I18)*('02_Assumptions'!$C$8-1)/3)/($D18-$C18+1),0)</f>
        <v>275</v>
      </c>
      <c r="V18" s="38">
        <f>IF(AND(9&gt;=$C18,9&lt;=$D18),($I18+($J18-$I18)*('02_Assumptions'!$C$8-1)/3)/($D18-$C18+1),0)</f>
        <v>275</v>
      </c>
      <c r="W18" s="38">
        <f>IF(AND(10&gt;=$C18,10&lt;=$D18),($I18+($J18-$I18)*('02_Assumptions'!$C$8-1)/3)/($D18-$C18+1),0)</f>
        <v>0</v>
      </c>
      <c r="X18" s="38">
        <f>IF(AND(11&gt;=$C18,11&lt;=$D18),($I18+($J18-$I18)*('02_Assumptions'!$C$8-1)/3)/($D18-$C18+1),0)</f>
        <v>0</v>
      </c>
      <c r="Y18" s="38">
        <f>IF(AND(12&gt;=$C18,12&lt;=$D18),($I18+($J18-$I18)*('02_Assumptions'!$C$8-1)/3)/($D18-$C18+1),0)</f>
        <v>0</v>
      </c>
      <c r="Z18" s="38">
        <f>(I18+(J18-I18)*('02_Assumptions'!$C$8-1)/3)/(D18-C18+1)/'02_Assumptions'!$C$9</f>
        <v>11</v>
      </c>
    </row>
    <row r="19" spans="1:26">
      <c r="A19" s="18" t="s">
        <v>806</v>
      </c>
      <c r="B19" s="18" t="s">
        <v>812</v>
      </c>
      <c r="C19" s="18">
        <v>8</v>
      </c>
      <c r="D19" s="18">
        <v>10</v>
      </c>
      <c r="E19" s="18" t="s">
        <v>813</v>
      </c>
      <c r="F19" s="38">
        <f>'04_Planting_Design'!$D$8+'04_Planting_Design'!$F$8</f>
        <v>9944</v>
      </c>
      <c r="G19" s="38">
        <f>'04_Planting_Design'!$D$8+'04_Planting_Design'!$F$8</f>
        <v>9944</v>
      </c>
      <c r="H19" s="38">
        <v>0.04</v>
      </c>
      <c r="I19" s="38">
        <f t="shared" si="0"/>
        <v>397.76</v>
      </c>
      <c r="J19" s="38">
        <f t="shared" si="1"/>
        <v>397.76</v>
      </c>
      <c r="K19" s="37">
        <f>I19*'02_Assumptions'!$C$60</f>
        <v>47731200</v>
      </c>
      <c r="L19" s="37">
        <f>J19*'02_Assumptions'!$C$60</f>
        <v>47731200</v>
      </c>
      <c r="M19" s="18" t="s">
        <v>814</v>
      </c>
      <c r="N19" s="38">
        <f>IF(AND(1&gt;=$C19,1&lt;=$D19),($I19+($J19-$I19)*('02_Assumptions'!$C$8-1)/3)/($D19-$C19+1),0)</f>
        <v>0</v>
      </c>
      <c r="O19" s="38">
        <f>IF(AND(2&gt;=$C19,2&lt;=$D19),($I19+($J19-$I19)*('02_Assumptions'!$C$8-1)/3)/($D19-$C19+1),0)</f>
        <v>0</v>
      </c>
      <c r="P19" s="38">
        <f>IF(AND(3&gt;=$C19,3&lt;=$D19),($I19+($J19-$I19)*('02_Assumptions'!$C$8-1)/3)/($D19-$C19+1),0)</f>
        <v>0</v>
      </c>
      <c r="Q19" s="38">
        <f>IF(AND(4&gt;=$C19,4&lt;=$D19),($I19+($J19-$I19)*('02_Assumptions'!$C$8-1)/3)/($D19-$C19+1),0)</f>
        <v>0</v>
      </c>
      <c r="R19" s="38">
        <f>IF(AND(5&gt;=$C19,5&lt;=$D19),($I19+($J19-$I19)*('02_Assumptions'!$C$8-1)/3)/($D19-$C19+1),0)</f>
        <v>0</v>
      </c>
      <c r="S19" s="38">
        <f>IF(AND(6&gt;=$C19,6&lt;=$D19),($I19+($J19-$I19)*('02_Assumptions'!$C$8-1)/3)/($D19-$C19+1),0)</f>
        <v>0</v>
      </c>
      <c r="T19" s="38">
        <f>IF(AND(7&gt;=$C19,7&lt;=$D19),($I19+($J19-$I19)*('02_Assumptions'!$C$8-1)/3)/($D19-$C19+1),0)</f>
        <v>0</v>
      </c>
      <c r="U19" s="38">
        <f>IF(AND(8&gt;=$C19,8&lt;=$D19),($I19+($J19-$I19)*('02_Assumptions'!$C$8-1)/3)/($D19-$C19+1),0)</f>
        <v>132.58666666666667</v>
      </c>
      <c r="V19" s="38">
        <f>IF(AND(9&gt;=$C19,9&lt;=$D19),($I19+($J19-$I19)*('02_Assumptions'!$C$8-1)/3)/($D19-$C19+1),0)</f>
        <v>132.58666666666667</v>
      </c>
      <c r="W19" s="38">
        <f>IF(AND(10&gt;=$C19,10&lt;=$D19),($I19+($J19-$I19)*('02_Assumptions'!$C$8-1)/3)/($D19-$C19+1),0)</f>
        <v>132.58666666666667</v>
      </c>
      <c r="X19" s="38">
        <f>IF(AND(11&gt;=$C19,11&lt;=$D19),($I19+($J19-$I19)*('02_Assumptions'!$C$8-1)/3)/($D19-$C19+1),0)</f>
        <v>0</v>
      </c>
      <c r="Y19" s="38">
        <f>IF(AND(12&gt;=$C19,12&lt;=$D19),($I19+($J19-$I19)*('02_Assumptions'!$C$8-1)/3)/($D19-$C19+1),0)</f>
        <v>0</v>
      </c>
      <c r="Z19" s="38">
        <f>(I19+(J19-I19)*('02_Assumptions'!$C$8-1)/3)/(D19-C19+1)/'02_Assumptions'!$C$9</f>
        <v>5.303466666666667</v>
      </c>
    </row>
    <row r="20" spans="1:26">
      <c r="A20" s="18" t="s">
        <v>806</v>
      </c>
      <c r="B20" s="18" t="s">
        <v>815</v>
      </c>
      <c r="C20" s="18">
        <v>8</v>
      </c>
      <c r="D20" s="18">
        <v>10</v>
      </c>
      <c r="E20" s="18" t="s">
        <v>813</v>
      </c>
      <c r="F20" s="38">
        <f>'04_Planting_Design'!$H$8</f>
        <v>44000</v>
      </c>
      <c r="G20" s="38">
        <f>'04_Planting_Design'!$H$8</f>
        <v>44000</v>
      </c>
      <c r="H20" s="38">
        <v>1.4999999999999999E-2</v>
      </c>
      <c r="I20" s="38">
        <f t="shared" si="0"/>
        <v>660</v>
      </c>
      <c r="J20" s="38">
        <f t="shared" si="1"/>
        <v>660</v>
      </c>
      <c r="K20" s="37">
        <f>I20*'02_Assumptions'!$C$60</f>
        <v>79200000</v>
      </c>
      <c r="L20" s="37">
        <f>J20*'02_Assumptions'!$C$60</f>
        <v>79200000</v>
      </c>
      <c r="M20" s="18" t="s">
        <v>816</v>
      </c>
      <c r="N20" s="38">
        <f>IF(AND(1&gt;=$C20,1&lt;=$D20),($I20+($J20-$I20)*('02_Assumptions'!$C$8-1)/3)/($D20-$C20+1),0)</f>
        <v>0</v>
      </c>
      <c r="O20" s="38">
        <f>IF(AND(2&gt;=$C20,2&lt;=$D20),($I20+($J20-$I20)*('02_Assumptions'!$C$8-1)/3)/($D20-$C20+1),0)</f>
        <v>0</v>
      </c>
      <c r="P20" s="38">
        <f>IF(AND(3&gt;=$C20,3&lt;=$D20),($I20+($J20-$I20)*('02_Assumptions'!$C$8-1)/3)/($D20-$C20+1),0)</f>
        <v>0</v>
      </c>
      <c r="Q20" s="38">
        <f>IF(AND(4&gt;=$C20,4&lt;=$D20),($I20+($J20-$I20)*('02_Assumptions'!$C$8-1)/3)/($D20-$C20+1),0)</f>
        <v>0</v>
      </c>
      <c r="R20" s="38">
        <f>IF(AND(5&gt;=$C20,5&lt;=$D20),($I20+($J20-$I20)*('02_Assumptions'!$C$8-1)/3)/($D20-$C20+1),0)</f>
        <v>0</v>
      </c>
      <c r="S20" s="38">
        <f>IF(AND(6&gt;=$C20,6&lt;=$D20),($I20+($J20-$I20)*('02_Assumptions'!$C$8-1)/3)/($D20-$C20+1),0)</f>
        <v>0</v>
      </c>
      <c r="T20" s="38">
        <f>IF(AND(7&gt;=$C20,7&lt;=$D20),($I20+($J20-$I20)*('02_Assumptions'!$C$8-1)/3)/($D20-$C20+1),0)</f>
        <v>0</v>
      </c>
      <c r="U20" s="38">
        <f>IF(AND(8&gt;=$C20,8&lt;=$D20),($I20+($J20-$I20)*('02_Assumptions'!$C$8-1)/3)/($D20-$C20+1),0)</f>
        <v>220</v>
      </c>
      <c r="V20" s="38">
        <f>IF(AND(9&gt;=$C20,9&lt;=$D20),($I20+($J20-$I20)*('02_Assumptions'!$C$8-1)/3)/($D20-$C20+1),0)</f>
        <v>220</v>
      </c>
      <c r="W20" s="38">
        <f>IF(AND(10&gt;=$C20,10&lt;=$D20),($I20+($J20-$I20)*('02_Assumptions'!$C$8-1)/3)/($D20-$C20+1),0)</f>
        <v>220</v>
      </c>
      <c r="X20" s="38">
        <f>IF(AND(11&gt;=$C20,11&lt;=$D20),($I20+($J20-$I20)*('02_Assumptions'!$C$8-1)/3)/($D20-$C20+1),0)</f>
        <v>0</v>
      </c>
      <c r="Y20" s="38">
        <f>IF(AND(12&gt;=$C20,12&lt;=$D20),($I20+($J20-$I20)*('02_Assumptions'!$C$8-1)/3)/($D20-$C20+1),0)</f>
        <v>0</v>
      </c>
      <c r="Z20" s="38">
        <f>(I20+(J20-I20)*('02_Assumptions'!$C$8-1)/3)/(D20-C20+1)/'02_Assumptions'!$C$9</f>
        <v>8.8000000000000007</v>
      </c>
    </row>
    <row r="21" spans="1:26">
      <c r="A21" s="18" t="s">
        <v>289</v>
      </c>
      <c r="B21" s="18" t="s">
        <v>817</v>
      </c>
      <c r="C21" s="18">
        <v>8</v>
      </c>
      <c r="D21" s="18">
        <v>10</v>
      </c>
      <c r="E21" s="18" t="s">
        <v>813</v>
      </c>
      <c r="F21" s="38">
        <f>'04_Planting_Design'!$I$8+'04_Planting_Design'!$J$8+'04_Planting_Design'!$K$8</f>
        <v>74800</v>
      </c>
      <c r="G21" s="38">
        <f>'04_Planting_Design'!$I$8+'04_Planting_Design'!$J$8+'04_Planting_Design'!$K$8</f>
        <v>74800</v>
      </c>
      <c r="H21" s="38">
        <v>6.0000000000000001E-3</v>
      </c>
      <c r="I21" s="38">
        <f t="shared" si="0"/>
        <v>448.8</v>
      </c>
      <c r="J21" s="38">
        <f t="shared" si="1"/>
        <v>448.8</v>
      </c>
      <c r="K21" s="37">
        <f>I21*'02_Assumptions'!$C$60</f>
        <v>53856000</v>
      </c>
      <c r="L21" s="37">
        <f>J21*'02_Assumptions'!$C$60</f>
        <v>53856000</v>
      </c>
      <c r="M21" s="18" t="s">
        <v>818</v>
      </c>
      <c r="N21" s="38">
        <f>IF(AND(1&gt;=$C21,1&lt;=$D21),($I21+($J21-$I21)*('02_Assumptions'!$C$8-1)/3)/($D21-$C21+1),0)</f>
        <v>0</v>
      </c>
      <c r="O21" s="38">
        <f>IF(AND(2&gt;=$C21,2&lt;=$D21),($I21+($J21-$I21)*('02_Assumptions'!$C$8-1)/3)/($D21-$C21+1),0)</f>
        <v>0</v>
      </c>
      <c r="P21" s="38">
        <f>IF(AND(3&gt;=$C21,3&lt;=$D21),($I21+($J21-$I21)*('02_Assumptions'!$C$8-1)/3)/($D21-$C21+1),0)</f>
        <v>0</v>
      </c>
      <c r="Q21" s="38">
        <f>IF(AND(4&gt;=$C21,4&lt;=$D21),($I21+($J21-$I21)*('02_Assumptions'!$C$8-1)/3)/($D21-$C21+1),0)</f>
        <v>0</v>
      </c>
      <c r="R21" s="38">
        <f>IF(AND(5&gt;=$C21,5&lt;=$D21),($I21+($J21-$I21)*('02_Assumptions'!$C$8-1)/3)/($D21-$C21+1),0)</f>
        <v>0</v>
      </c>
      <c r="S21" s="38">
        <f>IF(AND(6&gt;=$C21,6&lt;=$D21),($I21+($J21-$I21)*('02_Assumptions'!$C$8-1)/3)/($D21-$C21+1),0)</f>
        <v>0</v>
      </c>
      <c r="T21" s="38">
        <f>IF(AND(7&gt;=$C21,7&lt;=$D21),($I21+($J21-$I21)*('02_Assumptions'!$C$8-1)/3)/($D21-$C21+1),0)</f>
        <v>0</v>
      </c>
      <c r="U21" s="38">
        <f>IF(AND(8&gt;=$C21,8&lt;=$D21),($I21+($J21-$I21)*('02_Assumptions'!$C$8-1)/3)/($D21-$C21+1),0)</f>
        <v>149.6</v>
      </c>
      <c r="V21" s="38">
        <f>IF(AND(9&gt;=$C21,9&lt;=$D21),($I21+($J21-$I21)*('02_Assumptions'!$C$8-1)/3)/($D21-$C21+1),0)</f>
        <v>149.6</v>
      </c>
      <c r="W21" s="38">
        <f>IF(AND(10&gt;=$C21,10&lt;=$D21),($I21+($J21-$I21)*('02_Assumptions'!$C$8-1)/3)/($D21-$C21+1),0)</f>
        <v>149.6</v>
      </c>
      <c r="X21" s="38">
        <f>IF(AND(11&gt;=$C21,11&lt;=$D21),($I21+($J21-$I21)*('02_Assumptions'!$C$8-1)/3)/($D21-$C21+1),0)</f>
        <v>0</v>
      </c>
      <c r="Y21" s="38">
        <f>IF(AND(12&gt;=$C21,12&lt;=$D21),($I21+($J21-$I21)*('02_Assumptions'!$C$8-1)/3)/($D21-$C21+1),0)</f>
        <v>0</v>
      </c>
      <c r="Z21" s="38">
        <f>(I21+(J21-I21)*('02_Assumptions'!$C$8-1)/3)/(D21-C21+1)/'02_Assumptions'!$C$9</f>
        <v>5.984</v>
      </c>
    </row>
    <row r="22" spans="1:26">
      <c r="A22" s="18" t="s">
        <v>400</v>
      </c>
      <c r="B22" s="18" t="s">
        <v>819</v>
      </c>
      <c r="C22" s="18">
        <v>6</v>
      </c>
      <c r="D22" s="18">
        <v>9</v>
      </c>
      <c r="E22" s="18" t="s">
        <v>154</v>
      </c>
      <c r="F22" s="38">
        <v>1</v>
      </c>
      <c r="G22" s="38">
        <v>4</v>
      </c>
      <c r="H22" s="38">
        <v>120</v>
      </c>
      <c r="I22" s="38">
        <f t="shared" si="0"/>
        <v>120</v>
      </c>
      <c r="J22" s="38">
        <f t="shared" si="1"/>
        <v>480</v>
      </c>
      <c r="K22" s="37">
        <f>I22*'02_Assumptions'!$C$60</f>
        <v>14400000</v>
      </c>
      <c r="L22" s="37">
        <f>J22*'02_Assumptions'!$C$60</f>
        <v>57600000</v>
      </c>
      <c r="M22" s="18" t="s">
        <v>820</v>
      </c>
      <c r="N22" s="38">
        <f>IF(AND(1&gt;=$C22,1&lt;=$D22),($I22+($J22-$I22)*('02_Assumptions'!$C$8-1)/3)/($D22-$C22+1),0)</f>
        <v>0</v>
      </c>
      <c r="O22" s="38">
        <f>IF(AND(2&gt;=$C22,2&lt;=$D22),($I22+($J22-$I22)*('02_Assumptions'!$C$8-1)/3)/($D22-$C22+1),0)</f>
        <v>0</v>
      </c>
      <c r="P22" s="38">
        <f>IF(AND(3&gt;=$C22,3&lt;=$D22),($I22+($J22-$I22)*('02_Assumptions'!$C$8-1)/3)/($D22-$C22+1),0)</f>
        <v>0</v>
      </c>
      <c r="Q22" s="38">
        <f>IF(AND(4&gt;=$C22,4&lt;=$D22),($I22+($J22-$I22)*('02_Assumptions'!$C$8-1)/3)/($D22-$C22+1),0)</f>
        <v>0</v>
      </c>
      <c r="R22" s="38">
        <f>IF(AND(5&gt;=$C22,5&lt;=$D22),($I22+($J22-$I22)*('02_Assumptions'!$C$8-1)/3)/($D22-$C22+1),0)</f>
        <v>0</v>
      </c>
      <c r="S22" s="38">
        <f>IF(AND(6&gt;=$C22,6&lt;=$D22),($I22+($J22-$I22)*('02_Assumptions'!$C$8-1)/3)/($D22-$C22+1),0)</f>
        <v>30</v>
      </c>
      <c r="T22" s="38">
        <f>IF(AND(7&gt;=$C22,7&lt;=$D22),($I22+($J22-$I22)*('02_Assumptions'!$C$8-1)/3)/($D22-$C22+1),0)</f>
        <v>30</v>
      </c>
      <c r="U22" s="38">
        <f>IF(AND(8&gt;=$C22,8&lt;=$D22),($I22+($J22-$I22)*('02_Assumptions'!$C$8-1)/3)/($D22-$C22+1),0)</f>
        <v>30</v>
      </c>
      <c r="V22" s="38">
        <f>IF(AND(9&gt;=$C22,9&lt;=$D22),($I22+($J22-$I22)*('02_Assumptions'!$C$8-1)/3)/($D22-$C22+1),0)</f>
        <v>30</v>
      </c>
      <c r="W22" s="38">
        <f>IF(AND(10&gt;=$C22,10&lt;=$D22),($I22+($J22-$I22)*('02_Assumptions'!$C$8-1)/3)/($D22-$C22+1),0)</f>
        <v>0</v>
      </c>
      <c r="X22" s="38">
        <f>IF(AND(11&gt;=$C22,11&lt;=$D22),($I22+($J22-$I22)*('02_Assumptions'!$C$8-1)/3)/($D22-$C22+1),0)</f>
        <v>0</v>
      </c>
      <c r="Y22" s="38">
        <f>IF(AND(12&gt;=$C22,12&lt;=$D22),($I22+($J22-$I22)*('02_Assumptions'!$C$8-1)/3)/($D22-$C22+1),0)</f>
        <v>0</v>
      </c>
      <c r="Z22" s="38">
        <f>(I22+(J22-I22)*('02_Assumptions'!$C$8-1)/3)/(D22-C22+1)/'02_Assumptions'!$C$9</f>
        <v>1.2</v>
      </c>
    </row>
    <row r="23" spans="1:26">
      <c r="A23" s="18" t="s">
        <v>806</v>
      </c>
      <c r="B23" s="18" t="s">
        <v>821</v>
      </c>
      <c r="C23" s="18">
        <v>10</v>
      </c>
      <c r="D23" s="18">
        <v>12</v>
      </c>
      <c r="E23" s="18" t="s">
        <v>802</v>
      </c>
      <c r="F23" s="38">
        <f>'02_Assumptions'!$C$6*'02_Assumptions'!$C$7</f>
        <v>88</v>
      </c>
      <c r="G23" s="38">
        <f>'02_Assumptions'!$C$6*'02_Assumptions'!$C$7</f>
        <v>88</v>
      </c>
      <c r="H23" s="38">
        <v>8</v>
      </c>
      <c r="I23" s="38">
        <f t="shared" si="0"/>
        <v>704</v>
      </c>
      <c r="J23" s="38">
        <f t="shared" si="1"/>
        <v>704</v>
      </c>
      <c r="K23" s="37">
        <f>I23*'02_Assumptions'!$C$60</f>
        <v>84480000</v>
      </c>
      <c r="L23" s="37">
        <f>J23*'02_Assumptions'!$C$60</f>
        <v>84480000</v>
      </c>
      <c r="M23" s="18" t="s">
        <v>822</v>
      </c>
      <c r="N23" s="38">
        <f>IF(AND(1&gt;=$C23,1&lt;=$D23),($I23+($J23-$I23)*('02_Assumptions'!$C$8-1)/3)/($D23-$C23+1),0)</f>
        <v>0</v>
      </c>
      <c r="O23" s="38">
        <f>IF(AND(2&gt;=$C23,2&lt;=$D23),($I23+($J23-$I23)*('02_Assumptions'!$C$8-1)/3)/($D23-$C23+1),0)</f>
        <v>0</v>
      </c>
      <c r="P23" s="38">
        <f>IF(AND(3&gt;=$C23,3&lt;=$D23),($I23+($J23-$I23)*('02_Assumptions'!$C$8-1)/3)/($D23-$C23+1),0)</f>
        <v>0</v>
      </c>
      <c r="Q23" s="38">
        <f>IF(AND(4&gt;=$C23,4&lt;=$D23),($I23+($J23-$I23)*('02_Assumptions'!$C$8-1)/3)/($D23-$C23+1),0)</f>
        <v>0</v>
      </c>
      <c r="R23" s="38">
        <f>IF(AND(5&gt;=$C23,5&lt;=$D23),($I23+($J23-$I23)*('02_Assumptions'!$C$8-1)/3)/($D23-$C23+1),0)</f>
        <v>0</v>
      </c>
      <c r="S23" s="38">
        <f>IF(AND(6&gt;=$C23,6&lt;=$D23),($I23+($J23-$I23)*('02_Assumptions'!$C$8-1)/3)/($D23-$C23+1),0)</f>
        <v>0</v>
      </c>
      <c r="T23" s="38">
        <f>IF(AND(7&gt;=$C23,7&lt;=$D23),($I23+($J23-$I23)*('02_Assumptions'!$C$8-1)/3)/($D23-$C23+1),0)</f>
        <v>0</v>
      </c>
      <c r="U23" s="38">
        <f>IF(AND(8&gt;=$C23,8&lt;=$D23),($I23+($J23-$I23)*('02_Assumptions'!$C$8-1)/3)/($D23-$C23+1),0)</f>
        <v>0</v>
      </c>
      <c r="V23" s="38">
        <f>IF(AND(9&gt;=$C23,9&lt;=$D23),($I23+($J23-$I23)*('02_Assumptions'!$C$8-1)/3)/($D23-$C23+1),0)</f>
        <v>0</v>
      </c>
      <c r="W23" s="38">
        <f>IF(AND(10&gt;=$C23,10&lt;=$D23),($I23+($J23-$I23)*('02_Assumptions'!$C$8-1)/3)/($D23-$C23+1),0)</f>
        <v>234.66666666666666</v>
      </c>
      <c r="X23" s="38">
        <f>IF(AND(11&gt;=$C23,11&lt;=$D23),($I23+($J23-$I23)*('02_Assumptions'!$C$8-1)/3)/($D23-$C23+1),0)</f>
        <v>234.66666666666666</v>
      </c>
      <c r="Y23" s="38">
        <f>IF(AND(12&gt;=$C23,12&lt;=$D23),($I23+($J23-$I23)*('02_Assumptions'!$C$8-1)/3)/($D23-$C23+1),0)</f>
        <v>234.66666666666666</v>
      </c>
      <c r="Z23" s="38">
        <f>(I23+(J23-I23)*('02_Assumptions'!$C$8-1)/3)/(D23-C23+1)/'02_Assumptions'!$C$9</f>
        <v>9.3866666666666667</v>
      </c>
    </row>
    <row r="24" spans="1:26">
      <c r="A24" s="18" t="s">
        <v>289</v>
      </c>
      <c r="B24" s="18" t="s">
        <v>823</v>
      </c>
      <c r="C24" s="18">
        <v>8</v>
      </c>
      <c r="D24" s="18">
        <v>11</v>
      </c>
      <c r="E24" s="18" t="s">
        <v>802</v>
      </c>
      <c r="F24" s="38">
        <f>'02_Assumptions'!$C$6*'02_Assumptions'!$C$7</f>
        <v>88</v>
      </c>
      <c r="G24" s="38">
        <f>'02_Assumptions'!$C$6*'02_Assumptions'!$C$7</f>
        <v>88</v>
      </c>
      <c r="H24" s="38">
        <v>6</v>
      </c>
      <c r="I24" s="38">
        <f t="shared" si="0"/>
        <v>528</v>
      </c>
      <c r="J24" s="38">
        <f t="shared" si="1"/>
        <v>528</v>
      </c>
      <c r="K24" s="37">
        <f>I24*'02_Assumptions'!$C$60</f>
        <v>63360000</v>
      </c>
      <c r="L24" s="37">
        <f>J24*'02_Assumptions'!$C$60</f>
        <v>63360000</v>
      </c>
      <c r="M24" s="18" t="s">
        <v>824</v>
      </c>
      <c r="N24" s="38">
        <f>IF(AND(1&gt;=$C24,1&lt;=$D24),($I24+($J24-$I24)*('02_Assumptions'!$C$8-1)/3)/($D24-$C24+1),0)</f>
        <v>0</v>
      </c>
      <c r="O24" s="38">
        <f>IF(AND(2&gt;=$C24,2&lt;=$D24),($I24+($J24-$I24)*('02_Assumptions'!$C$8-1)/3)/($D24-$C24+1),0)</f>
        <v>0</v>
      </c>
      <c r="P24" s="38">
        <f>IF(AND(3&gt;=$C24,3&lt;=$D24),($I24+($J24-$I24)*('02_Assumptions'!$C$8-1)/3)/($D24-$C24+1),0)</f>
        <v>0</v>
      </c>
      <c r="Q24" s="38">
        <f>IF(AND(4&gt;=$C24,4&lt;=$D24),($I24+($J24-$I24)*('02_Assumptions'!$C$8-1)/3)/($D24-$C24+1),0)</f>
        <v>0</v>
      </c>
      <c r="R24" s="38">
        <f>IF(AND(5&gt;=$C24,5&lt;=$D24),($I24+($J24-$I24)*('02_Assumptions'!$C$8-1)/3)/($D24-$C24+1),0)</f>
        <v>0</v>
      </c>
      <c r="S24" s="38">
        <f>IF(AND(6&gt;=$C24,6&lt;=$D24),($I24+($J24-$I24)*('02_Assumptions'!$C$8-1)/3)/($D24-$C24+1),0)</f>
        <v>0</v>
      </c>
      <c r="T24" s="38">
        <f>IF(AND(7&gt;=$C24,7&lt;=$D24),($I24+($J24-$I24)*('02_Assumptions'!$C$8-1)/3)/($D24-$C24+1),0)</f>
        <v>0</v>
      </c>
      <c r="U24" s="38">
        <f>IF(AND(8&gt;=$C24,8&lt;=$D24),($I24+($J24-$I24)*('02_Assumptions'!$C$8-1)/3)/($D24-$C24+1),0)</f>
        <v>132</v>
      </c>
      <c r="V24" s="38">
        <f>IF(AND(9&gt;=$C24,9&lt;=$D24),($I24+($J24-$I24)*('02_Assumptions'!$C$8-1)/3)/($D24-$C24+1),0)</f>
        <v>132</v>
      </c>
      <c r="W24" s="38">
        <f>IF(AND(10&gt;=$C24,10&lt;=$D24),($I24+($J24-$I24)*('02_Assumptions'!$C$8-1)/3)/($D24-$C24+1),0)</f>
        <v>132</v>
      </c>
      <c r="X24" s="38">
        <f>IF(AND(11&gt;=$C24,11&lt;=$D24),($I24+($J24-$I24)*('02_Assumptions'!$C$8-1)/3)/($D24-$C24+1),0)</f>
        <v>132</v>
      </c>
      <c r="Y24" s="38">
        <f>IF(AND(12&gt;=$C24,12&lt;=$D24),($I24+($J24-$I24)*('02_Assumptions'!$C$8-1)/3)/($D24-$C24+1),0)</f>
        <v>0</v>
      </c>
      <c r="Z24" s="38">
        <f>(I24+(J24-I24)*('02_Assumptions'!$C$8-1)/3)/(D24-C24+1)/'02_Assumptions'!$C$9</f>
        <v>5.28</v>
      </c>
    </row>
    <row r="25" spans="1:26">
      <c r="A25" s="18" t="s">
        <v>426</v>
      </c>
      <c r="B25" s="18" t="s">
        <v>825</v>
      </c>
      <c r="C25" s="18">
        <v>9</v>
      </c>
      <c r="D25" s="18">
        <v>12</v>
      </c>
      <c r="E25" s="18" t="s">
        <v>802</v>
      </c>
      <c r="F25" s="38">
        <f>'02_Assumptions'!$C$6*'02_Assumptions'!$C$7</f>
        <v>88</v>
      </c>
      <c r="G25" s="38">
        <f>'02_Assumptions'!$C$6*'02_Assumptions'!$C$7</f>
        <v>88</v>
      </c>
      <c r="H25" s="38">
        <v>12</v>
      </c>
      <c r="I25" s="38">
        <f t="shared" si="0"/>
        <v>1056</v>
      </c>
      <c r="J25" s="38">
        <f t="shared" si="1"/>
        <v>1056</v>
      </c>
      <c r="K25" s="37">
        <f>I25*'02_Assumptions'!$C$60</f>
        <v>126720000</v>
      </c>
      <c r="L25" s="37">
        <f>J25*'02_Assumptions'!$C$60</f>
        <v>126720000</v>
      </c>
      <c r="M25" s="18" t="s">
        <v>826</v>
      </c>
      <c r="N25" s="38">
        <f>IF(AND(1&gt;=$C25,1&lt;=$D25),($I25+($J25-$I25)*('02_Assumptions'!$C$8-1)/3)/($D25-$C25+1),0)</f>
        <v>0</v>
      </c>
      <c r="O25" s="38">
        <f>IF(AND(2&gt;=$C25,2&lt;=$D25),($I25+($J25-$I25)*('02_Assumptions'!$C$8-1)/3)/($D25-$C25+1),0)</f>
        <v>0</v>
      </c>
      <c r="P25" s="38">
        <f>IF(AND(3&gt;=$C25,3&lt;=$D25),($I25+($J25-$I25)*('02_Assumptions'!$C$8-1)/3)/($D25-$C25+1),0)</f>
        <v>0</v>
      </c>
      <c r="Q25" s="38">
        <f>IF(AND(4&gt;=$C25,4&lt;=$D25),($I25+($J25-$I25)*('02_Assumptions'!$C$8-1)/3)/($D25-$C25+1),0)</f>
        <v>0</v>
      </c>
      <c r="R25" s="38">
        <f>IF(AND(5&gt;=$C25,5&lt;=$D25),($I25+($J25-$I25)*('02_Assumptions'!$C$8-1)/3)/($D25-$C25+1),0)</f>
        <v>0</v>
      </c>
      <c r="S25" s="38">
        <f>IF(AND(6&gt;=$C25,6&lt;=$D25),($I25+($J25-$I25)*('02_Assumptions'!$C$8-1)/3)/($D25-$C25+1),0)</f>
        <v>0</v>
      </c>
      <c r="T25" s="38">
        <f>IF(AND(7&gt;=$C25,7&lt;=$D25),($I25+($J25-$I25)*('02_Assumptions'!$C$8-1)/3)/($D25-$C25+1),0)</f>
        <v>0</v>
      </c>
      <c r="U25" s="38">
        <f>IF(AND(8&gt;=$C25,8&lt;=$D25),($I25+($J25-$I25)*('02_Assumptions'!$C$8-1)/3)/($D25-$C25+1),0)</f>
        <v>0</v>
      </c>
      <c r="V25" s="38">
        <f>IF(AND(9&gt;=$C25,9&lt;=$D25),($I25+($J25-$I25)*('02_Assumptions'!$C$8-1)/3)/($D25-$C25+1),0)</f>
        <v>264</v>
      </c>
      <c r="W25" s="38">
        <f>IF(AND(10&gt;=$C25,10&lt;=$D25),($I25+($J25-$I25)*('02_Assumptions'!$C$8-1)/3)/($D25-$C25+1),0)</f>
        <v>264</v>
      </c>
      <c r="X25" s="38">
        <f>IF(AND(11&gt;=$C25,11&lt;=$D25),($I25+($J25-$I25)*('02_Assumptions'!$C$8-1)/3)/($D25-$C25+1),0)</f>
        <v>264</v>
      </c>
      <c r="Y25" s="38">
        <f>IF(AND(12&gt;=$C25,12&lt;=$D25),($I25+($J25-$I25)*('02_Assumptions'!$C$8-1)/3)/($D25-$C25+1),0)</f>
        <v>264</v>
      </c>
      <c r="Z25" s="38">
        <f>(I25+(J25-I25)*('02_Assumptions'!$C$8-1)/3)/(D25-C25+1)/'02_Assumptions'!$C$9</f>
        <v>10.56</v>
      </c>
    </row>
    <row r="26" spans="1:26">
      <c r="A26" s="261" t="s">
        <v>827</v>
      </c>
      <c r="B26" s="261"/>
      <c r="C26" s="261"/>
      <c r="D26" s="261"/>
      <c r="E26" s="261"/>
      <c r="F26" s="261"/>
      <c r="G26" s="261"/>
      <c r="H26" s="261"/>
      <c r="I26" s="261"/>
      <c r="J26" s="261"/>
      <c r="K26" s="39">
        <f>SUM(K6:K25)</f>
        <v>1170489600</v>
      </c>
      <c r="L26" s="39">
        <f>SUM(L6:L25)</f>
        <v>1213689600</v>
      </c>
      <c r="M26" s="18"/>
      <c r="N26" s="18"/>
      <c r="O26" s="18"/>
      <c r="P26" s="18"/>
      <c r="Q26" s="18"/>
      <c r="R26" s="18"/>
      <c r="S26" s="18"/>
      <c r="T26" s="18"/>
      <c r="U26" s="18"/>
      <c r="V26" s="18"/>
      <c r="W26" s="18"/>
      <c r="X26" s="18"/>
      <c r="Y26" s="18"/>
      <c r="Z26" s="18"/>
    </row>
    <row r="27" spans="1:26">
      <c r="A27" s="262" t="s">
        <v>828</v>
      </c>
      <c r="B27" s="262"/>
      <c r="C27" s="262"/>
      <c r="D27" s="262"/>
      <c r="E27" s="262"/>
      <c r="F27" s="262"/>
      <c r="G27" s="262"/>
      <c r="H27" s="262"/>
      <c r="I27" s="262"/>
      <c r="J27" s="262"/>
      <c r="K27" s="262"/>
      <c r="L27" s="262"/>
      <c r="M27" s="262"/>
      <c r="N27" s="40">
        <f t="shared" ref="N27:Y27" si="2">SUM(N6:N25)</f>
        <v>65</v>
      </c>
      <c r="O27" s="40">
        <f t="shared" si="2"/>
        <v>95</v>
      </c>
      <c r="P27" s="40">
        <f t="shared" si="2"/>
        <v>160</v>
      </c>
      <c r="Q27" s="40">
        <f t="shared" si="2"/>
        <v>900</v>
      </c>
      <c r="R27" s="40">
        <f t="shared" si="2"/>
        <v>946.66666666666663</v>
      </c>
      <c r="S27" s="40">
        <f t="shared" si="2"/>
        <v>1751.5066666666667</v>
      </c>
      <c r="T27" s="40">
        <f t="shared" si="2"/>
        <v>1151.5066666666667</v>
      </c>
      <c r="U27" s="40">
        <f t="shared" si="2"/>
        <v>1439.0266666666666</v>
      </c>
      <c r="V27" s="40">
        <f t="shared" si="2"/>
        <v>1203.1866666666667</v>
      </c>
      <c r="W27" s="40">
        <f t="shared" si="2"/>
        <v>1132.8533333333335</v>
      </c>
      <c r="X27" s="40">
        <f t="shared" si="2"/>
        <v>630.66666666666663</v>
      </c>
      <c r="Y27" s="40">
        <f t="shared" si="2"/>
        <v>498.66666666666663</v>
      </c>
      <c r="Z27" s="40">
        <f>MAX(N27:Y27)/'02_Assumptions'!$C$9</f>
        <v>70.060266666666664</v>
      </c>
    </row>
    <row r="28" spans="1:26">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20" customHeight="1">
      <c r="A30" s="258" t="s">
        <v>829</v>
      </c>
      <c r="B30" s="258"/>
      <c r="C30" s="258"/>
      <c r="D30" s="258"/>
      <c r="E30" s="258"/>
      <c r="F30" s="258"/>
      <c r="G30" s="258"/>
      <c r="H30" s="258"/>
      <c r="I30" s="258"/>
      <c r="J30" s="258"/>
      <c r="K30" s="258"/>
      <c r="L30" s="258"/>
      <c r="M30" s="18"/>
      <c r="N30" s="18"/>
      <c r="O30" s="18"/>
      <c r="P30" s="18"/>
      <c r="Q30" s="18"/>
      <c r="R30" s="18"/>
      <c r="S30" s="18"/>
      <c r="T30" s="18"/>
      <c r="U30" s="18"/>
      <c r="V30" s="18"/>
      <c r="W30" s="18"/>
      <c r="X30" s="18"/>
      <c r="Y30" s="18"/>
      <c r="Z30" s="18"/>
    </row>
    <row r="31" spans="1:26" ht="30" customHeight="1">
      <c r="A31" s="2" t="s">
        <v>651</v>
      </c>
      <c r="B31" s="3" t="s">
        <v>440</v>
      </c>
      <c r="C31" s="3" t="s">
        <v>441</v>
      </c>
      <c r="D31" s="3" t="s">
        <v>442</v>
      </c>
      <c r="E31" s="3" t="s">
        <v>443</v>
      </c>
      <c r="F31" s="3" t="s">
        <v>444</v>
      </c>
      <c r="G31" s="3" t="s">
        <v>445</v>
      </c>
      <c r="H31" s="3" t="s">
        <v>446</v>
      </c>
      <c r="I31" s="3" t="s">
        <v>447</v>
      </c>
      <c r="J31" s="3" t="s">
        <v>448</v>
      </c>
      <c r="K31" s="3" t="s">
        <v>449</v>
      </c>
      <c r="L31" s="4" t="s">
        <v>137</v>
      </c>
      <c r="M31" s="18"/>
      <c r="N31" s="18"/>
      <c r="O31" s="18"/>
      <c r="P31" s="18"/>
      <c r="Q31" s="18"/>
      <c r="R31" s="18"/>
      <c r="S31" s="18"/>
      <c r="T31" s="18"/>
      <c r="U31" s="18"/>
      <c r="V31" s="18"/>
      <c r="W31" s="18"/>
      <c r="X31" s="18"/>
      <c r="Y31" s="18"/>
      <c r="Z31" s="18"/>
    </row>
    <row r="32" spans="1:26" ht="23.25">
      <c r="A32" s="18" t="s">
        <v>830</v>
      </c>
      <c r="B32" s="18">
        <v>28</v>
      </c>
      <c r="C32" s="18">
        <v>26</v>
      </c>
      <c r="D32" s="18">
        <v>24</v>
      </c>
      <c r="E32" s="18">
        <v>22</v>
      </c>
      <c r="F32" s="18">
        <v>20</v>
      </c>
      <c r="G32" s="18">
        <v>18</v>
      </c>
      <c r="H32" s="18">
        <v>16</v>
      </c>
      <c r="I32" s="18">
        <v>15</v>
      </c>
      <c r="J32" s="18">
        <v>15</v>
      </c>
      <c r="K32" s="18">
        <v>15</v>
      </c>
      <c r="L32" s="18" t="s">
        <v>831</v>
      </c>
      <c r="M32" s="18"/>
      <c r="N32" s="18"/>
      <c r="O32" s="18"/>
      <c r="P32" s="18"/>
      <c r="Q32" s="18"/>
      <c r="R32" s="18"/>
      <c r="S32" s="18"/>
      <c r="T32" s="18"/>
      <c r="U32" s="18"/>
      <c r="V32" s="18"/>
      <c r="W32" s="18"/>
      <c r="X32" s="18"/>
      <c r="Y32" s="18"/>
      <c r="Z32" s="18"/>
    </row>
    <row r="33" spans="1:26" ht="23.25">
      <c r="A33" s="18" t="s">
        <v>832</v>
      </c>
      <c r="B33" s="18">
        <v>18</v>
      </c>
      <c r="C33" s="18">
        <v>16.2</v>
      </c>
      <c r="D33" s="18">
        <v>12.6</v>
      </c>
      <c r="E33" s="18">
        <v>8.1</v>
      </c>
      <c r="F33" s="18">
        <v>4.5</v>
      </c>
      <c r="G33" s="18">
        <v>2.7</v>
      </c>
      <c r="H33" s="18">
        <v>1.8</v>
      </c>
      <c r="I33" s="18">
        <v>1.8</v>
      </c>
      <c r="J33" s="18">
        <v>1.8</v>
      </c>
      <c r="K33" s="18">
        <v>1.8</v>
      </c>
      <c r="L33" s="18" t="s">
        <v>831</v>
      </c>
      <c r="M33" s="18"/>
      <c r="N33" s="18"/>
      <c r="O33" s="18"/>
      <c r="P33" s="18"/>
      <c r="Q33" s="18"/>
      <c r="R33" s="18"/>
      <c r="S33" s="18"/>
      <c r="T33" s="18"/>
      <c r="U33" s="18"/>
      <c r="V33" s="18"/>
      <c r="W33" s="18"/>
      <c r="X33" s="18"/>
      <c r="Y33" s="18"/>
      <c r="Z33" s="18"/>
    </row>
    <row r="34" spans="1:26" ht="23.25">
      <c r="A34" s="18" t="s">
        <v>833</v>
      </c>
      <c r="B34" s="18">
        <v>10</v>
      </c>
      <c r="C34" s="18">
        <v>10</v>
      </c>
      <c r="D34" s="18">
        <v>11</v>
      </c>
      <c r="E34" s="18">
        <v>11</v>
      </c>
      <c r="F34" s="18">
        <v>12</v>
      </c>
      <c r="G34" s="18">
        <v>12</v>
      </c>
      <c r="H34" s="18">
        <v>13</v>
      </c>
      <c r="I34" s="18">
        <v>13</v>
      </c>
      <c r="J34" s="18">
        <v>13</v>
      </c>
      <c r="K34" s="18">
        <v>13</v>
      </c>
      <c r="L34" s="18" t="s">
        <v>831</v>
      </c>
      <c r="M34" s="18"/>
      <c r="N34" s="18"/>
      <c r="O34" s="18"/>
      <c r="P34" s="18"/>
      <c r="Q34" s="18"/>
      <c r="R34" s="18"/>
      <c r="S34" s="18"/>
      <c r="T34" s="18"/>
      <c r="U34" s="18"/>
      <c r="V34" s="18"/>
      <c r="W34" s="18"/>
      <c r="X34" s="18"/>
      <c r="Y34" s="18"/>
      <c r="Z34" s="18"/>
    </row>
    <row r="35" spans="1:26">
      <c r="A35" s="18" t="s">
        <v>834</v>
      </c>
      <c r="B35" s="18">
        <v>6</v>
      </c>
      <c r="C35" s="18">
        <v>8</v>
      </c>
      <c r="D35" s="18">
        <v>10</v>
      </c>
      <c r="E35" s="18">
        <v>12</v>
      </c>
      <c r="F35" s="18">
        <v>13</v>
      </c>
      <c r="G35" s="18">
        <v>14</v>
      </c>
      <c r="H35" s="18">
        <v>15</v>
      </c>
      <c r="I35" s="18">
        <v>16</v>
      </c>
      <c r="J35" s="18">
        <v>16</v>
      </c>
      <c r="K35" s="18">
        <v>16</v>
      </c>
      <c r="L35" s="18" t="s">
        <v>831</v>
      </c>
      <c r="M35" s="18"/>
      <c r="N35" s="18"/>
      <c r="O35" s="18"/>
      <c r="P35" s="18"/>
      <c r="Q35" s="18"/>
      <c r="R35" s="18"/>
      <c r="S35" s="18"/>
      <c r="T35" s="18"/>
      <c r="U35" s="18"/>
      <c r="V35" s="18"/>
      <c r="W35" s="18"/>
      <c r="X35" s="18"/>
      <c r="Y35" s="18"/>
      <c r="Z35" s="18"/>
    </row>
    <row r="36" spans="1:26" ht="23.25">
      <c r="A36" s="18" t="s">
        <v>835</v>
      </c>
      <c r="B36" s="18">
        <v>10</v>
      </c>
      <c r="C36" s="18">
        <v>10</v>
      </c>
      <c r="D36" s="18">
        <v>10</v>
      </c>
      <c r="E36" s="18">
        <v>10</v>
      </c>
      <c r="F36" s="18">
        <v>10</v>
      </c>
      <c r="G36" s="18">
        <v>10</v>
      </c>
      <c r="H36" s="18">
        <v>10</v>
      </c>
      <c r="I36" s="18">
        <v>10</v>
      </c>
      <c r="J36" s="18">
        <v>10</v>
      </c>
      <c r="K36" s="18">
        <v>10</v>
      </c>
      <c r="L36" s="18" t="s">
        <v>831</v>
      </c>
      <c r="M36" s="18"/>
      <c r="N36" s="18"/>
      <c r="O36" s="18"/>
      <c r="P36" s="18"/>
      <c r="Q36" s="18"/>
      <c r="R36" s="18"/>
      <c r="S36" s="18"/>
      <c r="T36" s="18"/>
      <c r="U36" s="18"/>
      <c r="V36" s="18"/>
      <c r="W36" s="18"/>
      <c r="X36" s="18"/>
      <c r="Y36" s="18"/>
      <c r="Z36" s="18"/>
    </row>
    <row r="37" spans="1:26" ht="23.25">
      <c r="A37" s="18" t="s">
        <v>836</v>
      </c>
      <c r="B37" s="18">
        <v>8</v>
      </c>
      <c r="C37" s="18">
        <v>7</v>
      </c>
      <c r="D37" s="18">
        <v>6</v>
      </c>
      <c r="E37" s="18">
        <v>5</v>
      </c>
      <c r="F37" s="18">
        <v>4</v>
      </c>
      <c r="G37" s="18">
        <v>4</v>
      </c>
      <c r="H37" s="18">
        <v>4</v>
      </c>
      <c r="I37" s="18">
        <v>4</v>
      </c>
      <c r="J37" s="18">
        <v>4</v>
      </c>
      <c r="K37" s="18">
        <v>4</v>
      </c>
      <c r="L37" s="18" t="s">
        <v>831</v>
      </c>
      <c r="M37" s="18"/>
      <c r="N37" s="18"/>
      <c r="O37" s="18"/>
      <c r="P37" s="18"/>
      <c r="Q37" s="18"/>
      <c r="R37" s="18"/>
      <c r="S37" s="18"/>
      <c r="T37" s="18"/>
      <c r="U37" s="18"/>
      <c r="V37" s="18"/>
      <c r="W37" s="18"/>
      <c r="X37" s="18"/>
      <c r="Y37" s="18"/>
      <c r="Z37" s="18"/>
    </row>
    <row r="38" spans="1:26">
      <c r="A38" s="18" t="s">
        <v>837</v>
      </c>
      <c r="B38" s="18">
        <v>8</v>
      </c>
      <c r="C38" s="18">
        <v>4</v>
      </c>
      <c r="D38" s="18">
        <v>2</v>
      </c>
      <c r="E38" s="18">
        <v>1</v>
      </c>
      <c r="F38" s="18">
        <v>1</v>
      </c>
      <c r="G38" s="18">
        <v>1</v>
      </c>
      <c r="H38" s="18">
        <v>1</v>
      </c>
      <c r="I38" s="18">
        <v>1</v>
      </c>
      <c r="J38" s="18">
        <v>1</v>
      </c>
      <c r="K38" s="18">
        <v>1</v>
      </c>
      <c r="L38" s="18" t="s">
        <v>831</v>
      </c>
      <c r="M38" s="18"/>
      <c r="N38" s="18"/>
      <c r="O38" s="18"/>
      <c r="P38" s="18"/>
      <c r="Q38" s="18"/>
      <c r="R38" s="18"/>
      <c r="S38" s="18"/>
      <c r="T38" s="18"/>
      <c r="U38" s="18"/>
      <c r="V38" s="18"/>
      <c r="W38" s="18"/>
      <c r="X38" s="18"/>
      <c r="Y38" s="18"/>
      <c r="Z38" s="18"/>
    </row>
    <row r="39" spans="1:26" ht="23.25">
      <c r="A39" s="18" t="s">
        <v>838</v>
      </c>
      <c r="B39" s="18">
        <v>4</v>
      </c>
      <c r="C39" s="18">
        <v>4</v>
      </c>
      <c r="D39" s="18">
        <v>4</v>
      </c>
      <c r="E39" s="18">
        <v>4</v>
      </c>
      <c r="F39" s="18">
        <v>4</v>
      </c>
      <c r="G39" s="18">
        <v>4</v>
      </c>
      <c r="H39" s="18">
        <v>4</v>
      </c>
      <c r="I39" s="18">
        <v>4</v>
      </c>
      <c r="J39" s="18">
        <v>4</v>
      </c>
      <c r="K39" s="18">
        <v>4</v>
      </c>
      <c r="L39" s="18" t="s">
        <v>831</v>
      </c>
      <c r="M39" s="18"/>
      <c r="N39" s="18"/>
      <c r="O39" s="18"/>
      <c r="P39" s="18"/>
      <c r="Q39" s="18"/>
      <c r="R39" s="18"/>
      <c r="S39" s="18"/>
      <c r="T39" s="18"/>
      <c r="U39" s="18"/>
      <c r="V39" s="18"/>
      <c r="W39" s="18"/>
      <c r="X39" s="18"/>
      <c r="Y39" s="18"/>
      <c r="Z39" s="18"/>
    </row>
    <row r="40" spans="1:26" ht="23.25">
      <c r="A40" s="18" t="s">
        <v>839</v>
      </c>
      <c r="B40" s="18">
        <v>3</v>
      </c>
      <c r="C40" s="18">
        <v>3</v>
      </c>
      <c r="D40" s="18">
        <v>3</v>
      </c>
      <c r="E40" s="18">
        <v>3</v>
      </c>
      <c r="F40" s="18">
        <v>3</v>
      </c>
      <c r="G40" s="18">
        <v>3</v>
      </c>
      <c r="H40" s="18">
        <v>3</v>
      </c>
      <c r="I40" s="18">
        <v>3</v>
      </c>
      <c r="J40" s="18">
        <v>3</v>
      </c>
      <c r="K40" s="18">
        <v>3</v>
      </c>
      <c r="L40" s="18" t="s">
        <v>831</v>
      </c>
      <c r="M40" s="18"/>
      <c r="N40" s="18"/>
      <c r="O40" s="18"/>
      <c r="P40" s="18"/>
      <c r="Q40" s="18"/>
      <c r="R40" s="18"/>
      <c r="S40" s="18"/>
      <c r="T40" s="18"/>
      <c r="U40" s="18"/>
      <c r="V40" s="18"/>
      <c r="W40" s="18"/>
      <c r="X40" s="18"/>
      <c r="Y40" s="18"/>
      <c r="Z40" s="18"/>
    </row>
    <row r="41" spans="1:26" ht="23.25">
      <c r="A41" s="41" t="s">
        <v>840</v>
      </c>
      <c r="B41" s="41">
        <f>SUM(B32:B40)*'02_Assumptions'!$C$6*'02_Assumptions'!$C$7</f>
        <v>8360</v>
      </c>
      <c r="C41" s="41">
        <f>SUM(C32:C40)*'02_Assumptions'!$C$6*'02_Assumptions'!$C$7</f>
        <v>7761.6</v>
      </c>
      <c r="D41" s="41">
        <f>SUM(D32:D40)*'02_Assumptions'!$C$6*'02_Assumptions'!$C$7</f>
        <v>7268.8</v>
      </c>
      <c r="E41" s="41">
        <f>SUM(E32:E40)*'02_Assumptions'!$C$6*'02_Assumptions'!$C$7</f>
        <v>6696.7999999999993</v>
      </c>
      <c r="F41" s="41">
        <f>SUM(F32:F40)*'02_Assumptions'!$C$6*'02_Assumptions'!$C$7</f>
        <v>6292</v>
      </c>
      <c r="G41" s="41">
        <f>SUM(G32:G40)*'02_Assumptions'!$C$6*'02_Assumptions'!$C$7</f>
        <v>6045.6</v>
      </c>
      <c r="H41" s="41">
        <f>SUM(H32:H40)*'02_Assumptions'!$C$6*'02_Assumptions'!$C$7</f>
        <v>5966.4</v>
      </c>
      <c r="I41" s="41">
        <f>SUM(I32:I40)*'02_Assumptions'!$C$6*'02_Assumptions'!$C$7</f>
        <v>5966.4</v>
      </c>
      <c r="J41" s="41">
        <f>SUM(J32:J40)*'02_Assumptions'!$C$6*'02_Assumptions'!$C$7</f>
        <v>5966.4</v>
      </c>
      <c r="K41" s="41">
        <f>SUM(K32:K40)*'02_Assumptions'!$C$6*'02_Assumptions'!$C$7</f>
        <v>5966.4</v>
      </c>
      <c r="L41" s="41" t="s">
        <v>841</v>
      </c>
      <c r="M41" s="18"/>
      <c r="N41" s="18"/>
      <c r="O41" s="18"/>
      <c r="P41" s="18"/>
      <c r="Q41" s="18"/>
      <c r="R41" s="18"/>
      <c r="S41" s="18"/>
      <c r="T41" s="18"/>
      <c r="U41" s="18"/>
      <c r="V41" s="18"/>
      <c r="W41" s="18"/>
      <c r="X41" s="18"/>
      <c r="Y41" s="18"/>
      <c r="Z41" s="18"/>
    </row>
    <row r="42" spans="1:26">
      <c r="A42" s="42" t="s">
        <v>842</v>
      </c>
      <c r="B42" s="42">
        <f>B41/'02_Assumptions'!$C$9/12</f>
        <v>27.866666666666664</v>
      </c>
      <c r="C42" s="42">
        <f>C41/'02_Assumptions'!$C$9/12</f>
        <v>25.872</v>
      </c>
      <c r="D42" s="42">
        <f>D41/'02_Assumptions'!$C$9/12</f>
        <v>24.229333333333333</v>
      </c>
      <c r="E42" s="42">
        <f>E41/'02_Assumptions'!$C$9/12</f>
        <v>22.322666666666663</v>
      </c>
      <c r="F42" s="42">
        <f>F41/'02_Assumptions'!$C$9/12</f>
        <v>20.973333333333333</v>
      </c>
      <c r="G42" s="42">
        <f>G41/'02_Assumptions'!$C$9/12</f>
        <v>20.152000000000001</v>
      </c>
      <c r="H42" s="42">
        <f>H41/'02_Assumptions'!$C$9/12</f>
        <v>19.887999999999998</v>
      </c>
      <c r="I42" s="42">
        <f>I41/'02_Assumptions'!$C$9/12</f>
        <v>19.887999999999998</v>
      </c>
      <c r="J42" s="42">
        <f>J41/'02_Assumptions'!$C$9/12</f>
        <v>19.887999999999998</v>
      </c>
      <c r="K42" s="42">
        <f>K41/'02_Assumptions'!$C$9/12</f>
        <v>19.887999999999998</v>
      </c>
      <c r="L42" s="42" t="s">
        <v>843</v>
      </c>
      <c r="M42" s="18"/>
      <c r="N42" s="18"/>
      <c r="O42" s="18"/>
      <c r="P42" s="18"/>
      <c r="Q42" s="18"/>
      <c r="R42" s="18"/>
      <c r="S42" s="18"/>
      <c r="T42" s="18"/>
      <c r="U42" s="18"/>
      <c r="V42" s="18"/>
      <c r="W42" s="18"/>
      <c r="X42" s="18"/>
      <c r="Y42" s="18"/>
      <c r="Z42" s="18"/>
    </row>
    <row r="43" spans="1:26" ht="23.25">
      <c r="A43" s="43" t="s">
        <v>844</v>
      </c>
      <c r="B43" s="43">
        <f t="shared" ref="B43:K43" si="3">B42*1.35</f>
        <v>37.619999999999997</v>
      </c>
      <c r="C43" s="43">
        <f t="shared" si="3"/>
        <v>34.927199999999999</v>
      </c>
      <c r="D43" s="43">
        <f t="shared" si="3"/>
        <v>32.709600000000002</v>
      </c>
      <c r="E43" s="43">
        <f t="shared" si="3"/>
        <v>30.135599999999997</v>
      </c>
      <c r="F43" s="43">
        <f t="shared" si="3"/>
        <v>28.314</v>
      </c>
      <c r="G43" s="43">
        <f t="shared" si="3"/>
        <v>27.205200000000005</v>
      </c>
      <c r="H43" s="43">
        <f t="shared" si="3"/>
        <v>26.848800000000001</v>
      </c>
      <c r="I43" s="43">
        <f t="shared" si="3"/>
        <v>26.848800000000001</v>
      </c>
      <c r="J43" s="43">
        <f t="shared" si="3"/>
        <v>26.848800000000001</v>
      </c>
      <c r="K43" s="43">
        <f t="shared" si="3"/>
        <v>26.848800000000001</v>
      </c>
      <c r="L43" s="43" t="s">
        <v>843</v>
      </c>
      <c r="M43" s="18"/>
      <c r="N43" s="18"/>
      <c r="O43" s="18"/>
      <c r="P43" s="18"/>
      <c r="Q43" s="18"/>
      <c r="R43" s="18"/>
      <c r="S43" s="18"/>
      <c r="T43" s="18"/>
      <c r="U43" s="18"/>
      <c r="V43" s="18"/>
      <c r="W43" s="18"/>
      <c r="X43" s="18"/>
      <c r="Y43" s="18"/>
      <c r="Z43" s="18"/>
    </row>
  </sheetData>
  <mergeCells count="6">
    <mergeCell ref="A30:L30"/>
    <mergeCell ref="A1:X1"/>
    <mergeCell ref="A2:X2"/>
    <mergeCell ref="A4:X4"/>
    <mergeCell ref="A26:J26"/>
    <mergeCell ref="A27:M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1"/>
  <sheetViews>
    <sheetView showGridLines="0" workbookViewId="0"/>
  </sheetViews>
  <sheetFormatPr defaultRowHeight="13.5"/>
  <cols>
    <col min="1" max="1" width="17" customWidth="1"/>
    <col min="2" max="2" width="29" customWidth="1"/>
    <col min="3" max="3" width="34" customWidth="1"/>
    <col min="4" max="5" width="14" customWidth="1"/>
    <col min="6" max="7" width="12" customWidth="1"/>
    <col min="8" max="8" width="17" customWidth="1"/>
    <col min="9" max="10" width="18" customWidth="1"/>
    <col min="11" max="11" width="13" customWidth="1"/>
    <col min="12" max="12" width="25" customWidth="1"/>
    <col min="13" max="13" width="27" customWidth="1"/>
    <col min="14" max="14" width="10" customWidth="1"/>
    <col min="15" max="15" width="17" customWidth="1"/>
    <col min="16" max="16" width="20" customWidth="1"/>
    <col min="17" max="17" width="17" customWidth="1"/>
  </cols>
  <sheetData>
    <row r="1" spans="1:17" ht="28.05" customHeight="1">
      <c r="A1" s="206" t="s">
        <v>845</v>
      </c>
      <c r="B1" s="206"/>
      <c r="C1" s="206"/>
      <c r="D1" s="206"/>
      <c r="E1" s="206"/>
      <c r="F1" s="206"/>
      <c r="G1" s="206"/>
      <c r="H1" s="206"/>
      <c r="I1" s="206"/>
      <c r="J1" s="206"/>
      <c r="K1" s="206"/>
      <c r="L1" s="206"/>
      <c r="M1" s="206"/>
      <c r="N1" s="61"/>
      <c r="O1" s="61"/>
      <c r="P1" s="61"/>
      <c r="Q1" s="61"/>
    </row>
    <row r="2" spans="1:17" ht="38" customHeight="1">
      <c r="A2" s="207" t="s">
        <v>846</v>
      </c>
      <c r="B2" s="207"/>
      <c r="C2" s="207"/>
      <c r="D2" s="207"/>
      <c r="E2" s="207"/>
      <c r="F2" s="207"/>
      <c r="G2" s="207"/>
      <c r="H2" s="207"/>
      <c r="I2" s="207"/>
      <c r="J2" s="207"/>
      <c r="K2" s="207"/>
      <c r="L2" s="207"/>
      <c r="M2" s="207"/>
      <c r="N2" s="1"/>
      <c r="O2" s="1"/>
      <c r="P2" s="1"/>
      <c r="Q2" s="1"/>
    </row>
    <row r="3" spans="1:17">
      <c r="A3" s="16"/>
      <c r="B3" s="16"/>
      <c r="C3" s="16"/>
      <c r="D3" s="16"/>
      <c r="E3" s="16"/>
      <c r="F3" s="16"/>
      <c r="G3" s="16"/>
      <c r="H3" s="16"/>
      <c r="I3" s="16"/>
      <c r="J3" s="16"/>
      <c r="K3" s="16"/>
      <c r="L3" s="16"/>
      <c r="M3" s="16"/>
      <c r="N3" s="16"/>
      <c r="O3" s="16"/>
      <c r="P3" s="16"/>
      <c r="Q3" s="16"/>
    </row>
    <row r="4" spans="1:17" ht="30" customHeight="1">
      <c r="A4" s="2" t="s">
        <v>847</v>
      </c>
      <c r="B4" s="3" t="s">
        <v>848</v>
      </c>
      <c r="C4" s="3" t="s">
        <v>849</v>
      </c>
      <c r="D4" s="3" t="s">
        <v>758</v>
      </c>
      <c r="E4" s="3" t="s">
        <v>759</v>
      </c>
      <c r="F4" s="3" t="s">
        <v>850</v>
      </c>
      <c r="G4" s="3" t="s">
        <v>137</v>
      </c>
      <c r="H4" s="3" t="s">
        <v>851</v>
      </c>
      <c r="I4" s="3" t="s">
        <v>852</v>
      </c>
      <c r="J4" s="3" t="s">
        <v>853</v>
      </c>
      <c r="K4" s="3" t="s">
        <v>854</v>
      </c>
      <c r="L4" s="3" t="s">
        <v>855</v>
      </c>
      <c r="M4" s="4" t="s">
        <v>856</v>
      </c>
      <c r="N4" s="16" t="s">
        <v>473</v>
      </c>
      <c r="O4" s="16" t="s">
        <v>857</v>
      </c>
      <c r="P4" s="16" t="s">
        <v>858</v>
      </c>
      <c r="Q4" s="16" t="s">
        <v>859</v>
      </c>
    </row>
    <row r="5" spans="1:17">
      <c r="A5" s="18" t="s">
        <v>860</v>
      </c>
      <c r="B5" s="18" t="s">
        <v>861</v>
      </c>
      <c r="C5" s="18" t="s">
        <v>862</v>
      </c>
      <c r="D5" s="88">
        <f>IF($N5=0,0,ROUNDUP(MAX($O5*'02_Assumptions'!$C$6/100,$Q5),0))</f>
        <v>120</v>
      </c>
      <c r="E5" s="88">
        <f>IF($N5=0,0,ROUNDUP(MAX($O5*'02_Assumptions'!$C$6/100*(1+$P5*3),$Q5*4),0))</f>
        <v>140</v>
      </c>
      <c r="F5" s="32" t="s">
        <v>863</v>
      </c>
      <c r="G5" s="32" t="s">
        <v>505</v>
      </c>
      <c r="H5" s="198">
        <v>180000</v>
      </c>
      <c r="I5" s="89">
        <f t="shared" ref="I5:I38" si="0">$D5*$H5</f>
        <v>21600000</v>
      </c>
      <c r="J5" s="89">
        <f t="shared" ref="J5:J38" si="1">$E5*$H5</f>
        <v>25200000</v>
      </c>
      <c r="K5" s="18">
        <v>3</v>
      </c>
      <c r="L5" s="18" t="s">
        <v>864</v>
      </c>
      <c r="M5" s="18" t="s">
        <v>865</v>
      </c>
      <c r="N5" s="67">
        <v>1</v>
      </c>
      <c r="O5" s="67">
        <v>120</v>
      </c>
      <c r="P5" s="68">
        <v>5.555555555555558E-2</v>
      </c>
      <c r="Q5" s="67">
        <v>0</v>
      </c>
    </row>
    <row r="6" spans="1:17">
      <c r="A6" s="18" t="s">
        <v>860</v>
      </c>
      <c r="B6" s="18" t="s">
        <v>866</v>
      </c>
      <c r="C6" s="18" t="s">
        <v>867</v>
      </c>
      <c r="D6" s="88">
        <f>IF($N6=0,0,ROUNDUP(MAX($O6*'02_Assumptions'!$C$6/100,$Q6),0))</f>
        <v>80</v>
      </c>
      <c r="E6" s="88">
        <f>IF($N6=0,0,ROUNDUP(MAX($O6*'02_Assumptions'!$C$6/100*(1+$P6*3),$Q6*4),0))</f>
        <v>100</v>
      </c>
      <c r="F6" s="32" t="s">
        <v>863</v>
      </c>
      <c r="G6" s="32" t="s">
        <v>505</v>
      </c>
      <c r="H6" s="198">
        <v>200000</v>
      </c>
      <c r="I6" s="89">
        <f t="shared" si="0"/>
        <v>16000000</v>
      </c>
      <c r="J6" s="89">
        <f t="shared" si="1"/>
        <v>20000000</v>
      </c>
      <c r="K6" s="18">
        <v>3</v>
      </c>
      <c r="L6" s="18" t="s">
        <v>864</v>
      </c>
      <c r="M6" s="18" t="s">
        <v>868</v>
      </c>
      <c r="N6" s="67">
        <v>1</v>
      </c>
      <c r="O6" s="67">
        <v>80</v>
      </c>
      <c r="P6" s="68">
        <v>8.3333333333333329E-2</v>
      </c>
      <c r="Q6" s="67">
        <v>0</v>
      </c>
    </row>
    <row r="7" spans="1:17">
      <c r="A7" s="18" t="s">
        <v>860</v>
      </c>
      <c r="B7" s="18" t="s">
        <v>869</v>
      </c>
      <c r="C7" s="18" t="s">
        <v>870</v>
      </c>
      <c r="D7" s="88">
        <f>IF($N7=0,0,ROUNDUP(MAX($O7*'02_Assumptions'!$C$6/100,$Q7),0))</f>
        <v>40</v>
      </c>
      <c r="E7" s="88">
        <f>IF($N7=0,0,ROUNDUP(MAX($O7*'02_Assumptions'!$C$6/100*(1+$P7*3),$Q7*4),0))</f>
        <v>50</v>
      </c>
      <c r="F7" s="32" t="s">
        <v>863</v>
      </c>
      <c r="G7" s="32" t="s">
        <v>505</v>
      </c>
      <c r="H7" s="198">
        <v>250000</v>
      </c>
      <c r="I7" s="89">
        <f t="shared" si="0"/>
        <v>10000000</v>
      </c>
      <c r="J7" s="89">
        <f t="shared" si="1"/>
        <v>12500000</v>
      </c>
      <c r="K7" s="18">
        <v>4</v>
      </c>
      <c r="L7" s="18" t="s">
        <v>871</v>
      </c>
      <c r="M7" s="18" t="s">
        <v>868</v>
      </c>
      <c r="N7" s="67">
        <v>1</v>
      </c>
      <c r="O7" s="67">
        <v>40</v>
      </c>
      <c r="P7" s="68">
        <v>8.3333333333333329E-2</v>
      </c>
      <c r="Q7" s="67">
        <v>0</v>
      </c>
    </row>
    <row r="8" spans="1:17">
      <c r="A8" s="18" t="s">
        <v>860</v>
      </c>
      <c r="B8" s="18" t="s">
        <v>872</v>
      </c>
      <c r="C8" s="18" t="s">
        <v>873</v>
      </c>
      <c r="D8" s="88">
        <f>IF($N8=0,0,ROUNDUP(MAX($O8*'02_Assumptions'!$C$6/100,$Q8),0))</f>
        <v>30</v>
      </c>
      <c r="E8" s="88">
        <f>IF($N8=0,0,ROUNDUP(MAX($O8*'02_Assumptions'!$C$6/100*(1+$P8*3),$Q8*4),0))</f>
        <v>40</v>
      </c>
      <c r="F8" s="32" t="s">
        <v>863</v>
      </c>
      <c r="G8" s="32" t="s">
        <v>505</v>
      </c>
      <c r="H8" s="198">
        <v>250000</v>
      </c>
      <c r="I8" s="89">
        <f t="shared" si="0"/>
        <v>7500000</v>
      </c>
      <c r="J8" s="89">
        <f t="shared" si="1"/>
        <v>10000000</v>
      </c>
      <c r="K8" s="18">
        <v>5</v>
      </c>
      <c r="L8" s="18" t="s">
        <v>871</v>
      </c>
      <c r="M8" s="18" t="s">
        <v>868</v>
      </c>
      <c r="N8" s="67">
        <v>1</v>
      </c>
      <c r="O8" s="67">
        <v>30</v>
      </c>
      <c r="P8" s="68">
        <v>0.11111111111111109</v>
      </c>
      <c r="Q8" s="67">
        <v>0</v>
      </c>
    </row>
    <row r="9" spans="1:17">
      <c r="A9" s="18" t="s">
        <v>860</v>
      </c>
      <c r="B9" s="18" t="s">
        <v>874</v>
      </c>
      <c r="C9" s="18" t="s">
        <v>875</v>
      </c>
      <c r="D9" s="88">
        <f>IF($N9=0,0,ROUNDUP(MAX($O9*'02_Assumptions'!$C$6/100,$Q9),0))</f>
        <v>120</v>
      </c>
      <c r="E9" s="88">
        <f>IF($N9=0,0,ROUNDUP(MAX($O9*'02_Assumptions'!$C$6/100*(1+$P9*3),$Q9*4),0))</f>
        <v>140</v>
      </c>
      <c r="F9" s="32" t="s">
        <v>863</v>
      </c>
      <c r="G9" s="32" t="s">
        <v>505</v>
      </c>
      <c r="H9" s="198">
        <v>150000</v>
      </c>
      <c r="I9" s="89">
        <f t="shared" si="0"/>
        <v>18000000</v>
      </c>
      <c r="J9" s="89">
        <f t="shared" si="1"/>
        <v>21000000</v>
      </c>
      <c r="K9" s="18">
        <v>2</v>
      </c>
      <c r="L9" s="18" t="s">
        <v>876</v>
      </c>
      <c r="M9" s="18" t="s">
        <v>877</v>
      </c>
      <c r="N9" s="67">
        <v>1</v>
      </c>
      <c r="O9" s="67">
        <v>120</v>
      </c>
      <c r="P9" s="68">
        <v>5.555555555555558E-2</v>
      </c>
      <c r="Q9" s="67">
        <v>0</v>
      </c>
    </row>
    <row r="10" spans="1:17">
      <c r="A10" s="18" t="s">
        <v>860</v>
      </c>
      <c r="B10" s="18" t="s">
        <v>878</v>
      </c>
      <c r="C10" s="18" t="s">
        <v>879</v>
      </c>
      <c r="D10" s="88">
        <f>IF($N10=0,0,ROUNDUP(MAX($O10*'02_Assumptions'!$C$6/100,$Q10),0))</f>
        <v>20</v>
      </c>
      <c r="E10" s="88">
        <f>IF($N10=0,0,ROUNDUP(MAX($O10*'02_Assumptions'!$C$6/100*(1+$P10*3),$Q10*4),0))</f>
        <v>28</v>
      </c>
      <c r="F10" s="32" t="s">
        <v>863</v>
      </c>
      <c r="G10" s="32" t="s">
        <v>505</v>
      </c>
      <c r="H10" s="198">
        <v>350000</v>
      </c>
      <c r="I10" s="89">
        <f t="shared" si="0"/>
        <v>7000000</v>
      </c>
      <c r="J10" s="89">
        <f t="shared" si="1"/>
        <v>9800000</v>
      </c>
      <c r="K10" s="18">
        <v>4</v>
      </c>
      <c r="L10" s="18" t="s">
        <v>880</v>
      </c>
      <c r="M10" s="18" t="s">
        <v>881</v>
      </c>
      <c r="N10" s="67">
        <v>1</v>
      </c>
      <c r="O10" s="67">
        <v>20</v>
      </c>
      <c r="P10" s="68">
        <v>0.1333333333333333</v>
      </c>
      <c r="Q10" s="67">
        <v>0</v>
      </c>
    </row>
    <row r="11" spans="1:17">
      <c r="A11" s="18" t="s">
        <v>860</v>
      </c>
      <c r="B11" s="18" t="s">
        <v>882</v>
      </c>
      <c r="C11" s="18" t="s">
        <v>883</v>
      </c>
      <c r="D11" s="88">
        <f>IF($N11=0,0,ROUNDUP(MAX($O11*'02_Assumptions'!$C$6/100,$Q11),0))</f>
        <v>40</v>
      </c>
      <c r="E11" s="88">
        <f>IF($N11=0,0,ROUNDUP(MAX($O11*'02_Assumptions'!$C$6/100*(1+$P11*3),$Q11*4),0))</f>
        <v>50</v>
      </c>
      <c r="F11" s="32" t="s">
        <v>863</v>
      </c>
      <c r="G11" s="32" t="s">
        <v>505</v>
      </c>
      <c r="H11" s="198">
        <v>250000</v>
      </c>
      <c r="I11" s="89">
        <f t="shared" si="0"/>
        <v>10000000</v>
      </c>
      <c r="J11" s="89">
        <f t="shared" si="1"/>
        <v>12500000</v>
      </c>
      <c r="K11" s="18">
        <v>3</v>
      </c>
      <c r="L11" s="18" t="s">
        <v>884</v>
      </c>
      <c r="M11" s="18" t="s">
        <v>885</v>
      </c>
      <c r="N11" s="67">
        <v>1</v>
      </c>
      <c r="O11" s="67">
        <v>40</v>
      </c>
      <c r="P11" s="68">
        <v>8.3333333333333329E-2</v>
      </c>
      <c r="Q11" s="67">
        <v>0</v>
      </c>
    </row>
    <row r="12" spans="1:17">
      <c r="A12" s="18" t="s">
        <v>860</v>
      </c>
      <c r="B12" s="18" t="s">
        <v>886</v>
      </c>
      <c r="C12" s="18" t="s">
        <v>887</v>
      </c>
      <c r="D12" s="88">
        <f>IF($N12=0,0,ROUNDUP(MAX($O12*'02_Assumptions'!$C$6/100,$Q12),0))</f>
        <v>20</v>
      </c>
      <c r="E12" s="88">
        <f>IF($N12=0,0,ROUNDUP(MAX($O12*'02_Assumptions'!$C$6/100*(1+$P12*3),$Q12*4),0))</f>
        <v>28</v>
      </c>
      <c r="F12" s="32" t="s">
        <v>863</v>
      </c>
      <c r="G12" s="32" t="s">
        <v>505</v>
      </c>
      <c r="H12" s="198">
        <v>1500000</v>
      </c>
      <c r="I12" s="89">
        <f t="shared" si="0"/>
        <v>30000000</v>
      </c>
      <c r="J12" s="89">
        <f t="shared" si="1"/>
        <v>42000000</v>
      </c>
      <c r="K12" s="18">
        <v>5</v>
      </c>
      <c r="L12" s="18" t="s">
        <v>888</v>
      </c>
      <c r="M12" s="18" t="s">
        <v>889</v>
      </c>
      <c r="N12" s="67">
        <v>1</v>
      </c>
      <c r="O12" s="67">
        <v>20</v>
      </c>
      <c r="P12" s="68">
        <v>0.1333333333333333</v>
      </c>
      <c r="Q12" s="67">
        <v>0</v>
      </c>
    </row>
    <row r="13" spans="1:17">
      <c r="A13" s="18" t="s">
        <v>860</v>
      </c>
      <c r="B13" s="18" t="s">
        <v>890</v>
      </c>
      <c r="C13" s="18" t="s">
        <v>891</v>
      </c>
      <c r="D13" s="88">
        <f>IF($N13=0,0,ROUNDUP(MAX($O13*'02_Assumptions'!$C$6/100,$Q13),0))</f>
        <v>60</v>
      </c>
      <c r="E13" s="88">
        <f>IF($N13=0,0,ROUNDUP(MAX($O13*'02_Assumptions'!$C$6/100*(1+$P13*3),$Q13*4),0))</f>
        <v>72</v>
      </c>
      <c r="F13" s="32" t="s">
        <v>863</v>
      </c>
      <c r="G13" s="32" t="s">
        <v>505</v>
      </c>
      <c r="H13" s="198">
        <v>300000</v>
      </c>
      <c r="I13" s="89">
        <f t="shared" si="0"/>
        <v>18000000</v>
      </c>
      <c r="J13" s="89">
        <f t="shared" si="1"/>
        <v>21600000</v>
      </c>
      <c r="K13" s="18">
        <v>4</v>
      </c>
      <c r="L13" s="18" t="s">
        <v>871</v>
      </c>
      <c r="M13" s="18" t="s">
        <v>892</v>
      </c>
      <c r="N13" s="67">
        <v>1</v>
      </c>
      <c r="O13" s="67">
        <v>60</v>
      </c>
      <c r="P13" s="68">
        <v>6.6666666666666652E-2</v>
      </c>
      <c r="Q13" s="67">
        <v>0</v>
      </c>
    </row>
    <row r="14" spans="1:17">
      <c r="A14" s="18" t="s">
        <v>860</v>
      </c>
      <c r="B14" s="18" t="s">
        <v>893</v>
      </c>
      <c r="C14" s="18" t="s">
        <v>894</v>
      </c>
      <c r="D14" s="88">
        <f>IF($N14=0,0,ROUNDUP(MAX($O14*'02_Assumptions'!$C$6/100,$Q14),0))</f>
        <v>40</v>
      </c>
      <c r="E14" s="88">
        <f>IF($N14=0,0,ROUNDUP(MAX($O14*'02_Assumptions'!$C$6/100*(1+$P14*3),$Q14*4),0))</f>
        <v>48</v>
      </c>
      <c r="F14" s="32" t="s">
        <v>863</v>
      </c>
      <c r="G14" s="32" t="s">
        <v>505</v>
      </c>
      <c r="H14" s="198">
        <v>1200000</v>
      </c>
      <c r="I14" s="89">
        <f t="shared" si="0"/>
        <v>48000000</v>
      </c>
      <c r="J14" s="89">
        <f t="shared" si="1"/>
        <v>57600000</v>
      </c>
      <c r="K14" s="18">
        <v>4</v>
      </c>
      <c r="L14" s="18" t="s">
        <v>895</v>
      </c>
      <c r="M14" s="18" t="s">
        <v>896</v>
      </c>
      <c r="N14" s="67">
        <v>1</v>
      </c>
      <c r="O14" s="67">
        <v>40</v>
      </c>
      <c r="P14" s="68">
        <v>6.6666666666666652E-2</v>
      </c>
      <c r="Q14" s="67">
        <v>0</v>
      </c>
    </row>
    <row r="15" spans="1:17">
      <c r="A15" s="18" t="s">
        <v>897</v>
      </c>
      <c r="B15" s="18" t="s">
        <v>898</v>
      </c>
      <c r="C15" s="18" t="s">
        <v>800</v>
      </c>
      <c r="D15" s="88">
        <f>IF($N15=0,0,ROUNDUP(MAX($O15*'02_Assumptions'!$C$6/100,$Q15),0))</f>
        <v>20</v>
      </c>
      <c r="E15" s="88">
        <f>IF($N15=0,0,ROUNDUP(MAX($O15*'02_Assumptions'!$C$6/100*(1+$P15*3),$Q15*4),0))</f>
        <v>24</v>
      </c>
      <c r="F15" s="32" t="s">
        <v>863</v>
      </c>
      <c r="G15" s="32" t="s">
        <v>899</v>
      </c>
      <c r="H15" s="198">
        <v>250000</v>
      </c>
      <c r="I15" s="89">
        <f t="shared" si="0"/>
        <v>5000000</v>
      </c>
      <c r="J15" s="89">
        <f t="shared" si="1"/>
        <v>6000000</v>
      </c>
      <c r="K15" s="18">
        <v>3</v>
      </c>
      <c r="L15" s="18" t="s">
        <v>900</v>
      </c>
      <c r="M15" s="18" t="s">
        <v>901</v>
      </c>
      <c r="N15" s="67">
        <v>1</v>
      </c>
      <c r="O15" s="67">
        <v>20</v>
      </c>
      <c r="P15" s="68">
        <v>6.6666666666666652E-2</v>
      </c>
      <c r="Q15" s="67">
        <v>0</v>
      </c>
    </row>
    <row r="16" spans="1:17">
      <c r="A16" s="18" t="s">
        <v>897</v>
      </c>
      <c r="B16" s="18" t="s">
        <v>902</v>
      </c>
      <c r="C16" s="18" t="s">
        <v>903</v>
      </c>
      <c r="D16" s="88">
        <f>IF($N16=0,0,ROUNDUP(MAX($O16*'02_Assumptions'!$C$6/100,$Q16),0))</f>
        <v>4</v>
      </c>
      <c r="E16" s="88">
        <f>IF($N16=0,0,ROUNDUP(MAX($O16*'02_Assumptions'!$C$6/100*(1+$P16*3),$Q16*4),0))</f>
        <v>8</v>
      </c>
      <c r="F16" s="32" t="s">
        <v>863</v>
      </c>
      <c r="G16" s="32" t="s">
        <v>505</v>
      </c>
      <c r="H16" s="198">
        <v>3000000</v>
      </c>
      <c r="I16" s="89">
        <f t="shared" si="0"/>
        <v>12000000</v>
      </c>
      <c r="J16" s="89">
        <f t="shared" si="1"/>
        <v>24000000</v>
      </c>
      <c r="K16" s="18">
        <v>8</v>
      </c>
      <c r="L16" s="18" t="s">
        <v>904</v>
      </c>
      <c r="M16" s="18" t="s">
        <v>905</v>
      </c>
      <c r="N16" s="67">
        <v>1</v>
      </c>
      <c r="O16" s="67">
        <v>4</v>
      </c>
      <c r="P16" s="68">
        <v>0.33333333333333331</v>
      </c>
      <c r="Q16" s="67">
        <v>0</v>
      </c>
    </row>
    <row r="17" spans="1:17">
      <c r="A17" s="18" t="s">
        <v>897</v>
      </c>
      <c r="B17" s="18" t="s">
        <v>906</v>
      </c>
      <c r="C17" s="18" t="s">
        <v>907</v>
      </c>
      <c r="D17" s="88">
        <f>IF($N17=0,0,ROUNDUP(MAX($O17*'02_Assumptions'!$C$6/100,$Q17),0))</f>
        <v>4</v>
      </c>
      <c r="E17" s="88">
        <f>IF($N17=0,0,ROUNDUP(MAX($O17*'02_Assumptions'!$C$6/100*(1+$P17*3),$Q17*4),0))</f>
        <v>8</v>
      </c>
      <c r="F17" s="32" t="s">
        <v>863</v>
      </c>
      <c r="G17" s="32" t="s">
        <v>899</v>
      </c>
      <c r="H17" s="198">
        <v>5000000</v>
      </c>
      <c r="I17" s="89">
        <f t="shared" si="0"/>
        <v>20000000</v>
      </c>
      <c r="J17" s="89">
        <f t="shared" si="1"/>
        <v>40000000</v>
      </c>
      <c r="K17" s="18">
        <v>5</v>
      </c>
      <c r="L17" s="18" t="s">
        <v>908</v>
      </c>
      <c r="M17" s="18" t="s">
        <v>909</v>
      </c>
      <c r="N17" s="67">
        <v>1</v>
      </c>
      <c r="O17" s="67">
        <v>4</v>
      </c>
      <c r="P17" s="68">
        <v>0.33333333333333331</v>
      </c>
      <c r="Q17" s="67">
        <v>0</v>
      </c>
    </row>
    <row r="18" spans="1:17">
      <c r="A18" s="18" t="s">
        <v>897</v>
      </c>
      <c r="B18" s="18" t="s">
        <v>910</v>
      </c>
      <c r="C18" s="18" t="s">
        <v>911</v>
      </c>
      <c r="D18" s="88">
        <f>IF($N18=0,0,ROUNDUP(MAX($O18*'02_Assumptions'!$C$6/100,$Q18),0))</f>
        <v>2</v>
      </c>
      <c r="E18" s="88">
        <f>IF($N18=0,0,ROUNDUP(MAX($O18*'02_Assumptions'!$C$6/100*(1+$P18*3),$Q18*4),0))</f>
        <v>4</v>
      </c>
      <c r="F18" s="32" t="s">
        <v>863</v>
      </c>
      <c r="G18" s="32" t="s">
        <v>505</v>
      </c>
      <c r="H18" s="198">
        <v>8000000</v>
      </c>
      <c r="I18" s="89">
        <f t="shared" si="0"/>
        <v>16000000</v>
      </c>
      <c r="J18" s="89">
        <f t="shared" si="1"/>
        <v>32000000</v>
      </c>
      <c r="K18" s="18">
        <v>5</v>
      </c>
      <c r="L18" s="18" t="s">
        <v>912</v>
      </c>
      <c r="M18" s="18" t="s">
        <v>913</v>
      </c>
      <c r="N18" s="67">
        <v>1</v>
      </c>
      <c r="O18" s="67">
        <v>2</v>
      </c>
      <c r="P18" s="68">
        <v>0.33333333333333331</v>
      </c>
      <c r="Q18" s="67">
        <v>0</v>
      </c>
    </row>
    <row r="19" spans="1:17">
      <c r="A19" s="18" t="s">
        <v>897</v>
      </c>
      <c r="B19" s="18" t="s">
        <v>914</v>
      </c>
      <c r="C19" s="18" t="s">
        <v>915</v>
      </c>
      <c r="D19" s="88">
        <f>IF($N19=0,0,ROUNDUP(MAX($O19*'02_Assumptions'!$C$6/100,$Q19),0))</f>
        <v>2</v>
      </c>
      <c r="E19" s="88">
        <f>IF($N19=0,0,ROUNDUP(MAX($O19*'02_Assumptions'!$C$6/100*(1+$P19*3),$Q19*4),0))</f>
        <v>4</v>
      </c>
      <c r="F19" s="32" t="s">
        <v>863</v>
      </c>
      <c r="G19" s="32" t="s">
        <v>505</v>
      </c>
      <c r="H19" s="198">
        <v>15000000</v>
      </c>
      <c r="I19" s="89">
        <f t="shared" si="0"/>
        <v>30000000</v>
      </c>
      <c r="J19" s="89">
        <f t="shared" si="1"/>
        <v>60000000</v>
      </c>
      <c r="K19" s="18">
        <v>5</v>
      </c>
      <c r="L19" s="18" t="s">
        <v>916</v>
      </c>
      <c r="M19" s="18" t="s">
        <v>917</v>
      </c>
      <c r="N19" s="67">
        <v>1</v>
      </c>
      <c r="O19" s="67">
        <v>2</v>
      </c>
      <c r="P19" s="68">
        <v>0.33333333333333331</v>
      </c>
      <c r="Q19" s="67">
        <v>0</v>
      </c>
    </row>
    <row r="20" spans="1:17">
      <c r="A20" s="18" t="s">
        <v>897</v>
      </c>
      <c r="B20" s="18" t="s">
        <v>918</v>
      </c>
      <c r="C20" s="18" t="s">
        <v>919</v>
      </c>
      <c r="D20" s="88">
        <f>IF($N20=0,0,ROUNDUP(MAX($O20*'02_Assumptions'!$C$6/100,$Q20),0))</f>
        <v>4</v>
      </c>
      <c r="E20" s="88">
        <f>IF($N20=0,0,ROUNDUP(MAX($O20*'02_Assumptions'!$C$6/100*(1+$P20*3),$Q20*4),0))</f>
        <v>8</v>
      </c>
      <c r="F20" s="32" t="s">
        <v>863</v>
      </c>
      <c r="G20" s="32" t="s">
        <v>505</v>
      </c>
      <c r="H20" s="198">
        <v>5000000</v>
      </c>
      <c r="I20" s="89">
        <f t="shared" si="0"/>
        <v>20000000</v>
      </c>
      <c r="J20" s="89">
        <f t="shared" si="1"/>
        <v>40000000</v>
      </c>
      <c r="K20" s="18">
        <v>5</v>
      </c>
      <c r="L20" s="18" t="s">
        <v>908</v>
      </c>
      <c r="M20" s="18" t="s">
        <v>920</v>
      </c>
      <c r="N20" s="67">
        <v>1</v>
      </c>
      <c r="O20" s="67">
        <v>4</v>
      </c>
      <c r="P20" s="68">
        <v>0.33333333333333331</v>
      </c>
      <c r="Q20" s="67">
        <v>0</v>
      </c>
    </row>
    <row r="21" spans="1:17">
      <c r="A21" s="18" t="s">
        <v>921</v>
      </c>
      <c r="B21" s="18" t="s">
        <v>922</v>
      </c>
      <c r="C21" s="18" t="s">
        <v>923</v>
      </c>
      <c r="D21" s="88">
        <f>IF($N21=0,0,ROUNDUP(MAX($O21*'02_Assumptions'!$C$6/100,$Q21),0))</f>
        <v>20</v>
      </c>
      <c r="E21" s="88">
        <f>IF($N21=0,0,ROUNDUP(MAX($O21*'02_Assumptions'!$C$6/100*(1+$P21*3),$Q21*4),0))</f>
        <v>32</v>
      </c>
      <c r="F21" s="32" t="s">
        <v>863</v>
      </c>
      <c r="G21" s="32" t="s">
        <v>505</v>
      </c>
      <c r="H21" s="198">
        <v>1200000</v>
      </c>
      <c r="I21" s="89">
        <f t="shared" si="0"/>
        <v>24000000</v>
      </c>
      <c r="J21" s="89">
        <f t="shared" si="1"/>
        <v>38400000</v>
      </c>
      <c r="K21" s="18">
        <v>4</v>
      </c>
      <c r="L21" s="18" t="s">
        <v>924</v>
      </c>
      <c r="M21" s="18" t="s">
        <v>925</v>
      </c>
      <c r="N21" s="67">
        <v>1</v>
      </c>
      <c r="O21" s="67">
        <v>20</v>
      </c>
      <c r="P21" s="68">
        <v>0.20000000000000004</v>
      </c>
      <c r="Q21" s="67">
        <v>0</v>
      </c>
    </row>
    <row r="22" spans="1:17">
      <c r="A22" s="18" t="s">
        <v>926</v>
      </c>
      <c r="B22" s="18" t="s">
        <v>927</v>
      </c>
      <c r="C22" s="18" t="s">
        <v>928</v>
      </c>
      <c r="D22" s="88">
        <f>IF($N22=0,0,ROUNDUP(MAX($O22*'02_Assumptions'!$C$6/100,$Q22),0))</f>
        <v>20</v>
      </c>
      <c r="E22" s="88">
        <f>IF($N22=0,0,ROUNDUP(MAX($O22*'02_Assumptions'!$C$6/100*(1+$P22*3),$Q22*4),0))</f>
        <v>28</v>
      </c>
      <c r="F22" s="32" t="s">
        <v>863</v>
      </c>
      <c r="G22" s="32" t="s">
        <v>505</v>
      </c>
      <c r="H22" s="198">
        <v>4500000</v>
      </c>
      <c r="I22" s="89">
        <f t="shared" si="0"/>
        <v>90000000</v>
      </c>
      <c r="J22" s="89">
        <f t="shared" si="1"/>
        <v>126000000</v>
      </c>
      <c r="K22" s="18">
        <v>5</v>
      </c>
      <c r="L22" s="18" t="s">
        <v>929</v>
      </c>
      <c r="M22" s="18" t="s">
        <v>930</v>
      </c>
      <c r="N22" s="67">
        <v>1</v>
      </c>
      <c r="O22" s="67">
        <v>20</v>
      </c>
      <c r="P22" s="68">
        <v>0.1333333333333333</v>
      </c>
      <c r="Q22" s="67">
        <v>0</v>
      </c>
    </row>
    <row r="23" spans="1:17">
      <c r="A23" s="18" t="s">
        <v>926</v>
      </c>
      <c r="B23" s="18" t="s">
        <v>931</v>
      </c>
      <c r="C23" s="18" t="s">
        <v>932</v>
      </c>
      <c r="D23" s="88">
        <f>IF($N23=0,0,ROUNDUP(MAX($O23*'02_Assumptions'!$C$6/100,$Q23),0))</f>
        <v>6</v>
      </c>
      <c r="E23" s="88">
        <f>IF($N23=0,0,ROUNDUP(MAX($O23*'02_Assumptions'!$C$6/100*(1+$P23*3),$Q23*4),0))</f>
        <v>10</v>
      </c>
      <c r="F23" s="32" t="s">
        <v>863</v>
      </c>
      <c r="G23" s="32" t="s">
        <v>505</v>
      </c>
      <c r="H23" s="198">
        <v>7500000</v>
      </c>
      <c r="I23" s="89">
        <f t="shared" si="0"/>
        <v>45000000</v>
      </c>
      <c r="J23" s="89">
        <f t="shared" si="1"/>
        <v>75000000</v>
      </c>
      <c r="K23" s="18">
        <v>5</v>
      </c>
      <c r="L23" s="18" t="s">
        <v>933</v>
      </c>
      <c r="M23" s="18" t="s">
        <v>905</v>
      </c>
      <c r="N23" s="67">
        <v>1</v>
      </c>
      <c r="O23" s="67">
        <v>6</v>
      </c>
      <c r="P23" s="68">
        <v>0.22222222222222224</v>
      </c>
      <c r="Q23" s="67">
        <v>0</v>
      </c>
    </row>
    <row r="24" spans="1:17">
      <c r="A24" s="18" t="s">
        <v>926</v>
      </c>
      <c r="B24" s="18" t="s">
        <v>934</v>
      </c>
      <c r="C24" s="18" t="s">
        <v>935</v>
      </c>
      <c r="D24" s="88">
        <f>IF($N24=0,0,ROUNDUP(MAX($O24*'02_Assumptions'!$C$6/100,$Q24),0))</f>
        <v>10</v>
      </c>
      <c r="E24" s="88">
        <f>IF($N24=0,0,ROUNDUP(MAX($O24*'02_Assumptions'!$C$6/100*(1+$P24*3),$Q24*4),0))</f>
        <v>16</v>
      </c>
      <c r="F24" s="32" t="s">
        <v>863</v>
      </c>
      <c r="G24" s="32" t="s">
        <v>505</v>
      </c>
      <c r="H24" s="198">
        <v>8000000</v>
      </c>
      <c r="I24" s="89">
        <f t="shared" si="0"/>
        <v>80000000</v>
      </c>
      <c r="J24" s="89">
        <f t="shared" si="1"/>
        <v>128000000</v>
      </c>
      <c r="K24" s="18">
        <v>5</v>
      </c>
      <c r="L24" s="18" t="s">
        <v>936</v>
      </c>
      <c r="M24" s="18" t="s">
        <v>937</v>
      </c>
      <c r="N24" s="67">
        <v>1</v>
      </c>
      <c r="O24" s="67">
        <v>10</v>
      </c>
      <c r="P24" s="68">
        <v>0.20000000000000004</v>
      </c>
      <c r="Q24" s="67">
        <v>0</v>
      </c>
    </row>
    <row r="25" spans="1:17">
      <c r="A25" s="18" t="s">
        <v>926</v>
      </c>
      <c r="B25" s="18" t="s">
        <v>938</v>
      </c>
      <c r="C25" s="18" t="s">
        <v>939</v>
      </c>
      <c r="D25" s="88">
        <f>IF($N25=0,0,ROUNDUP(MAX($O25*'02_Assumptions'!$C$6/100,$Q25),0))</f>
        <v>24</v>
      </c>
      <c r="E25" s="88">
        <f>IF($N25=0,0,ROUNDUP(MAX($O25*'02_Assumptions'!$C$6/100*(1+$P25*3),$Q25*4),0))</f>
        <v>32</v>
      </c>
      <c r="F25" s="32" t="s">
        <v>863</v>
      </c>
      <c r="G25" s="32" t="s">
        <v>505</v>
      </c>
      <c r="H25" s="198">
        <v>1500000</v>
      </c>
      <c r="I25" s="89">
        <f t="shared" si="0"/>
        <v>36000000</v>
      </c>
      <c r="J25" s="89">
        <f t="shared" si="1"/>
        <v>48000000</v>
      </c>
      <c r="K25" s="18">
        <v>4</v>
      </c>
      <c r="L25" s="18" t="s">
        <v>940</v>
      </c>
      <c r="M25" s="18" t="s">
        <v>941</v>
      </c>
      <c r="N25" s="67">
        <v>1</v>
      </c>
      <c r="O25" s="67">
        <v>24</v>
      </c>
      <c r="P25" s="68">
        <v>0.11111111111111109</v>
      </c>
      <c r="Q25" s="67">
        <v>0</v>
      </c>
    </row>
    <row r="26" spans="1:17">
      <c r="A26" s="18" t="s">
        <v>926</v>
      </c>
      <c r="B26" s="18" t="s">
        <v>942</v>
      </c>
      <c r="C26" s="18" t="s">
        <v>943</v>
      </c>
      <c r="D26" s="88">
        <f>IF($N26=0,0,ROUNDUP(MAX($O26*'02_Assumptions'!$C$6/100,$Q26),0))</f>
        <v>4</v>
      </c>
      <c r="E26" s="88">
        <f>IF($N26=0,0,ROUNDUP(MAX($O26*'02_Assumptions'!$C$6/100*(1+$P26*3),$Q26*4),0))</f>
        <v>8</v>
      </c>
      <c r="F26" s="32" t="s">
        <v>863</v>
      </c>
      <c r="G26" s="32" t="s">
        <v>505</v>
      </c>
      <c r="H26" s="198">
        <v>8000000</v>
      </c>
      <c r="I26" s="89">
        <f t="shared" si="0"/>
        <v>32000000</v>
      </c>
      <c r="J26" s="89">
        <f t="shared" si="1"/>
        <v>64000000</v>
      </c>
      <c r="K26" s="18">
        <v>5</v>
      </c>
      <c r="L26" s="18" t="s">
        <v>944</v>
      </c>
      <c r="M26" s="18" t="s">
        <v>909</v>
      </c>
      <c r="N26" s="67">
        <v>1</v>
      </c>
      <c r="O26" s="67">
        <v>4</v>
      </c>
      <c r="P26" s="68">
        <v>0.33333333333333331</v>
      </c>
      <c r="Q26" s="67">
        <v>0</v>
      </c>
    </row>
    <row r="27" spans="1:17">
      <c r="A27" s="18" t="s">
        <v>400</v>
      </c>
      <c r="B27" s="18" t="s">
        <v>945</v>
      </c>
      <c r="C27" s="18" t="s">
        <v>946</v>
      </c>
      <c r="D27" s="88">
        <f>IF($N27=0,0,ROUNDUP(MAX($O27*'02_Assumptions'!$C$6/100,$Q27),0))</f>
        <v>4</v>
      </c>
      <c r="E27" s="88">
        <f>IF($N27=0,0,ROUNDUP(MAX($O27*'02_Assumptions'!$C$6/100*(1+$P27*3),$Q27*4),0))</f>
        <v>8</v>
      </c>
      <c r="F27" s="32" t="s">
        <v>863</v>
      </c>
      <c r="G27" s="32" t="s">
        <v>505</v>
      </c>
      <c r="H27" s="198">
        <v>12000000</v>
      </c>
      <c r="I27" s="89">
        <f t="shared" si="0"/>
        <v>48000000</v>
      </c>
      <c r="J27" s="89">
        <f t="shared" si="1"/>
        <v>96000000</v>
      </c>
      <c r="K27" s="18">
        <v>5</v>
      </c>
      <c r="L27" s="18" t="s">
        <v>947</v>
      </c>
      <c r="M27" s="18" t="s">
        <v>948</v>
      </c>
      <c r="N27" s="67">
        <v>1</v>
      </c>
      <c r="O27" s="67">
        <v>4</v>
      </c>
      <c r="P27" s="68">
        <v>0.33333333333333331</v>
      </c>
      <c r="Q27" s="67">
        <v>0</v>
      </c>
    </row>
    <row r="28" spans="1:17">
      <c r="A28" s="18" t="s">
        <v>949</v>
      </c>
      <c r="B28" s="18" t="s">
        <v>950</v>
      </c>
      <c r="C28" s="18" t="s">
        <v>951</v>
      </c>
      <c r="D28" s="88">
        <f>IF($N28=0,0,ROUNDUP(MAX($O28*'02_Assumptions'!$C$6/100,$Q28),0))</f>
        <v>1</v>
      </c>
      <c r="E28" s="88">
        <f>IF($N28=0,0,ROUNDUP(MAX($O28*'02_Assumptions'!$C$6/100*(1+$P28*3),$Q28*4),0))</f>
        <v>4</v>
      </c>
      <c r="F28" s="32" t="s">
        <v>863</v>
      </c>
      <c r="G28" s="32" t="s">
        <v>505</v>
      </c>
      <c r="H28" s="198">
        <v>85000000</v>
      </c>
      <c r="I28" s="89">
        <f t="shared" si="0"/>
        <v>85000000</v>
      </c>
      <c r="J28" s="89">
        <f t="shared" si="1"/>
        <v>340000000</v>
      </c>
      <c r="K28" s="18">
        <v>7</v>
      </c>
      <c r="L28" s="18" t="s">
        <v>952</v>
      </c>
      <c r="M28" s="18" t="s">
        <v>953</v>
      </c>
      <c r="N28" s="67">
        <v>1</v>
      </c>
      <c r="O28" s="67">
        <v>1</v>
      </c>
      <c r="P28" s="68">
        <v>1</v>
      </c>
      <c r="Q28" s="67">
        <v>0</v>
      </c>
    </row>
    <row r="29" spans="1:17">
      <c r="A29" s="18" t="s">
        <v>954</v>
      </c>
      <c r="B29" s="18" t="s">
        <v>955</v>
      </c>
      <c r="C29" s="18" t="s">
        <v>956</v>
      </c>
      <c r="D29" s="88">
        <f>IF($N29=0,0,ROUNDUP(MAX($O29*'02_Assumptions'!$C$6/100,$Q29),0))</f>
        <v>1</v>
      </c>
      <c r="E29" s="88">
        <f>IF($N29=0,0,ROUNDUP(MAX($O29*'02_Assumptions'!$C$6/100*(1+$P29*3),$Q29*4),0))</f>
        <v>2</v>
      </c>
      <c r="F29" s="32" t="s">
        <v>863</v>
      </c>
      <c r="G29" s="32" t="s">
        <v>505</v>
      </c>
      <c r="H29" s="198">
        <v>320000000</v>
      </c>
      <c r="I29" s="89">
        <f t="shared" si="0"/>
        <v>320000000</v>
      </c>
      <c r="J29" s="89">
        <f t="shared" si="1"/>
        <v>640000000</v>
      </c>
      <c r="K29" s="18">
        <v>8</v>
      </c>
      <c r="L29" s="18" t="s">
        <v>957</v>
      </c>
      <c r="M29" s="18" t="s">
        <v>958</v>
      </c>
      <c r="N29" s="67">
        <v>1</v>
      </c>
      <c r="O29" s="67">
        <v>1</v>
      </c>
      <c r="P29" s="68">
        <v>0.33333333333333331</v>
      </c>
      <c r="Q29" s="67">
        <v>0</v>
      </c>
    </row>
    <row r="30" spans="1:17">
      <c r="A30" s="18" t="s">
        <v>954</v>
      </c>
      <c r="B30" s="18" t="s">
        <v>959</v>
      </c>
      <c r="C30" s="18" t="s">
        <v>960</v>
      </c>
      <c r="D30" s="88">
        <f>IF($N30=0,0,ROUNDUP(MAX($O30*'02_Assumptions'!$C$6/100,$Q30),0))</f>
        <v>2</v>
      </c>
      <c r="E30" s="88">
        <f>IF($N30=0,0,ROUNDUP(MAX($O30*'02_Assumptions'!$C$6/100*(1+$P30*3),$Q30*4),0))</f>
        <v>4</v>
      </c>
      <c r="F30" s="32" t="s">
        <v>863</v>
      </c>
      <c r="G30" s="32" t="s">
        <v>505</v>
      </c>
      <c r="H30" s="198">
        <v>45000000</v>
      </c>
      <c r="I30" s="89">
        <f t="shared" si="0"/>
        <v>90000000</v>
      </c>
      <c r="J30" s="89">
        <f t="shared" si="1"/>
        <v>180000000</v>
      </c>
      <c r="K30" s="18">
        <v>8</v>
      </c>
      <c r="L30" s="18" t="s">
        <v>961</v>
      </c>
      <c r="M30" s="18" t="s">
        <v>962</v>
      </c>
      <c r="N30" s="67">
        <v>1</v>
      </c>
      <c r="O30" s="67">
        <v>2</v>
      </c>
      <c r="P30" s="68">
        <v>0.33333333333333331</v>
      </c>
      <c r="Q30" s="67">
        <v>0</v>
      </c>
    </row>
    <row r="31" spans="1:17">
      <c r="A31" s="18" t="s">
        <v>963</v>
      </c>
      <c r="B31" s="18" t="s">
        <v>964</v>
      </c>
      <c r="C31" s="18" t="s">
        <v>965</v>
      </c>
      <c r="D31" s="88">
        <f>IF($N31=0,0,ROUNDUP(MAX($O31*'02_Assumptions'!$C$6/100,$Q31),0))</f>
        <v>2</v>
      </c>
      <c r="E31" s="88">
        <f>IF($N31=0,0,ROUNDUP(MAX($O31*'02_Assumptions'!$C$6/100*(1+$P31*3),$Q31*4),0))</f>
        <v>4</v>
      </c>
      <c r="F31" s="32" t="s">
        <v>863</v>
      </c>
      <c r="G31" s="32" t="s">
        <v>505</v>
      </c>
      <c r="H31" s="198">
        <v>350000000</v>
      </c>
      <c r="I31" s="89">
        <f t="shared" si="0"/>
        <v>700000000</v>
      </c>
      <c r="J31" s="89">
        <f t="shared" si="1"/>
        <v>1400000000</v>
      </c>
      <c r="K31" s="18">
        <v>7</v>
      </c>
      <c r="L31" s="18" t="s">
        <v>966</v>
      </c>
      <c r="M31" s="18" t="s">
        <v>967</v>
      </c>
      <c r="N31" s="67">
        <v>1</v>
      </c>
      <c r="O31" s="67">
        <v>2</v>
      </c>
      <c r="P31" s="68">
        <v>0.33333333333333331</v>
      </c>
      <c r="Q31" s="67">
        <v>0</v>
      </c>
    </row>
    <row r="32" spans="1:17">
      <c r="A32" s="18" t="s">
        <v>963</v>
      </c>
      <c r="B32" s="18" t="s">
        <v>968</v>
      </c>
      <c r="C32" s="18" t="s">
        <v>969</v>
      </c>
      <c r="D32" s="88">
        <f>IF($N32=0,0,ROUNDUP(MAX($O32*'02_Assumptions'!$C$6/100,$Q32),0))</f>
        <v>6</v>
      </c>
      <c r="E32" s="88">
        <f>IF($N32=0,0,ROUNDUP(MAX($O32*'02_Assumptions'!$C$6/100*(1+$P32*3),$Q32*4),0))</f>
        <v>10</v>
      </c>
      <c r="F32" s="32" t="s">
        <v>863</v>
      </c>
      <c r="G32" s="32" t="s">
        <v>505</v>
      </c>
      <c r="H32" s="198">
        <v>28000000</v>
      </c>
      <c r="I32" s="89">
        <f t="shared" si="0"/>
        <v>168000000</v>
      </c>
      <c r="J32" s="89">
        <f t="shared" si="1"/>
        <v>280000000</v>
      </c>
      <c r="K32" s="18">
        <v>5</v>
      </c>
      <c r="L32" s="18" t="s">
        <v>970</v>
      </c>
      <c r="M32" s="18" t="s">
        <v>925</v>
      </c>
      <c r="N32" s="67">
        <v>1</v>
      </c>
      <c r="O32" s="67">
        <v>6</v>
      </c>
      <c r="P32" s="68">
        <v>0.22222222222222224</v>
      </c>
      <c r="Q32" s="67">
        <v>0</v>
      </c>
    </row>
    <row r="33" spans="1:17">
      <c r="A33" s="18" t="s">
        <v>971</v>
      </c>
      <c r="B33" s="18" t="s">
        <v>972</v>
      </c>
      <c r="C33" s="18" t="s">
        <v>973</v>
      </c>
      <c r="D33" s="88">
        <f>IF($N33=0,0,ROUNDUP(MAX($O33*'02_Assumptions'!$C$6/100,$Q33),0))</f>
        <v>2</v>
      </c>
      <c r="E33" s="88">
        <f>IF($N33=0,0,ROUNDUP(MAX($O33*'02_Assumptions'!$C$6/100*(1+$P33*3),$Q33*4),0))</f>
        <v>4</v>
      </c>
      <c r="F33" s="32" t="s">
        <v>863</v>
      </c>
      <c r="G33" s="32" t="s">
        <v>505</v>
      </c>
      <c r="H33" s="198">
        <v>25000000</v>
      </c>
      <c r="I33" s="89">
        <f t="shared" si="0"/>
        <v>50000000</v>
      </c>
      <c r="J33" s="89">
        <f t="shared" si="1"/>
        <v>100000000</v>
      </c>
      <c r="K33" s="18">
        <v>5</v>
      </c>
      <c r="L33" s="18" t="s">
        <v>974</v>
      </c>
      <c r="M33" s="18" t="s">
        <v>975</v>
      </c>
      <c r="N33" s="67">
        <v>1</v>
      </c>
      <c r="O33" s="67">
        <v>2</v>
      </c>
      <c r="P33" s="68">
        <v>0.33333333333333331</v>
      </c>
      <c r="Q33" s="67">
        <v>0</v>
      </c>
    </row>
    <row r="34" spans="1:17">
      <c r="A34" s="18" t="s">
        <v>976</v>
      </c>
      <c r="B34" s="18" t="s">
        <v>977</v>
      </c>
      <c r="C34" s="18" t="s">
        <v>978</v>
      </c>
      <c r="D34" s="88">
        <f>IF($N34=0,0,ROUNDUP(MAX($O34*'02_Assumptions'!$C$6/100,$Q34),0))</f>
        <v>150</v>
      </c>
      <c r="E34" s="88">
        <f>IF($N34=0,0,ROUNDUP(MAX($O34*'02_Assumptions'!$C$6/100*(1+$P34*3),$Q34*4),0))</f>
        <v>180</v>
      </c>
      <c r="F34" s="32" t="s">
        <v>863</v>
      </c>
      <c r="G34" s="32" t="s">
        <v>899</v>
      </c>
      <c r="H34" s="198">
        <v>1200000</v>
      </c>
      <c r="I34" s="89">
        <f t="shared" si="0"/>
        <v>180000000</v>
      </c>
      <c r="J34" s="89">
        <f t="shared" si="1"/>
        <v>216000000</v>
      </c>
      <c r="K34" s="18">
        <v>2</v>
      </c>
      <c r="L34" s="18" t="s">
        <v>979</v>
      </c>
      <c r="M34" s="18" t="s">
        <v>877</v>
      </c>
      <c r="N34" s="67">
        <v>1</v>
      </c>
      <c r="O34" s="67">
        <v>150</v>
      </c>
      <c r="P34" s="68">
        <v>6.6666666666666652E-2</v>
      </c>
      <c r="Q34" s="67">
        <v>0</v>
      </c>
    </row>
    <row r="35" spans="1:17">
      <c r="A35" s="18" t="s">
        <v>976</v>
      </c>
      <c r="B35" s="18" t="s">
        <v>980</v>
      </c>
      <c r="C35" s="18" t="s">
        <v>981</v>
      </c>
      <c r="D35" s="88">
        <f>IF($N35=0,0,ROUNDUP(MAX($O35*'02_Assumptions'!$C$6/100,$Q35),0))</f>
        <v>1</v>
      </c>
      <c r="E35" s="88">
        <f>IF($N35=0,0,ROUNDUP(MAX($O35*'02_Assumptions'!$C$6/100*(1+$P35*3),$Q35*4),0))</f>
        <v>4</v>
      </c>
      <c r="F35" s="32" t="s">
        <v>863</v>
      </c>
      <c r="G35" s="32" t="s">
        <v>154</v>
      </c>
      <c r="H35" s="198">
        <v>50000000</v>
      </c>
      <c r="I35" s="89">
        <f t="shared" si="0"/>
        <v>50000000</v>
      </c>
      <c r="J35" s="89">
        <f t="shared" si="1"/>
        <v>200000000</v>
      </c>
      <c r="K35" s="18">
        <v>3</v>
      </c>
      <c r="L35" s="18" t="s">
        <v>982</v>
      </c>
      <c r="M35" s="18" t="s">
        <v>983</v>
      </c>
      <c r="N35" s="67">
        <v>1</v>
      </c>
      <c r="O35" s="67">
        <v>1</v>
      </c>
      <c r="P35" s="68">
        <v>1</v>
      </c>
      <c r="Q35" s="67">
        <v>0</v>
      </c>
    </row>
    <row r="36" spans="1:17">
      <c r="A36" s="18" t="s">
        <v>984</v>
      </c>
      <c r="B36" s="18" t="s">
        <v>985</v>
      </c>
      <c r="C36" s="18" t="s">
        <v>986</v>
      </c>
      <c r="D36" s="88">
        <f>IF($N36=0,0,ROUNDUP(MAX($O36*'02_Assumptions'!$C$6/100,$Q36),0))</f>
        <v>0</v>
      </c>
      <c r="E36" s="88">
        <f>IF($N36=0,0,ROUNDUP(MAX($O36*'02_Assumptions'!$C$6/100*(1+$P36*3),$Q36*4),0))</f>
        <v>0</v>
      </c>
      <c r="F36" s="32" t="s">
        <v>987</v>
      </c>
      <c r="G36" s="32" t="s">
        <v>988</v>
      </c>
      <c r="H36" s="198">
        <v>0</v>
      </c>
      <c r="I36" s="89">
        <f t="shared" si="0"/>
        <v>0</v>
      </c>
      <c r="J36" s="89">
        <f t="shared" si="1"/>
        <v>0</v>
      </c>
      <c r="K36" s="18">
        <v>0</v>
      </c>
      <c r="L36" s="18" t="s">
        <v>989</v>
      </c>
      <c r="M36" s="18" t="s">
        <v>990</v>
      </c>
      <c r="N36" s="67">
        <v>0</v>
      </c>
      <c r="O36" s="67">
        <v>0</v>
      </c>
      <c r="P36" s="68">
        <v>0</v>
      </c>
      <c r="Q36" s="67">
        <v>0</v>
      </c>
    </row>
    <row r="37" spans="1:17">
      <c r="A37" s="18" t="s">
        <v>984</v>
      </c>
      <c r="B37" s="18" t="s">
        <v>991</v>
      </c>
      <c r="C37" s="18" t="s">
        <v>992</v>
      </c>
      <c r="D37" s="88">
        <f>IF($N37=0,0,ROUNDUP(MAX($O37*'02_Assumptions'!$C$6/100,$Q37),0))</f>
        <v>0</v>
      </c>
      <c r="E37" s="88">
        <f>IF($N37=0,0,ROUNDUP(MAX($O37*'02_Assumptions'!$C$6/100*(1+$P37*3),$Q37*4),0))</f>
        <v>0</v>
      </c>
      <c r="F37" s="32" t="s">
        <v>987</v>
      </c>
      <c r="G37" s="32" t="s">
        <v>988</v>
      </c>
      <c r="H37" s="198">
        <v>0</v>
      </c>
      <c r="I37" s="89">
        <f t="shared" si="0"/>
        <v>0</v>
      </c>
      <c r="J37" s="89">
        <f t="shared" si="1"/>
        <v>0</v>
      </c>
      <c r="K37" s="18">
        <v>0</v>
      </c>
      <c r="L37" s="18" t="s">
        <v>993</v>
      </c>
      <c r="M37" s="18" t="s">
        <v>990</v>
      </c>
      <c r="N37" s="67">
        <v>0</v>
      </c>
      <c r="O37" s="67">
        <v>0</v>
      </c>
      <c r="P37" s="68">
        <v>0</v>
      </c>
      <c r="Q37" s="67">
        <v>0</v>
      </c>
    </row>
    <row r="38" spans="1:17">
      <c r="A38" s="18" t="s">
        <v>984</v>
      </c>
      <c r="B38" s="18" t="s">
        <v>994</v>
      </c>
      <c r="C38" s="18" t="s">
        <v>995</v>
      </c>
      <c r="D38" s="88">
        <f>IF($N38=0,0,ROUNDUP(MAX($O38*'02_Assumptions'!$C$6/100,$Q38),0))</f>
        <v>0</v>
      </c>
      <c r="E38" s="88">
        <f>IF($N38=0,0,ROUNDUP(MAX($O38*'02_Assumptions'!$C$6/100*(1+$P38*3),$Q38*4),0))</f>
        <v>0</v>
      </c>
      <c r="F38" s="32" t="s">
        <v>996</v>
      </c>
      <c r="G38" s="32" t="s">
        <v>143</v>
      </c>
      <c r="H38" s="198">
        <v>0</v>
      </c>
      <c r="I38" s="89">
        <f t="shared" si="0"/>
        <v>0</v>
      </c>
      <c r="J38" s="89">
        <f t="shared" si="1"/>
        <v>0</v>
      </c>
      <c r="K38" s="18">
        <v>0</v>
      </c>
      <c r="L38" s="18" t="s">
        <v>997</v>
      </c>
      <c r="M38" s="18" t="s">
        <v>998</v>
      </c>
      <c r="N38" s="67">
        <v>0</v>
      </c>
      <c r="O38" s="67">
        <v>0</v>
      </c>
      <c r="P38" s="68">
        <v>0</v>
      </c>
      <c r="Q38" s="67">
        <v>0</v>
      </c>
    </row>
    <row r="39" spans="1:17">
      <c r="A39" s="263" t="s">
        <v>999</v>
      </c>
      <c r="B39" s="263"/>
      <c r="C39" s="263"/>
      <c r="D39" s="263"/>
      <c r="E39" s="263"/>
      <c r="F39" s="263"/>
      <c r="G39" s="263"/>
      <c r="H39" s="264"/>
      <c r="I39" s="80">
        <f>SUM(I5:I38)+SUM(I42:I51)</f>
        <v>2287100000</v>
      </c>
      <c r="J39" s="80">
        <f>SUM(J5:J38)+SUM(J42:J51)</f>
        <v>4365600000</v>
      </c>
      <c r="K39" s="80"/>
      <c r="L39" s="80"/>
      <c r="M39" s="80"/>
      <c r="N39" s="73"/>
      <c r="O39" s="73"/>
      <c r="P39" s="73"/>
      <c r="Q39" s="73"/>
    </row>
    <row r="40" spans="1:17">
      <c r="A40" s="16"/>
      <c r="B40" s="16"/>
      <c r="C40" s="16"/>
      <c r="D40" s="16"/>
      <c r="E40" s="16"/>
      <c r="F40" s="16"/>
      <c r="G40" s="16"/>
      <c r="H40" s="200"/>
      <c r="I40" s="16"/>
      <c r="J40" s="16"/>
      <c r="K40" s="16"/>
      <c r="L40" s="16"/>
      <c r="M40" s="16"/>
      <c r="N40" s="16"/>
      <c r="O40" s="16"/>
      <c r="P40" s="101"/>
      <c r="Q40" s="16"/>
    </row>
    <row r="41" spans="1:17" ht="20" customHeight="1">
      <c r="A41" s="208" t="s">
        <v>1000</v>
      </c>
      <c r="B41" s="208"/>
      <c r="C41" s="208"/>
      <c r="D41" s="208"/>
      <c r="E41" s="208"/>
      <c r="F41" s="208"/>
      <c r="G41" s="208"/>
      <c r="H41" s="265"/>
      <c r="I41" s="208"/>
      <c r="J41" s="208"/>
      <c r="K41" s="208"/>
      <c r="L41" s="208"/>
      <c r="M41" s="208"/>
      <c r="N41" s="208"/>
      <c r="O41" s="208"/>
      <c r="P41" s="266"/>
      <c r="Q41" s="208"/>
    </row>
    <row r="42" spans="1:17">
      <c r="A42" s="67" t="s">
        <v>1001</v>
      </c>
      <c r="B42" s="67" t="s">
        <v>1002</v>
      </c>
      <c r="C42" s="67" t="s">
        <v>1003</v>
      </c>
      <c r="D42" s="102">
        <f>IF($N42=0,0,ROUNDUP(MAX($O42*'02_Assumptions'!$C$6/100,$Q42),0))</f>
        <v>0</v>
      </c>
      <c r="E42" s="102">
        <f>IF($N42=0,0,ROUNDUP(MAX($O42*'02_Assumptions'!$C$6/100*(1+$P42*3),$Q42*4),0))</f>
        <v>0</v>
      </c>
      <c r="F42" s="67" t="s">
        <v>1004</v>
      </c>
      <c r="G42" s="67" t="s">
        <v>505</v>
      </c>
      <c r="H42" s="201">
        <v>0</v>
      </c>
      <c r="I42" s="97">
        <f t="shared" ref="I42:I51" si="2">$D42*$H42</f>
        <v>0</v>
      </c>
      <c r="J42" s="97">
        <f t="shared" ref="J42:J51" si="3">$E42*$H42</f>
        <v>0</v>
      </c>
      <c r="K42" s="67">
        <v>5</v>
      </c>
      <c r="L42" s="67" t="s">
        <v>1005</v>
      </c>
      <c r="M42" s="67" t="s">
        <v>1006</v>
      </c>
      <c r="N42" s="67">
        <v>0</v>
      </c>
      <c r="O42" s="67">
        <v>0</v>
      </c>
      <c r="P42" s="68">
        <v>0</v>
      </c>
      <c r="Q42" s="67">
        <v>0</v>
      </c>
    </row>
    <row r="43" spans="1:17">
      <c r="A43" s="67" t="s">
        <v>1001</v>
      </c>
      <c r="B43" s="67" t="s">
        <v>1007</v>
      </c>
      <c r="C43" s="67" t="s">
        <v>1003</v>
      </c>
      <c r="D43" s="102">
        <f>IF($N43=0,0,ROUNDUP(MAX($O43*'02_Assumptions'!$C$6/100,$Q43),0))</f>
        <v>0</v>
      </c>
      <c r="E43" s="102">
        <f>IF($N43=0,0,ROUNDUP(MAX($O43*'02_Assumptions'!$C$6/100*(1+$P43*3),$Q43*4),0))</f>
        <v>0</v>
      </c>
      <c r="F43" s="67" t="s">
        <v>1004</v>
      </c>
      <c r="G43" s="67" t="s">
        <v>505</v>
      </c>
      <c r="H43" s="201">
        <v>0</v>
      </c>
      <c r="I43" s="97">
        <f t="shared" si="2"/>
        <v>0</v>
      </c>
      <c r="J43" s="97">
        <f t="shared" si="3"/>
        <v>0</v>
      </c>
      <c r="K43" s="67">
        <v>5</v>
      </c>
      <c r="L43" s="67" t="s">
        <v>1005</v>
      </c>
      <c r="M43" s="67" t="s">
        <v>1006</v>
      </c>
      <c r="N43" s="67">
        <v>0</v>
      </c>
      <c r="O43" s="67">
        <v>0</v>
      </c>
      <c r="P43" s="68">
        <v>0</v>
      </c>
      <c r="Q43" s="67">
        <v>0</v>
      </c>
    </row>
    <row r="44" spans="1:17">
      <c r="A44" s="67" t="s">
        <v>1001</v>
      </c>
      <c r="B44" s="67" t="s">
        <v>1008</v>
      </c>
      <c r="C44" s="67" t="s">
        <v>1003</v>
      </c>
      <c r="D44" s="102">
        <f>IF($N44=0,0,ROUNDUP(MAX($O44*'02_Assumptions'!$C$6/100,$Q44),0))</f>
        <v>0</v>
      </c>
      <c r="E44" s="102">
        <f>IF($N44=0,0,ROUNDUP(MAX($O44*'02_Assumptions'!$C$6/100*(1+$P44*3),$Q44*4),0))</f>
        <v>0</v>
      </c>
      <c r="F44" s="67" t="s">
        <v>1004</v>
      </c>
      <c r="G44" s="67" t="s">
        <v>505</v>
      </c>
      <c r="H44" s="201">
        <v>0</v>
      </c>
      <c r="I44" s="97">
        <f t="shared" si="2"/>
        <v>0</v>
      </c>
      <c r="J44" s="97">
        <f t="shared" si="3"/>
        <v>0</v>
      </c>
      <c r="K44" s="67">
        <v>5</v>
      </c>
      <c r="L44" s="67" t="s">
        <v>1005</v>
      </c>
      <c r="M44" s="67" t="s">
        <v>1006</v>
      </c>
      <c r="N44" s="67">
        <v>0</v>
      </c>
      <c r="O44" s="67">
        <v>0</v>
      </c>
      <c r="P44" s="68">
        <v>0</v>
      </c>
      <c r="Q44" s="67">
        <v>0</v>
      </c>
    </row>
    <row r="45" spans="1:17">
      <c r="A45" s="67" t="s">
        <v>1001</v>
      </c>
      <c r="B45" s="67" t="s">
        <v>1009</v>
      </c>
      <c r="C45" s="67" t="s">
        <v>1003</v>
      </c>
      <c r="D45" s="102">
        <f>IF($N45=0,0,ROUNDUP(MAX($O45*'02_Assumptions'!$C$6/100,$Q45),0))</f>
        <v>0</v>
      </c>
      <c r="E45" s="102">
        <f>IF($N45=0,0,ROUNDUP(MAX($O45*'02_Assumptions'!$C$6/100*(1+$P45*3),$Q45*4),0))</f>
        <v>0</v>
      </c>
      <c r="F45" s="67" t="s">
        <v>1004</v>
      </c>
      <c r="G45" s="67" t="s">
        <v>505</v>
      </c>
      <c r="H45" s="201">
        <v>0</v>
      </c>
      <c r="I45" s="97">
        <f t="shared" si="2"/>
        <v>0</v>
      </c>
      <c r="J45" s="97">
        <f t="shared" si="3"/>
        <v>0</v>
      </c>
      <c r="K45" s="67">
        <v>5</v>
      </c>
      <c r="L45" s="67" t="s">
        <v>1005</v>
      </c>
      <c r="M45" s="67" t="s">
        <v>1006</v>
      </c>
      <c r="N45" s="67">
        <v>0</v>
      </c>
      <c r="O45" s="67">
        <v>0</v>
      </c>
      <c r="P45" s="68">
        <v>0</v>
      </c>
      <c r="Q45" s="67">
        <v>0</v>
      </c>
    </row>
    <row r="46" spans="1:17">
      <c r="A46" s="67" t="s">
        <v>1001</v>
      </c>
      <c r="B46" s="67" t="s">
        <v>1010</v>
      </c>
      <c r="C46" s="67" t="s">
        <v>1003</v>
      </c>
      <c r="D46" s="102">
        <f>IF($N46=0,0,ROUNDUP(MAX($O46*'02_Assumptions'!$C$6/100,$Q46),0))</f>
        <v>0</v>
      </c>
      <c r="E46" s="102">
        <f>IF($N46=0,0,ROUNDUP(MAX($O46*'02_Assumptions'!$C$6/100*(1+$P46*3),$Q46*4),0))</f>
        <v>0</v>
      </c>
      <c r="F46" s="67" t="s">
        <v>1004</v>
      </c>
      <c r="G46" s="67" t="s">
        <v>505</v>
      </c>
      <c r="H46" s="201">
        <v>0</v>
      </c>
      <c r="I46" s="97">
        <f t="shared" si="2"/>
        <v>0</v>
      </c>
      <c r="J46" s="97">
        <f t="shared" si="3"/>
        <v>0</v>
      </c>
      <c r="K46" s="67">
        <v>5</v>
      </c>
      <c r="L46" s="67" t="s">
        <v>1005</v>
      </c>
      <c r="M46" s="67" t="s">
        <v>1006</v>
      </c>
      <c r="N46" s="67">
        <v>0</v>
      </c>
      <c r="O46" s="67">
        <v>0</v>
      </c>
      <c r="P46" s="68">
        <v>0</v>
      </c>
      <c r="Q46" s="67">
        <v>0</v>
      </c>
    </row>
    <row r="47" spans="1:17">
      <c r="A47" s="67" t="s">
        <v>1001</v>
      </c>
      <c r="B47" s="67" t="s">
        <v>1011</v>
      </c>
      <c r="C47" s="67" t="s">
        <v>1003</v>
      </c>
      <c r="D47" s="102">
        <f>IF($N47=0,0,ROUNDUP(MAX($O47*'02_Assumptions'!$C$6/100,$Q47),0))</f>
        <v>0</v>
      </c>
      <c r="E47" s="102">
        <f>IF($N47=0,0,ROUNDUP(MAX($O47*'02_Assumptions'!$C$6/100*(1+$P47*3),$Q47*4),0))</f>
        <v>0</v>
      </c>
      <c r="F47" s="67" t="s">
        <v>1004</v>
      </c>
      <c r="G47" s="67" t="s">
        <v>505</v>
      </c>
      <c r="H47" s="201">
        <v>0</v>
      </c>
      <c r="I47" s="97">
        <f t="shared" si="2"/>
        <v>0</v>
      </c>
      <c r="J47" s="97">
        <f t="shared" si="3"/>
        <v>0</v>
      </c>
      <c r="K47" s="67">
        <v>5</v>
      </c>
      <c r="L47" s="67" t="s">
        <v>1005</v>
      </c>
      <c r="M47" s="67" t="s">
        <v>1006</v>
      </c>
      <c r="N47" s="67">
        <v>0</v>
      </c>
      <c r="O47" s="67">
        <v>0</v>
      </c>
      <c r="P47" s="68">
        <v>0</v>
      </c>
      <c r="Q47" s="67">
        <v>0</v>
      </c>
    </row>
    <row r="48" spans="1:17">
      <c r="A48" s="67" t="s">
        <v>1001</v>
      </c>
      <c r="B48" s="67" t="s">
        <v>1012</v>
      </c>
      <c r="C48" s="67" t="s">
        <v>1003</v>
      </c>
      <c r="D48" s="102">
        <f>IF($N48=0,0,ROUNDUP(MAX($O48*'02_Assumptions'!$C$6/100,$Q48),0))</f>
        <v>0</v>
      </c>
      <c r="E48" s="102">
        <f>IF($N48=0,0,ROUNDUP(MAX($O48*'02_Assumptions'!$C$6/100*(1+$P48*3),$Q48*4),0))</f>
        <v>0</v>
      </c>
      <c r="F48" s="67" t="s">
        <v>1004</v>
      </c>
      <c r="G48" s="67" t="s">
        <v>505</v>
      </c>
      <c r="H48" s="201">
        <v>0</v>
      </c>
      <c r="I48" s="97">
        <f t="shared" si="2"/>
        <v>0</v>
      </c>
      <c r="J48" s="97">
        <f t="shared" si="3"/>
        <v>0</v>
      </c>
      <c r="K48" s="67">
        <v>5</v>
      </c>
      <c r="L48" s="67" t="s">
        <v>1005</v>
      </c>
      <c r="M48" s="67" t="s">
        <v>1006</v>
      </c>
      <c r="N48" s="67">
        <v>0</v>
      </c>
      <c r="O48" s="67">
        <v>0</v>
      </c>
      <c r="P48" s="68">
        <v>0</v>
      </c>
      <c r="Q48" s="67">
        <v>0</v>
      </c>
    </row>
    <row r="49" spans="1:17">
      <c r="A49" s="67" t="s">
        <v>1001</v>
      </c>
      <c r="B49" s="67" t="s">
        <v>1013</v>
      </c>
      <c r="C49" s="67" t="s">
        <v>1003</v>
      </c>
      <c r="D49" s="102">
        <f>IF($N49=0,0,ROUNDUP(MAX($O49*'02_Assumptions'!$C$6/100,$Q49),0))</f>
        <v>0</v>
      </c>
      <c r="E49" s="102">
        <f>IF($N49=0,0,ROUNDUP(MAX($O49*'02_Assumptions'!$C$6/100*(1+$P49*3),$Q49*4),0))</f>
        <v>0</v>
      </c>
      <c r="F49" s="67" t="s">
        <v>1004</v>
      </c>
      <c r="G49" s="67" t="s">
        <v>505</v>
      </c>
      <c r="H49" s="201">
        <v>0</v>
      </c>
      <c r="I49" s="97">
        <f t="shared" si="2"/>
        <v>0</v>
      </c>
      <c r="J49" s="97">
        <f t="shared" si="3"/>
        <v>0</v>
      </c>
      <c r="K49" s="67">
        <v>5</v>
      </c>
      <c r="L49" s="67" t="s">
        <v>1005</v>
      </c>
      <c r="M49" s="67" t="s">
        <v>1006</v>
      </c>
      <c r="N49" s="67">
        <v>0</v>
      </c>
      <c r="O49" s="67">
        <v>0</v>
      </c>
      <c r="P49" s="68">
        <v>0</v>
      </c>
      <c r="Q49" s="67">
        <v>0</v>
      </c>
    </row>
    <row r="50" spans="1:17">
      <c r="A50" s="67" t="s">
        <v>1001</v>
      </c>
      <c r="B50" s="67" t="s">
        <v>1014</v>
      </c>
      <c r="C50" s="67" t="s">
        <v>1003</v>
      </c>
      <c r="D50" s="102">
        <f>IF($N50=0,0,ROUNDUP(MAX($O50*'02_Assumptions'!$C$6/100,$Q50),0))</f>
        <v>0</v>
      </c>
      <c r="E50" s="102">
        <f>IF($N50=0,0,ROUNDUP(MAX($O50*'02_Assumptions'!$C$6/100*(1+$P50*3),$Q50*4),0))</f>
        <v>0</v>
      </c>
      <c r="F50" s="67" t="s">
        <v>1004</v>
      </c>
      <c r="G50" s="67" t="s">
        <v>505</v>
      </c>
      <c r="H50" s="201">
        <v>0</v>
      </c>
      <c r="I50" s="97">
        <f t="shared" si="2"/>
        <v>0</v>
      </c>
      <c r="J50" s="97">
        <f t="shared" si="3"/>
        <v>0</v>
      </c>
      <c r="K50" s="67">
        <v>5</v>
      </c>
      <c r="L50" s="67" t="s">
        <v>1005</v>
      </c>
      <c r="M50" s="67" t="s">
        <v>1006</v>
      </c>
      <c r="N50" s="67">
        <v>0</v>
      </c>
      <c r="O50" s="67">
        <v>0</v>
      </c>
      <c r="P50" s="68">
        <v>0</v>
      </c>
      <c r="Q50" s="67">
        <v>0</v>
      </c>
    </row>
    <row r="51" spans="1:17">
      <c r="A51" s="67" t="s">
        <v>1001</v>
      </c>
      <c r="B51" s="67" t="s">
        <v>1015</v>
      </c>
      <c r="C51" s="67" t="s">
        <v>1003</v>
      </c>
      <c r="D51" s="102">
        <f>IF($N51=0,0,ROUNDUP(MAX($O51*'02_Assumptions'!$C$6/100,$Q51),0))</f>
        <v>0</v>
      </c>
      <c r="E51" s="102">
        <f>IF($N51=0,0,ROUNDUP(MAX($O51*'02_Assumptions'!$C$6/100*(1+$P51*3),$Q51*4),0))</f>
        <v>0</v>
      </c>
      <c r="F51" s="67" t="s">
        <v>1004</v>
      </c>
      <c r="G51" s="67" t="s">
        <v>505</v>
      </c>
      <c r="H51" s="201">
        <v>0</v>
      </c>
      <c r="I51" s="97">
        <f t="shared" si="2"/>
        <v>0</v>
      </c>
      <c r="J51" s="97">
        <f t="shared" si="3"/>
        <v>0</v>
      </c>
      <c r="K51" s="67">
        <v>5</v>
      </c>
      <c r="L51" s="67" t="s">
        <v>1005</v>
      </c>
      <c r="M51" s="67" t="s">
        <v>1006</v>
      </c>
      <c r="N51" s="67">
        <v>0</v>
      </c>
      <c r="O51" s="67">
        <v>0</v>
      </c>
      <c r="P51" s="68">
        <v>0</v>
      </c>
      <c r="Q51" s="67">
        <v>0</v>
      </c>
    </row>
  </sheetData>
  <mergeCells count="4">
    <mergeCell ref="A1:M1"/>
    <mergeCell ref="A2:M2"/>
    <mergeCell ref="A39:H39"/>
    <mergeCell ref="A41:Q41"/>
  </mergeCells>
  <dataValidations count="1">
    <dataValidation type="list" sqref="N5:N38 N42:N51" xr:uid="{00000000-0002-0000-0600-000000000000}">
      <formula1>"0,1"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4"/>
  <sheetViews>
    <sheetView showGridLines="0" workbookViewId="0"/>
  </sheetViews>
  <sheetFormatPr defaultRowHeight="13.5"/>
  <cols>
    <col min="1" max="1" width="20" customWidth="1"/>
    <col min="2" max="2" width="29" customWidth="1"/>
    <col min="3" max="3" width="35" customWidth="1"/>
    <col min="4" max="4" width="10" customWidth="1"/>
    <col min="5" max="5" width="16" customWidth="1"/>
    <col min="6" max="6" width="19" customWidth="1"/>
    <col min="7" max="7" width="40" customWidth="1"/>
    <col min="8" max="17" width="14" customWidth="1"/>
    <col min="18" max="18" width="16" customWidth="1"/>
    <col min="19" max="19" width="19" customWidth="1"/>
    <col min="20" max="20" width="10" customWidth="1"/>
  </cols>
  <sheetData>
    <row r="1" spans="1:20" ht="28.05" customHeight="1">
      <c r="A1" s="206" t="s">
        <v>1016</v>
      </c>
      <c r="B1" s="206"/>
      <c r="C1" s="206"/>
      <c r="D1" s="206"/>
      <c r="E1" s="206"/>
      <c r="F1" s="206"/>
      <c r="G1" s="206"/>
      <c r="H1" s="206"/>
      <c r="I1" s="206"/>
      <c r="J1" s="206"/>
      <c r="K1" s="206"/>
      <c r="L1" s="206"/>
      <c r="M1" s="206"/>
      <c r="N1" s="206"/>
      <c r="O1" s="206"/>
      <c r="P1" s="206"/>
      <c r="Q1" s="206"/>
      <c r="R1" s="206"/>
      <c r="S1" s="206"/>
      <c r="T1" s="61"/>
    </row>
    <row r="2" spans="1:20" ht="38" customHeight="1">
      <c r="A2" s="207" t="s">
        <v>1017</v>
      </c>
      <c r="B2" s="207"/>
      <c r="C2" s="207"/>
      <c r="D2" s="207"/>
      <c r="E2" s="207"/>
      <c r="F2" s="207"/>
      <c r="G2" s="207"/>
      <c r="H2" s="207"/>
      <c r="I2" s="207"/>
      <c r="J2" s="207"/>
      <c r="K2" s="207"/>
      <c r="L2" s="207"/>
      <c r="M2" s="207"/>
      <c r="N2" s="207"/>
      <c r="O2" s="207"/>
      <c r="P2" s="207"/>
      <c r="Q2" s="207"/>
      <c r="R2" s="207"/>
      <c r="S2" s="207"/>
      <c r="T2" s="1"/>
    </row>
    <row r="3" spans="1:20">
      <c r="A3" s="16"/>
      <c r="B3" s="16"/>
      <c r="C3" s="16"/>
      <c r="D3" s="16"/>
      <c r="E3" s="16"/>
      <c r="F3" s="16"/>
      <c r="G3" s="16"/>
      <c r="H3" s="16"/>
      <c r="I3" s="16"/>
      <c r="J3" s="16"/>
      <c r="K3" s="16"/>
      <c r="L3" s="16"/>
      <c r="M3" s="16"/>
      <c r="N3" s="16"/>
      <c r="O3" s="16"/>
      <c r="P3" s="16"/>
      <c r="Q3" s="16"/>
      <c r="R3" s="16"/>
      <c r="S3" s="16"/>
      <c r="T3" s="16"/>
    </row>
    <row r="4" spans="1:20" ht="30" customHeight="1">
      <c r="A4" s="2" t="s">
        <v>134</v>
      </c>
      <c r="B4" s="3" t="s">
        <v>241</v>
      </c>
      <c r="C4" s="3" t="s">
        <v>1</v>
      </c>
      <c r="D4" s="3" t="s">
        <v>137</v>
      </c>
      <c r="E4" s="3" t="s">
        <v>851</v>
      </c>
      <c r="F4" s="3" t="s">
        <v>1018</v>
      </c>
      <c r="G4" s="3" t="s">
        <v>1019</v>
      </c>
      <c r="H4" s="3" t="s">
        <v>440</v>
      </c>
      <c r="I4" s="3" t="s">
        <v>441</v>
      </c>
      <c r="J4" s="3" t="s">
        <v>442</v>
      </c>
      <c r="K4" s="3" t="s">
        <v>443</v>
      </c>
      <c r="L4" s="3" t="s">
        <v>444</v>
      </c>
      <c r="M4" s="3" t="s">
        <v>445</v>
      </c>
      <c r="N4" s="3" t="s">
        <v>446</v>
      </c>
      <c r="O4" s="3" t="s">
        <v>447</v>
      </c>
      <c r="P4" s="3" t="s">
        <v>448</v>
      </c>
      <c r="Q4" s="3" t="s">
        <v>449</v>
      </c>
      <c r="R4" s="3" t="s">
        <v>1020</v>
      </c>
      <c r="S4" s="4" t="s">
        <v>1021</v>
      </c>
      <c r="T4" s="16" t="s">
        <v>473</v>
      </c>
    </row>
    <row r="5" spans="1:20">
      <c r="A5" s="18" t="s">
        <v>1022</v>
      </c>
      <c r="B5" s="18" t="s">
        <v>1023</v>
      </c>
      <c r="C5" s="18" t="s">
        <v>1024</v>
      </c>
      <c r="D5" s="18" t="s">
        <v>1025</v>
      </c>
      <c r="E5" s="198">
        <f>'02_Assumptions'!$C$68</f>
        <v>8000</v>
      </c>
      <c r="F5" s="18" t="s">
        <v>1026</v>
      </c>
      <c r="G5" s="18" t="s">
        <v>1027</v>
      </c>
      <c r="H5" s="38">
        <f>IF(1&lt;='02_Assumptions'!$C$17,'04_Planting_Design'!$D$26*'02_Assumptions'!$B$123*'02_Assumptions'!$B$131+'04_Planting_Design'!$D$24*'02_Assumptions'!$B$134+'04_Planting_Design'!$D$25*'02_Assumptions'!$B$139,0)</f>
        <v>11641.740000000002</v>
      </c>
      <c r="I5" s="38">
        <f>IF(2&lt;='02_Assumptions'!$C$17,'04_Planting_Design'!$D$26*'02_Assumptions'!$C$123*'02_Assumptions'!$C$131+'04_Planting_Design'!$D$24*'02_Assumptions'!$C$134+'04_Planting_Design'!$D$25*'02_Assumptions'!$C$139,0)</f>
        <v>11630.036</v>
      </c>
      <c r="J5" s="38">
        <f>IF(3&lt;='02_Assumptions'!$C$17,'04_Planting_Design'!$D$26*'02_Assumptions'!$D$123*'02_Assumptions'!$D$131+'04_Planting_Design'!$D$24*'02_Assumptions'!$D$134+'04_Planting_Design'!$D$25*'02_Assumptions'!$D$139,0)</f>
        <v>0</v>
      </c>
      <c r="K5" s="38">
        <f>IF(4&lt;='02_Assumptions'!$C$17,'04_Planting_Design'!$D$26*'02_Assumptions'!$E$123*'02_Assumptions'!$E$131+'04_Planting_Design'!$D$24*'02_Assumptions'!$E$134+'04_Planting_Design'!$D$25*'02_Assumptions'!$E$139,0)</f>
        <v>0</v>
      </c>
      <c r="L5" s="38">
        <f>IF(5&lt;='02_Assumptions'!$C$17,'04_Planting_Design'!$D$26*'02_Assumptions'!$F$123*'02_Assumptions'!$F$131+'04_Planting_Design'!$D$24*'02_Assumptions'!$F$134+'04_Planting_Design'!$D$25*'02_Assumptions'!$F$139,0)</f>
        <v>0</v>
      </c>
      <c r="M5" s="38">
        <f>IF(6&lt;='02_Assumptions'!$C$17,'04_Planting_Design'!$D$26*'02_Assumptions'!$G$123*'02_Assumptions'!$G$131+'04_Planting_Design'!$D$24*'02_Assumptions'!$G$134+'04_Planting_Design'!$D$25*'02_Assumptions'!$G$139,0)</f>
        <v>0</v>
      </c>
      <c r="N5" s="38">
        <f>IF(7&lt;='02_Assumptions'!$C$17,'04_Planting_Design'!$D$26*'02_Assumptions'!$H$123*'02_Assumptions'!$H$131+'04_Planting_Design'!$D$24*'02_Assumptions'!$H$134+'04_Planting_Design'!$D$25*'02_Assumptions'!$H$139,0)</f>
        <v>0</v>
      </c>
      <c r="O5" s="38">
        <f>IF(8&lt;='02_Assumptions'!$C$17,'04_Planting_Design'!$D$26*'02_Assumptions'!$I$123*'02_Assumptions'!$I$131+'04_Planting_Design'!$D$24*'02_Assumptions'!$I$134+'04_Planting_Design'!$D$25*'02_Assumptions'!$I$139,0)</f>
        <v>0</v>
      </c>
      <c r="P5" s="38">
        <f>IF(9&lt;='02_Assumptions'!$C$17,'04_Planting_Design'!$D$26*'02_Assumptions'!$J$123*'02_Assumptions'!$J$131+'04_Planting_Design'!$D$24*'02_Assumptions'!$J$134+'04_Planting_Design'!$D$25*'02_Assumptions'!$J$139,0)</f>
        <v>0</v>
      </c>
      <c r="Q5" s="38">
        <f>IF(10&lt;='02_Assumptions'!$C$17,'04_Planting_Design'!$D$26*'02_Assumptions'!$K$123*'02_Assumptions'!$K$131+'04_Planting_Design'!$D$24*'02_Assumptions'!$K$134+'04_Planting_Design'!$D$25*'02_Assumptions'!$K$139,0)</f>
        <v>0</v>
      </c>
      <c r="R5" s="38">
        <f t="shared" ref="R5:R25" si="0">SUM(H5:Q5)</f>
        <v>23271.776000000002</v>
      </c>
      <c r="S5" s="37">
        <f>H5*$E5*(1+'02_Assumptions'!$C$11)^0+I5*$E5*(1+'02_Assumptions'!$C$11)^1+J5*$E5*(1+'02_Assumptions'!$C$11)^2+K5*$E5*(1+'02_Assumptions'!$C$11)^3+L5*$E5*(1+'02_Assumptions'!$C$11)^4+M5*$E5*(1+'02_Assumptions'!$C$11)^5+N5*$E5*(1+'02_Assumptions'!$C$11)^6+O5*$E5*(1+'02_Assumptions'!$C$11)^7+P5*$E5*(1+'02_Assumptions'!$C$11)^8+Q5*$E5*(1+'02_Assumptions'!$C$11)^9</f>
        <v>189895819.52000004</v>
      </c>
      <c r="T5" s="67">
        <v>1</v>
      </c>
    </row>
    <row r="6" spans="1:20">
      <c r="A6" s="18" t="s">
        <v>1022</v>
      </c>
      <c r="B6" s="18" t="s">
        <v>1028</v>
      </c>
      <c r="C6" s="18" t="s">
        <v>1029</v>
      </c>
      <c r="D6" s="18" t="s">
        <v>1025</v>
      </c>
      <c r="E6" s="198">
        <f>'02_Assumptions'!$C$69</f>
        <v>5000</v>
      </c>
      <c r="F6" s="18" t="s">
        <v>1026</v>
      </c>
      <c r="G6" s="18" t="s">
        <v>1030</v>
      </c>
      <c r="H6" s="38">
        <f>IF(1&lt;='02_Assumptions'!$C$17,'04_Planting_Design'!$D$24*'02_Assumptions'!$B$135+'04_Planting_Design'!$D$25*'02_Assumptions'!$B$140,0)</f>
        <v>1278.42</v>
      </c>
      <c r="I6" s="38">
        <f>IF(2&lt;='02_Assumptions'!$C$17,'04_Planting_Design'!$D$24*'02_Assumptions'!$C$135+'04_Planting_Design'!$D$25*'02_Assumptions'!$C$140,0)</f>
        <v>1744.1599999999999</v>
      </c>
      <c r="J6" s="38">
        <f>IF(3&lt;='02_Assumptions'!$C$17,'04_Planting_Design'!$D$24*'02_Assumptions'!$D$135+'04_Planting_Design'!$D$25*'02_Assumptions'!$D$140,0)</f>
        <v>0</v>
      </c>
      <c r="K6" s="38">
        <f>IF(4&lt;='02_Assumptions'!$C$17,'04_Planting_Design'!$D$24*'02_Assumptions'!$E$135+'04_Planting_Design'!$D$25*'02_Assumptions'!$E$140,0)</f>
        <v>0</v>
      </c>
      <c r="L6" s="38">
        <f>IF(5&lt;='02_Assumptions'!$C$17,'04_Planting_Design'!$D$24*'02_Assumptions'!$F$135+'04_Planting_Design'!$D$25*'02_Assumptions'!$F$140,0)</f>
        <v>0</v>
      </c>
      <c r="M6" s="38">
        <f>IF(6&lt;='02_Assumptions'!$C$17,'04_Planting_Design'!$D$24*'02_Assumptions'!$G$135+'04_Planting_Design'!$D$25*'02_Assumptions'!$G$140,0)</f>
        <v>0</v>
      </c>
      <c r="N6" s="38">
        <f>IF(7&lt;='02_Assumptions'!$C$17,'04_Planting_Design'!$D$24*'02_Assumptions'!$H$135+'04_Planting_Design'!$D$25*'02_Assumptions'!$H$140,0)</f>
        <v>0</v>
      </c>
      <c r="O6" s="38">
        <f>IF(8&lt;='02_Assumptions'!$C$17,'04_Planting_Design'!$D$24*'02_Assumptions'!$I$135+'04_Planting_Design'!$D$25*'02_Assumptions'!$I$140,0)</f>
        <v>0</v>
      </c>
      <c r="P6" s="38">
        <f>IF(9&lt;='02_Assumptions'!$C$17,'04_Planting_Design'!$D$24*'02_Assumptions'!$J$135+'04_Planting_Design'!$D$25*'02_Assumptions'!$J$140,0)</f>
        <v>0</v>
      </c>
      <c r="Q6" s="38">
        <f>IF(10&lt;='02_Assumptions'!$C$17,'04_Planting_Design'!$D$24*'02_Assumptions'!$K$135+'04_Planting_Design'!$D$25*'02_Assumptions'!$K$140,0)</f>
        <v>0</v>
      </c>
      <c r="R6" s="38">
        <f t="shared" si="0"/>
        <v>3022.58</v>
      </c>
      <c r="S6" s="37">
        <f>H6*$E6*(1+'02_Assumptions'!$C$11)^0+I6*$E6*(1+'02_Assumptions'!$C$11)^1+J6*$E6*(1+'02_Assumptions'!$C$11)^2+K6*$E6*(1+'02_Assumptions'!$C$11)^3+L6*$E6*(1+'02_Assumptions'!$C$11)^4+M6*$E6*(1+'02_Assumptions'!$C$11)^5+N6*$E6*(1+'02_Assumptions'!$C$11)^6+O6*$E6*(1+'02_Assumptions'!$C$11)^7+P6*$E6*(1+'02_Assumptions'!$C$11)^8+Q6*$E6*(1+'02_Assumptions'!$C$11)^9</f>
        <v>15461732</v>
      </c>
      <c r="T6" s="67">
        <v>1</v>
      </c>
    </row>
    <row r="7" spans="1:20">
      <c r="A7" s="18" t="s">
        <v>1022</v>
      </c>
      <c r="B7" s="18" t="s">
        <v>1031</v>
      </c>
      <c r="C7" s="18" t="s">
        <v>1032</v>
      </c>
      <c r="D7" s="18" t="s">
        <v>1025</v>
      </c>
      <c r="E7" s="198">
        <f>'02_Assumptions'!$C$70</f>
        <v>10000</v>
      </c>
      <c r="F7" s="18" t="s">
        <v>1026</v>
      </c>
      <c r="G7" s="18" t="s">
        <v>1033</v>
      </c>
      <c r="H7" s="38">
        <f>IF(1&lt;='02_Assumptions'!$C$17,'04_Planting_Design'!$D$26*'02_Assumptions'!$B$123*'02_Assumptions'!$B$132+'04_Planting_Design'!$D$24*'02_Assumptions'!$B$136+'04_Planting_Design'!$D$25*'02_Assumptions'!$B$141,0)</f>
        <v>6029.76</v>
      </c>
      <c r="I7" s="38">
        <f>IF(2&lt;='02_Assumptions'!$C$17,'04_Planting_Design'!$D$26*'02_Assumptions'!$C$123*'02_Assumptions'!$C$132+'04_Planting_Design'!$D$24*'02_Assumptions'!$C$136+'04_Planting_Design'!$D$25*'02_Assumptions'!$C$141,0)</f>
        <v>6209.5</v>
      </c>
      <c r="J7" s="38">
        <f>IF(3&lt;='02_Assumptions'!$C$17,'04_Planting_Design'!$D$26*'02_Assumptions'!$D$123*'02_Assumptions'!$D$132+'04_Planting_Design'!$D$24*'02_Assumptions'!$D$136+'04_Planting_Design'!$D$25*'02_Assumptions'!$D$141,0)</f>
        <v>0</v>
      </c>
      <c r="K7" s="38">
        <f>IF(4&lt;='02_Assumptions'!$C$17,'04_Planting_Design'!$D$26*'02_Assumptions'!$E$123*'02_Assumptions'!$E$132+'04_Planting_Design'!$D$24*'02_Assumptions'!$E$136+'04_Planting_Design'!$D$25*'02_Assumptions'!$E$141,0)</f>
        <v>0</v>
      </c>
      <c r="L7" s="38">
        <f>IF(5&lt;='02_Assumptions'!$C$17,'04_Planting_Design'!$D$26*'02_Assumptions'!$F$123*'02_Assumptions'!$F$132+'04_Planting_Design'!$D$24*'02_Assumptions'!$F$136+'04_Planting_Design'!$D$25*'02_Assumptions'!$F$141,0)</f>
        <v>0</v>
      </c>
      <c r="M7" s="38">
        <f>IF(6&lt;='02_Assumptions'!$C$17,'04_Planting_Design'!$D$26*'02_Assumptions'!$G$123*'02_Assumptions'!$G$132+'04_Planting_Design'!$D$24*'02_Assumptions'!$G$136+'04_Planting_Design'!$D$25*'02_Assumptions'!$G$141,0)</f>
        <v>0</v>
      </c>
      <c r="N7" s="38">
        <f>IF(7&lt;='02_Assumptions'!$C$17,'04_Planting_Design'!$D$26*'02_Assumptions'!$H$123*'02_Assumptions'!$H$132+'04_Planting_Design'!$D$24*'02_Assumptions'!$H$136+'04_Planting_Design'!$D$25*'02_Assumptions'!$H$141,0)</f>
        <v>0</v>
      </c>
      <c r="O7" s="38">
        <f>IF(8&lt;='02_Assumptions'!$C$17,'04_Planting_Design'!$D$26*'02_Assumptions'!$I$123*'02_Assumptions'!$I$132+'04_Planting_Design'!$D$24*'02_Assumptions'!$I$136+'04_Planting_Design'!$D$25*'02_Assumptions'!$I$141,0)</f>
        <v>0</v>
      </c>
      <c r="P7" s="38">
        <f>IF(9&lt;='02_Assumptions'!$C$17,'04_Planting_Design'!$D$26*'02_Assumptions'!$J$123*'02_Assumptions'!$J$132+'04_Planting_Design'!$D$24*'02_Assumptions'!$J$136+'04_Planting_Design'!$D$25*'02_Assumptions'!$J$141,0)</f>
        <v>0</v>
      </c>
      <c r="Q7" s="38">
        <f>IF(10&lt;='02_Assumptions'!$C$17,'04_Planting_Design'!$D$26*'02_Assumptions'!$K$123*'02_Assumptions'!$K$132+'04_Planting_Design'!$D$24*'02_Assumptions'!$K$136+'04_Planting_Design'!$D$25*'02_Assumptions'!$K$141,0)</f>
        <v>0</v>
      </c>
      <c r="R7" s="38">
        <f t="shared" si="0"/>
        <v>12239.26</v>
      </c>
      <c r="S7" s="37">
        <f>H7*$E7*(1+'02_Assumptions'!$C$11)^0+I7*$E7*(1+'02_Assumptions'!$C$11)^1+J7*$E7*(1+'02_Assumptions'!$C$11)^2+K7*$E7*(1+'02_Assumptions'!$C$11)^3+L7*$E7*(1+'02_Assumptions'!$C$11)^4+M7*$E7*(1+'02_Assumptions'!$C$11)^5+N7*$E7*(1+'02_Assumptions'!$C$11)^6+O7*$E7*(1+'02_Assumptions'!$C$11)^7+P7*$E7*(1+'02_Assumptions'!$C$11)^8+Q7*$E7*(1+'02_Assumptions'!$C$11)^9</f>
        <v>124876400</v>
      </c>
      <c r="T7" s="67">
        <v>1</v>
      </c>
    </row>
    <row r="8" spans="1:20">
      <c r="A8" s="18" t="s">
        <v>1022</v>
      </c>
      <c r="B8" s="18" t="s">
        <v>316</v>
      </c>
      <c r="C8" s="18" t="s">
        <v>1034</v>
      </c>
      <c r="D8" s="18" t="s">
        <v>1025</v>
      </c>
      <c r="E8" s="198">
        <f>'02_Assumptions'!$C$71</f>
        <v>8000</v>
      </c>
      <c r="F8" s="18" t="s">
        <v>1035</v>
      </c>
      <c r="G8" s="18" t="s">
        <v>1036</v>
      </c>
      <c r="H8" s="38">
        <f>IF(1&lt;='02_Assumptions'!$C$17,'04_Planting_Design'!$D$26*'02_Assumptions'!$B$123*'02_Assumptions'!$B$133+'04_Planting_Design'!$D$24*'02_Assumptions'!$B$137+'04_Planting_Design'!$D$25*'02_Assumptions'!$B$142,0)</f>
        <v>6376.7</v>
      </c>
      <c r="I8" s="38">
        <f>IF(2&lt;='02_Assumptions'!$C$17,'04_Planting_Design'!$D$26*'02_Assumptions'!$C$123*'02_Assumptions'!$C$133+'04_Planting_Design'!$D$24*'02_Assumptions'!$C$137+'04_Planting_Design'!$D$25*'02_Assumptions'!$C$142,0)</f>
        <v>7022.18</v>
      </c>
      <c r="J8" s="38">
        <f>IF(3&lt;='02_Assumptions'!$C$17,'04_Planting_Design'!$D$26*'02_Assumptions'!$D$123*'02_Assumptions'!$D$133+'04_Planting_Design'!$D$24*'02_Assumptions'!$D$137+'04_Planting_Design'!$D$25*'02_Assumptions'!$D$142,0)</f>
        <v>0</v>
      </c>
      <c r="K8" s="38">
        <f>IF(4&lt;='02_Assumptions'!$C$17,'04_Planting_Design'!$D$26*'02_Assumptions'!$E$123*'02_Assumptions'!$E$133+'04_Planting_Design'!$D$24*'02_Assumptions'!$E$137+'04_Planting_Design'!$D$25*'02_Assumptions'!$E$142,0)</f>
        <v>0</v>
      </c>
      <c r="L8" s="38">
        <f>IF(5&lt;='02_Assumptions'!$C$17,'04_Planting_Design'!$D$26*'02_Assumptions'!$F$123*'02_Assumptions'!$F$133+'04_Planting_Design'!$D$24*'02_Assumptions'!$F$137+'04_Planting_Design'!$D$25*'02_Assumptions'!$F$142,0)</f>
        <v>0</v>
      </c>
      <c r="M8" s="38">
        <f>IF(6&lt;='02_Assumptions'!$C$17,'04_Planting_Design'!$D$26*'02_Assumptions'!$G$123*'02_Assumptions'!$G$133+'04_Planting_Design'!$D$24*'02_Assumptions'!$G$137+'04_Planting_Design'!$D$25*'02_Assumptions'!$G$142,0)</f>
        <v>0</v>
      </c>
      <c r="N8" s="38">
        <f>IF(7&lt;='02_Assumptions'!$C$17,'04_Planting_Design'!$D$26*'02_Assumptions'!$H$123*'02_Assumptions'!$H$133+'04_Planting_Design'!$D$24*'02_Assumptions'!$H$137+'04_Planting_Design'!$D$25*'02_Assumptions'!$H$142,0)</f>
        <v>0</v>
      </c>
      <c r="O8" s="38">
        <f>IF(8&lt;='02_Assumptions'!$C$17,'04_Planting_Design'!$D$26*'02_Assumptions'!$I$123*'02_Assumptions'!$I$133+'04_Planting_Design'!$D$24*'02_Assumptions'!$I$137+'04_Planting_Design'!$D$25*'02_Assumptions'!$I$142,0)</f>
        <v>0</v>
      </c>
      <c r="P8" s="38">
        <f>IF(9&lt;='02_Assumptions'!$C$17,'04_Planting_Design'!$D$26*'02_Assumptions'!$J$123*'02_Assumptions'!$J$133+'04_Planting_Design'!$D$24*'02_Assumptions'!$J$137+'04_Planting_Design'!$D$25*'02_Assumptions'!$J$142,0)</f>
        <v>0</v>
      </c>
      <c r="Q8" s="38">
        <f>IF(10&lt;='02_Assumptions'!$C$17,'04_Planting_Design'!$D$26*'02_Assumptions'!$K$123*'02_Assumptions'!$K$133+'04_Planting_Design'!$D$24*'02_Assumptions'!$K$137+'04_Planting_Design'!$D$25*'02_Assumptions'!$K$142,0)</f>
        <v>0</v>
      </c>
      <c r="R8" s="38">
        <f t="shared" si="0"/>
        <v>13398.880000000001</v>
      </c>
      <c r="S8" s="37">
        <f>H8*$E8*(1+'02_Assumptions'!$C$11)^0+I8*$E8*(1+'02_Assumptions'!$C$11)^1+J8*$E8*(1+'02_Assumptions'!$C$11)^2+K8*$E8*(1+'02_Assumptions'!$C$11)^3+L8*$E8*(1+'02_Assumptions'!$C$11)^4+M8*$E8*(1+'02_Assumptions'!$C$11)^5+N8*$E8*(1+'02_Assumptions'!$C$11)^6+O8*$E8*(1+'02_Assumptions'!$C$11)^7+P8*$E8*(1+'02_Assumptions'!$C$11)^8+Q8*$E8*(1+'02_Assumptions'!$C$11)^9</f>
        <v>109438137.59999999</v>
      </c>
      <c r="T8" s="67">
        <v>1</v>
      </c>
    </row>
    <row r="9" spans="1:20">
      <c r="A9" s="18" t="s">
        <v>1022</v>
      </c>
      <c r="B9" s="18" t="s">
        <v>1037</v>
      </c>
      <c r="C9" s="18" t="s">
        <v>1038</v>
      </c>
      <c r="D9" s="18" t="s">
        <v>1025</v>
      </c>
      <c r="E9" s="198">
        <f>'02_Assumptions'!$C$72</f>
        <v>10000</v>
      </c>
      <c r="F9" s="18" t="s">
        <v>1026</v>
      </c>
      <c r="G9" s="18" t="s">
        <v>1039</v>
      </c>
      <c r="H9" s="38">
        <f>IF(1&lt;='02_Assumptions'!$C$17,'04_Planting_Design'!$D$24*'02_Assumptions'!$B$138+'04_Planting_Design'!$D$25*'02_Assumptions'!$B$143,0)</f>
        <v>0</v>
      </c>
      <c r="I9" s="38">
        <f>IF(2&lt;='02_Assumptions'!$C$17,'04_Planting_Design'!$D$24*'02_Assumptions'!$C$138+'04_Planting_Design'!$D$25*'02_Assumptions'!$C$143,0)</f>
        <v>0</v>
      </c>
      <c r="J9" s="38">
        <f>IF(3&lt;='02_Assumptions'!$C$17,'04_Planting_Design'!$D$24*'02_Assumptions'!$D$138+'04_Planting_Design'!$D$25*'02_Assumptions'!$D$143,0)</f>
        <v>0</v>
      </c>
      <c r="K9" s="38">
        <f>IF(4&lt;='02_Assumptions'!$C$17,'04_Planting_Design'!$D$24*'02_Assumptions'!$E$138+'04_Planting_Design'!$D$25*'02_Assumptions'!$E$143,0)</f>
        <v>0</v>
      </c>
      <c r="L9" s="38">
        <f>IF(5&lt;='02_Assumptions'!$C$17,'04_Planting_Design'!$D$24*'02_Assumptions'!$F$138+'04_Planting_Design'!$D$25*'02_Assumptions'!$F$143,0)</f>
        <v>0</v>
      </c>
      <c r="M9" s="38">
        <f>IF(6&lt;='02_Assumptions'!$C$17,'04_Planting_Design'!$D$24*'02_Assumptions'!$G$138+'04_Planting_Design'!$D$25*'02_Assumptions'!$G$143,0)</f>
        <v>0</v>
      </c>
      <c r="N9" s="38">
        <f>IF(7&lt;='02_Assumptions'!$C$17,'04_Planting_Design'!$D$24*'02_Assumptions'!$H$138+'04_Planting_Design'!$D$25*'02_Assumptions'!$H$143,0)</f>
        <v>0</v>
      </c>
      <c r="O9" s="38">
        <f>IF(8&lt;='02_Assumptions'!$C$17,'04_Planting_Design'!$D$24*'02_Assumptions'!$I$138+'04_Planting_Design'!$D$25*'02_Assumptions'!$I$143,0)</f>
        <v>0</v>
      </c>
      <c r="P9" s="38">
        <f>IF(9&lt;='02_Assumptions'!$C$17,'04_Planting_Design'!$D$24*'02_Assumptions'!$J$138+'04_Planting_Design'!$D$25*'02_Assumptions'!$J$143,0)</f>
        <v>0</v>
      </c>
      <c r="Q9" s="38">
        <f>IF(10&lt;='02_Assumptions'!$C$17,'04_Planting_Design'!$D$24*'02_Assumptions'!$K$138+'04_Planting_Design'!$D$25*'02_Assumptions'!$K$143,0)</f>
        <v>0</v>
      </c>
      <c r="R9" s="38">
        <f t="shared" si="0"/>
        <v>0</v>
      </c>
      <c r="S9" s="37">
        <f>H9*$E9*(1+'02_Assumptions'!$C$11)^0+I9*$E9*(1+'02_Assumptions'!$C$11)^1+J9*$E9*(1+'02_Assumptions'!$C$11)^2+K9*$E9*(1+'02_Assumptions'!$C$11)^3+L9*$E9*(1+'02_Assumptions'!$C$11)^4+M9*$E9*(1+'02_Assumptions'!$C$11)^5+N9*$E9*(1+'02_Assumptions'!$C$11)^6+O9*$E9*(1+'02_Assumptions'!$C$11)^7+P9*$E9*(1+'02_Assumptions'!$C$11)^8+Q9*$E9*(1+'02_Assumptions'!$C$11)^9</f>
        <v>0</v>
      </c>
      <c r="T9" s="67">
        <v>1</v>
      </c>
    </row>
    <row r="10" spans="1:20">
      <c r="A10" s="18" t="s">
        <v>1040</v>
      </c>
      <c r="B10" s="18" t="s">
        <v>320</v>
      </c>
      <c r="C10" s="18" t="s">
        <v>1041</v>
      </c>
      <c r="D10" s="18" t="s">
        <v>1025</v>
      </c>
      <c r="E10" s="198">
        <f>'02_Assumptions'!$C$73</f>
        <v>1000</v>
      </c>
      <c r="F10" s="18" t="s">
        <v>1042</v>
      </c>
      <c r="G10" s="18" t="s">
        <v>1043</v>
      </c>
      <c r="H10" s="38">
        <f>0.5*(('04_Planting_Design'!$D$24+'04_Planting_Design'!$D$25)*'02_Assumptions'!$B$144+'04_Planting_Design'!$D$26*'02_Assumptions'!$B$123*'02_Assumptions'!$B$145)</f>
        <v>124487</v>
      </c>
      <c r="I10" s="38">
        <f>0.5*(('04_Planting_Design'!$D$24+'04_Planting_Design'!$D$25)*'02_Assumptions'!$C$144+'04_Planting_Design'!$D$26*'02_Assumptions'!$C$123*'02_Assumptions'!$C$145)</f>
        <v>137654</v>
      </c>
      <c r="J10" s="38">
        <f>0.5*(('04_Planting_Design'!$D$24+'04_Planting_Design'!$D$25)*'02_Assumptions'!$D$144+'04_Planting_Design'!$D$26*'02_Assumptions'!$D$123*'02_Assumptions'!$D$145)</f>
        <v>140701</v>
      </c>
      <c r="K10" s="38">
        <f>0.5*(('04_Planting_Design'!$D$24+'04_Planting_Design'!$D$25)*'02_Assumptions'!$E$144+'04_Planting_Design'!$D$26*'02_Assumptions'!$E$123*'02_Assumptions'!$E$145)</f>
        <v>106293</v>
      </c>
      <c r="L10" s="38">
        <f>0.5*(('04_Planting_Design'!$D$24+'04_Planting_Design'!$D$25)*'02_Assumptions'!$F$144+'04_Planting_Design'!$D$26*'02_Assumptions'!$F$123*'02_Assumptions'!$F$145)</f>
        <v>113388</v>
      </c>
      <c r="M10" s="38">
        <f>0.5*(('04_Planting_Design'!$D$24+'04_Planting_Design'!$D$25)*'02_Assumptions'!$G$144+'04_Planting_Design'!$D$26*'02_Assumptions'!$G$123*'02_Assumptions'!$G$145)</f>
        <v>102256</v>
      </c>
      <c r="N10" s="38">
        <f>0.5*(('04_Planting_Design'!$D$24+'04_Planting_Design'!$D$25)*'02_Assumptions'!$H$144+'04_Planting_Design'!$D$26*'02_Assumptions'!$H$123*'02_Assumptions'!$H$145)</f>
        <v>122506.99999999999</v>
      </c>
      <c r="O10" s="38">
        <f>0.5*(('04_Planting_Design'!$D$24+'04_Planting_Design'!$D$25)*'02_Assumptions'!$I$144+'04_Planting_Design'!$D$26*'02_Assumptions'!$I$123*'02_Assumptions'!$I$145)</f>
        <v>122506.99999999999</v>
      </c>
      <c r="P10" s="38">
        <f>0.5*(('04_Planting_Design'!$D$24+'04_Planting_Design'!$D$25)*'02_Assumptions'!$J$144+'04_Planting_Design'!$D$26*'02_Assumptions'!$J$123*'02_Assumptions'!$J$145)</f>
        <v>122506.99999999999</v>
      </c>
      <c r="Q10" s="38">
        <f>0.5*(('04_Planting_Design'!$D$24+'04_Planting_Design'!$D$25)*'02_Assumptions'!$K$144+'04_Planting_Design'!$D$26*'02_Assumptions'!$K$123*'02_Assumptions'!$K$145)</f>
        <v>122506.99999999999</v>
      </c>
      <c r="R10" s="38">
        <f t="shared" si="0"/>
        <v>1214807</v>
      </c>
      <c r="S10" s="37">
        <f>H10*$E10*(1+'02_Assumptions'!$C$11)^0+I10*$E10*(1+'02_Assumptions'!$C$11)^1+J10*$E10*(1+'02_Assumptions'!$C$11)^2+K10*$E10*(1+'02_Assumptions'!$C$11)^3+L10*$E10*(1+'02_Assumptions'!$C$11)^4+M10*$E10*(1+'02_Assumptions'!$C$11)^5+N10*$E10*(1+'02_Assumptions'!$C$11)^6+O10*$E10*(1+'02_Assumptions'!$C$11)^7+P10*$E10*(1+'02_Assumptions'!$C$11)^8+Q10*$E10*(1+'02_Assumptions'!$C$11)^9</f>
        <v>1454698752.6811469</v>
      </c>
      <c r="T10" s="67">
        <v>1</v>
      </c>
    </row>
    <row r="11" spans="1:20">
      <c r="A11" s="18" t="s">
        <v>1040</v>
      </c>
      <c r="B11" s="18" t="s">
        <v>1044</v>
      </c>
      <c r="C11" s="18" t="s">
        <v>1045</v>
      </c>
      <c r="D11" s="18" t="s">
        <v>1025</v>
      </c>
      <c r="E11" s="198">
        <f>'02_Assumptions'!$C$74</f>
        <v>900</v>
      </c>
      <c r="F11" s="18" t="s">
        <v>1042</v>
      </c>
      <c r="G11" s="18" t="s">
        <v>1046</v>
      </c>
      <c r="H11" s="38">
        <f>0.5*(('04_Planting_Design'!$D$24+'04_Planting_Design'!$D$25)*'02_Assumptions'!$B$144+'04_Planting_Design'!$D$26*'02_Assumptions'!$B$123*'02_Assumptions'!$B$145)</f>
        <v>124487</v>
      </c>
      <c r="I11" s="38">
        <f>0.5*(('04_Planting_Design'!$D$24+'04_Planting_Design'!$D$25)*'02_Assumptions'!$C$144+'04_Planting_Design'!$D$26*'02_Assumptions'!$C$123*'02_Assumptions'!$C$145)</f>
        <v>137654</v>
      </c>
      <c r="J11" s="38">
        <f>0.5*(('04_Planting_Design'!$D$24+'04_Planting_Design'!$D$25)*'02_Assumptions'!$D$144+'04_Planting_Design'!$D$26*'02_Assumptions'!$D$123*'02_Assumptions'!$D$145)</f>
        <v>140701</v>
      </c>
      <c r="K11" s="38">
        <f>0.5*(('04_Planting_Design'!$D$24+'04_Planting_Design'!$D$25)*'02_Assumptions'!$E$144+'04_Planting_Design'!$D$26*'02_Assumptions'!$E$123*'02_Assumptions'!$E$145)</f>
        <v>106293</v>
      </c>
      <c r="L11" s="38">
        <f>0.5*(('04_Planting_Design'!$D$24+'04_Planting_Design'!$D$25)*'02_Assumptions'!$F$144+'04_Planting_Design'!$D$26*'02_Assumptions'!$F$123*'02_Assumptions'!$F$145)</f>
        <v>113388</v>
      </c>
      <c r="M11" s="38">
        <f>0.5*(('04_Planting_Design'!$D$24+'04_Planting_Design'!$D$25)*'02_Assumptions'!$G$144+'04_Planting_Design'!$D$26*'02_Assumptions'!$G$123*'02_Assumptions'!$G$145)</f>
        <v>102256</v>
      </c>
      <c r="N11" s="38">
        <f>0.5*(('04_Planting_Design'!$D$24+'04_Planting_Design'!$D$25)*'02_Assumptions'!$H$144+'04_Planting_Design'!$D$26*'02_Assumptions'!$H$123*'02_Assumptions'!$H$145)</f>
        <v>122506.99999999999</v>
      </c>
      <c r="O11" s="38">
        <f>0.5*(('04_Planting_Design'!$D$24+'04_Planting_Design'!$D$25)*'02_Assumptions'!$I$144+'04_Planting_Design'!$D$26*'02_Assumptions'!$I$123*'02_Assumptions'!$I$145)</f>
        <v>122506.99999999999</v>
      </c>
      <c r="P11" s="38">
        <f>0.5*(('04_Planting_Design'!$D$24+'04_Planting_Design'!$D$25)*'02_Assumptions'!$J$144+'04_Planting_Design'!$D$26*'02_Assumptions'!$J$123*'02_Assumptions'!$J$145)</f>
        <v>122506.99999999999</v>
      </c>
      <c r="Q11" s="38">
        <f>0.5*(('04_Planting_Design'!$D$24+'04_Planting_Design'!$D$25)*'02_Assumptions'!$K$144+'04_Planting_Design'!$D$26*'02_Assumptions'!$K$123*'02_Assumptions'!$K$145)</f>
        <v>122506.99999999999</v>
      </c>
      <c r="R11" s="38">
        <f t="shared" si="0"/>
        <v>1214807</v>
      </c>
      <c r="S11" s="37">
        <f>H11*$E11*(1+'02_Assumptions'!$C$11)^0+I11*$E11*(1+'02_Assumptions'!$C$11)^1+J11*$E11*(1+'02_Assumptions'!$C$11)^2+K11*$E11*(1+'02_Assumptions'!$C$11)^3+L11*$E11*(1+'02_Assumptions'!$C$11)^4+M11*$E11*(1+'02_Assumptions'!$C$11)^5+N11*$E11*(1+'02_Assumptions'!$C$11)^6+O11*$E11*(1+'02_Assumptions'!$C$11)^7+P11*$E11*(1+'02_Assumptions'!$C$11)^8+Q11*$E11*(1+'02_Assumptions'!$C$11)^9</f>
        <v>1309228877.4130321</v>
      </c>
      <c r="T11" s="67">
        <v>1</v>
      </c>
    </row>
    <row r="12" spans="1:20">
      <c r="A12" s="18" t="s">
        <v>325</v>
      </c>
      <c r="B12" s="18" t="s">
        <v>1047</v>
      </c>
      <c r="C12" s="18" t="s">
        <v>1048</v>
      </c>
      <c r="D12" s="18" t="s">
        <v>1025</v>
      </c>
      <c r="E12" s="198">
        <f>'02_Assumptions'!$C$75</f>
        <v>1500</v>
      </c>
      <c r="F12" s="18" t="s">
        <v>1049</v>
      </c>
      <c r="G12" s="18" t="s">
        <v>1050</v>
      </c>
      <c r="H12" s="38">
        <f>IF(MOD(1,2)=0,'02_Assumptions'!$C$6*'02_Assumptions'!$C$7*'02_Assumptions'!$C$110,0)</f>
        <v>0</v>
      </c>
      <c r="I12" s="38">
        <f>IF(MOD(2,2)=0,'02_Assumptions'!$C$6*'02_Assumptions'!$C$7*'02_Assumptions'!$C$110,0)</f>
        <v>44000</v>
      </c>
      <c r="J12" s="38">
        <f>IF(MOD(3,2)=0,'02_Assumptions'!$C$6*'02_Assumptions'!$C$7*'02_Assumptions'!$C$110,0)</f>
        <v>0</v>
      </c>
      <c r="K12" s="38">
        <f>IF(MOD(4,2)=0,'02_Assumptions'!$C$6*'02_Assumptions'!$C$7*'02_Assumptions'!$C$110,0)</f>
        <v>44000</v>
      </c>
      <c r="L12" s="38">
        <f>IF(MOD(5,2)=0,'02_Assumptions'!$C$6*'02_Assumptions'!$C$7*'02_Assumptions'!$C$110,0)</f>
        <v>0</v>
      </c>
      <c r="M12" s="38">
        <f>IF(MOD(6,2)=0,'02_Assumptions'!$C$6*'02_Assumptions'!$C$7*'02_Assumptions'!$C$110,0)</f>
        <v>44000</v>
      </c>
      <c r="N12" s="38">
        <f>IF(MOD(7,2)=0,'02_Assumptions'!$C$6*'02_Assumptions'!$C$7*'02_Assumptions'!$C$110,0)</f>
        <v>0</v>
      </c>
      <c r="O12" s="38">
        <f>IF(MOD(8,2)=0,'02_Assumptions'!$C$6*'02_Assumptions'!$C$7*'02_Assumptions'!$C$110,0)</f>
        <v>44000</v>
      </c>
      <c r="P12" s="38">
        <f>IF(MOD(9,2)=0,'02_Assumptions'!$C$6*'02_Assumptions'!$C$7*'02_Assumptions'!$C$110,0)</f>
        <v>0</v>
      </c>
      <c r="Q12" s="38">
        <f>IF(MOD(10,2)=0,'02_Assumptions'!$C$6*'02_Assumptions'!$C$7*'02_Assumptions'!$C$110,0)</f>
        <v>44000</v>
      </c>
      <c r="R12" s="38">
        <f t="shared" si="0"/>
        <v>220000</v>
      </c>
      <c r="S12" s="37">
        <f>H12*$E12*(1+'02_Assumptions'!$C$11)^0+I12*$E12*(1+'02_Assumptions'!$C$11)^1+J12*$E12*(1+'02_Assumptions'!$C$11)^2+K12*$E12*(1+'02_Assumptions'!$C$11)^3+L12*$E12*(1+'02_Assumptions'!$C$11)^4+M12*$E12*(1+'02_Assumptions'!$C$11)^5+N12*$E12*(1+'02_Assumptions'!$C$11)^6+O12*$E12*(1+'02_Assumptions'!$C$11)^7+P12*$E12*(1+'02_Assumptions'!$C$11)^8+Q12*$E12*(1+'02_Assumptions'!$C$11)^9</f>
        <v>403970192.6077835</v>
      </c>
      <c r="T12" s="67">
        <v>1</v>
      </c>
    </row>
    <row r="13" spans="1:20">
      <c r="A13" s="18" t="s">
        <v>1051</v>
      </c>
      <c r="B13" s="18" t="s">
        <v>328</v>
      </c>
      <c r="C13" s="18" t="s">
        <v>1052</v>
      </c>
      <c r="D13" s="18" t="s">
        <v>1025</v>
      </c>
      <c r="E13" s="198">
        <f>'02_Assumptions'!$C$76</f>
        <v>3000</v>
      </c>
      <c r="F13" s="18" t="s">
        <v>1053</v>
      </c>
      <c r="G13" s="18" t="s">
        <v>1054</v>
      </c>
      <c r="H13" s="38">
        <f>IF(1&gt;'02_Assumptions'!$C$17,('04_Planting_Design'!$D$24+'04_Planting_Design'!$D$25)*'02_Assumptions'!$C$111,0)</f>
        <v>0</v>
      </c>
      <c r="I13" s="38">
        <f>IF(2&gt;'02_Assumptions'!$C$17,('04_Planting_Design'!$D$24+'04_Planting_Design'!$D$25)*'02_Assumptions'!$C$111,0)</f>
        <v>0</v>
      </c>
      <c r="J13" s="38">
        <f>IF(3&gt;'02_Assumptions'!$C$17,('04_Planting_Design'!$D$24+'04_Planting_Design'!$D$25)*'02_Assumptions'!$C$111,0)</f>
        <v>2794.4399999999996</v>
      </c>
      <c r="K13" s="38">
        <f>IF(4&gt;'02_Assumptions'!$C$17,('04_Planting_Design'!$D$24+'04_Planting_Design'!$D$25)*'02_Assumptions'!$C$111,0)</f>
        <v>2794.4399999999996</v>
      </c>
      <c r="L13" s="38">
        <f>IF(5&gt;'02_Assumptions'!$C$17,('04_Planting_Design'!$D$24+'04_Planting_Design'!$D$25)*'02_Assumptions'!$C$111,0)</f>
        <v>2794.4399999999996</v>
      </c>
      <c r="M13" s="38">
        <f>IF(6&gt;'02_Assumptions'!$C$17,('04_Planting_Design'!$D$24+'04_Planting_Design'!$D$25)*'02_Assumptions'!$C$111,0)</f>
        <v>2794.4399999999996</v>
      </c>
      <c r="N13" s="38">
        <f>IF(7&gt;'02_Assumptions'!$C$17,('04_Planting_Design'!$D$24+'04_Planting_Design'!$D$25)*'02_Assumptions'!$C$111,0)</f>
        <v>2794.4399999999996</v>
      </c>
      <c r="O13" s="38">
        <f>IF(8&gt;'02_Assumptions'!$C$17,('04_Planting_Design'!$D$24+'04_Planting_Design'!$D$25)*'02_Assumptions'!$C$111,0)</f>
        <v>2794.4399999999996</v>
      </c>
      <c r="P13" s="38">
        <f>IF(9&gt;'02_Assumptions'!$C$17,('04_Planting_Design'!$D$24+'04_Planting_Design'!$D$25)*'02_Assumptions'!$C$111,0)</f>
        <v>2794.4399999999996</v>
      </c>
      <c r="Q13" s="38">
        <f>IF(10&gt;'02_Assumptions'!$C$17,('04_Planting_Design'!$D$24+'04_Planting_Design'!$D$25)*'02_Assumptions'!$C$111,0)</f>
        <v>2794.4399999999996</v>
      </c>
      <c r="R13" s="38">
        <f t="shared" si="0"/>
        <v>22355.519999999993</v>
      </c>
      <c r="S13" s="37">
        <f>H13*$E13*(1+'02_Assumptions'!$C$11)^0+I13*$E13*(1+'02_Assumptions'!$C$11)^1+J13*$E13*(1+'02_Assumptions'!$C$11)^2+K13*$E13*(1+'02_Assumptions'!$C$11)^3+L13*$E13*(1+'02_Assumptions'!$C$11)^4+M13*$E13*(1+'02_Assumptions'!$C$11)^5+N13*$E13*(1+'02_Assumptions'!$C$11)^6+O13*$E13*(1+'02_Assumptions'!$C$11)^7+P13*$E13*(1+'02_Assumptions'!$C$11)^8+Q13*$E13*(1+'02_Assumptions'!$C$11)^9</f>
        <v>83549065.166041285</v>
      </c>
      <c r="T13" s="67">
        <v>1</v>
      </c>
    </row>
    <row r="14" spans="1:20">
      <c r="A14" s="18" t="s">
        <v>1051</v>
      </c>
      <c r="B14" s="18" t="s">
        <v>1055</v>
      </c>
      <c r="C14" s="18" t="s">
        <v>1056</v>
      </c>
      <c r="D14" s="18" t="s">
        <v>1025</v>
      </c>
      <c r="E14" s="198">
        <f>'02_Assumptions'!$C$77</f>
        <v>8000</v>
      </c>
      <c r="F14" s="18" t="s">
        <v>1053</v>
      </c>
      <c r="G14" s="18" t="s">
        <v>1057</v>
      </c>
      <c r="H14" s="38">
        <f>IF(1&gt;'02_Assumptions'!$C$17,('04_Planting_Design'!$D$24+'04_Planting_Design'!$D$25)*'02_Assumptions'!$C$112,0)</f>
        <v>0</v>
      </c>
      <c r="I14" s="38">
        <f>IF(2&gt;'02_Assumptions'!$C$17,('04_Planting_Design'!$D$24+'04_Planting_Design'!$D$25)*'02_Assumptions'!$C$112,0)</f>
        <v>0</v>
      </c>
      <c r="J14" s="38">
        <f>IF(3&gt;'02_Assumptions'!$C$17,('04_Planting_Design'!$D$24+'04_Planting_Design'!$D$25)*'02_Assumptions'!$C$112,0)</f>
        <v>4657.3999999999996</v>
      </c>
      <c r="K14" s="38">
        <f>IF(4&gt;'02_Assumptions'!$C$17,('04_Planting_Design'!$D$24+'04_Planting_Design'!$D$25)*'02_Assumptions'!$C$112,0)</f>
        <v>4657.3999999999996</v>
      </c>
      <c r="L14" s="38">
        <f>IF(5&gt;'02_Assumptions'!$C$17,('04_Planting_Design'!$D$24+'04_Planting_Design'!$D$25)*'02_Assumptions'!$C$112,0)</f>
        <v>4657.3999999999996</v>
      </c>
      <c r="M14" s="38">
        <f>IF(6&gt;'02_Assumptions'!$C$17,('04_Planting_Design'!$D$24+'04_Planting_Design'!$D$25)*'02_Assumptions'!$C$112,0)</f>
        <v>4657.3999999999996</v>
      </c>
      <c r="N14" s="38">
        <f>IF(7&gt;'02_Assumptions'!$C$17,('04_Planting_Design'!$D$24+'04_Planting_Design'!$D$25)*'02_Assumptions'!$C$112,0)</f>
        <v>4657.3999999999996</v>
      </c>
      <c r="O14" s="38">
        <f>IF(8&gt;'02_Assumptions'!$C$17,('04_Planting_Design'!$D$24+'04_Planting_Design'!$D$25)*'02_Assumptions'!$C$112,0)</f>
        <v>4657.3999999999996</v>
      </c>
      <c r="P14" s="38">
        <f>IF(9&gt;'02_Assumptions'!$C$17,('04_Planting_Design'!$D$24+'04_Planting_Design'!$D$25)*'02_Assumptions'!$C$112,0)</f>
        <v>4657.3999999999996</v>
      </c>
      <c r="Q14" s="38">
        <f>IF(10&gt;'02_Assumptions'!$C$17,('04_Planting_Design'!$D$24+'04_Planting_Design'!$D$25)*'02_Assumptions'!$C$112,0)</f>
        <v>4657.3999999999996</v>
      </c>
      <c r="R14" s="38">
        <f t="shared" si="0"/>
        <v>37259.200000000004</v>
      </c>
      <c r="S14" s="37">
        <f>H14*$E14*(1+'02_Assumptions'!$C$11)^0+I14*$E14*(1+'02_Assumptions'!$C$11)^1+J14*$E14*(1+'02_Assumptions'!$C$11)^2+K14*$E14*(1+'02_Assumptions'!$C$11)^3+L14*$E14*(1+'02_Assumptions'!$C$11)^4+M14*$E14*(1+'02_Assumptions'!$C$11)^5+N14*$E14*(1+'02_Assumptions'!$C$11)^6+O14*$E14*(1+'02_Assumptions'!$C$11)^7+P14*$E14*(1+'02_Assumptions'!$C$11)^8+Q14*$E14*(1+'02_Assumptions'!$C$11)^9</f>
        <v>371329178.51573908</v>
      </c>
      <c r="T14" s="67">
        <v>1</v>
      </c>
    </row>
    <row r="15" spans="1:20">
      <c r="A15" s="18" t="s">
        <v>332</v>
      </c>
      <c r="B15" s="18" t="s">
        <v>333</v>
      </c>
      <c r="C15" s="18" t="s">
        <v>1058</v>
      </c>
      <c r="D15" s="18" t="s">
        <v>1025</v>
      </c>
      <c r="E15" s="198">
        <f>'02_Assumptions'!$C$78</f>
        <v>35000</v>
      </c>
      <c r="F15" s="18" t="s">
        <v>1059</v>
      </c>
      <c r="G15" s="18" t="s">
        <v>1060</v>
      </c>
      <c r="H15" s="38">
        <f>'02_Assumptions'!$C$6*'02_Assumptions'!$C$7*10</f>
        <v>880</v>
      </c>
      <c r="I15" s="38">
        <f>'02_Assumptions'!$C$6*'02_Assumptions'!$C$7*10</f>
        <v>880</v>
      </c>
      <c r="J15" s="38">
        <f>'02_Assumptions'!$C$6*'02_Assumptions'!$C$7*10</f>
        <v>880</v>
      </c>
      <c r="K15" s="38">
        <f>'02_Assumptions'!$C$6*'02_Assumptions'!$C$7*10</f>
        <v>880</v>
      </c>
      <c r="L15" s="38">
        <f>'02_Assumptions'!$C$6*'02_Assumptions'!$C$7*10</f>
        <v>880</v>
      </c>
      <c r="M15" s="38">
        <f>'02_Assumptions'!$C$6*'02_Assumptions'!$C$7*10</f>
        <v>880</v>
      </c>
      <c r="N15" s="38">
        <f>'02_Assumptions'!$C$6*'02_Assumptions'!$C$7*10</f>
        <v>880</v>
      </c>
      <c r="O15" s="38">
        <f>'02_Assumptions'!$C$6*'02_Assumptions'!$C$7*10</f>
        <v>880</v>
      </c>
      <c r="P15" s="38">
        <f>'02_Assumptions'!$C$6*'02_Assumptions'!$C$7*10</f>
        <v>880</v>
      </c>
      <c r="Q15" s="38">
        <f>'02_Assumptions'!$C$6*'02_Assumptions'!$C$7*10</f>
        <v>880</v>
      </c>
      <c r="R15" s="38">
        <f t="shared" si="0"/>
        <v>8800</v>
      </c>
      <c r="S15" s="37">
        <f>H15*$E15*(1+'02_Assumptions'!$C$11)^0+I15*$E15*(1+'02_Assumptions'!$C$11)^1+J15*$E15*(1+'02_Assumptions'!$C$11)^2+K15*$E15*(1+'02_Assumptions'!$C$11)^3+L15*$E15*(1+'02_Assumptions'!$C$11)^4+M15*$E15*(1+'02_Assumptions'!$C$11)^5+N15*$E15*(1+'02_Assumptions'!$C$11)^6+O15*$E15*(1+'02_Assumptions'!$C$11)^7+P15*$E15*(1+'02_Assumptions'!$C$11)^8+Q15*$E15*(1+'02_Assumptions'!$C$11)^9</f>
        <v>369788099.3871249</v>
      </c>
      <c r="T15" s="67">
        <v>1</v>
      </c>
    </row>
    <row r="16" spans="1:20">
      <c r="A16" s="18" t="s">
        <v>1061</v>
      </c>
      <c r="B16" s="18" t="s">
        <v>335</v>
      </c>
      <c r="C16" s="18" t="s">
        <v>1062</v>
      </c>
      <c r="D16" s="18" t="s">
        <v>1025</v>
      </c>
      <c r="E16" s="198">
        <f>'02_Assumptions'!$C$79</f>
        <v>120000</v>
      </c>
      <c r="F16" s="18" t="s">
        <v>1059</v>
      </c>
      <c r="G16" s="18" t="s">
        <v>1063</v>
      </c>
      <c r="H16" s="38">
        <f>'02_Assumptions'!$C$6*'02_Assumptions'!$C$7*4</f>
        <v>352</v>
      </c>
      <c r="I16" s="38">
        <f>'02_Assumptions'!$C$6*'02_Assumptions'!$C$7*4</f>
        <v>352</v>
      </c>
      <c r="J16" s="38">
        <f>'02_Assumptions'!$C$6*'02_Assumptions'!$C$7*4</f>
        <v>352</v>
      </c>
      <c r="K16" s="38">
        <f>'02_Assumptions'!$C$6*'02_Assumptions'!$C$7*4</f>
        <v>352</v>
      </c>
      <c r="L16" s="38">
        <f>'02_Assumptions'!$C$6*'02_Assumptions'!$C$7*4</f>
        <v>352</v>
      </c>
      <c r="M16" s="38">
        <f>'02_Assumptions'!$C$6*'02_Assumptions'!$C$7*4</f>
        <v>352</v>
      </c>
      <c r="N16" s="38">
        <f>'02_Assumptions'!$C$6*'02_Assumptions'!$C$7*4</f>
        <v>352</v>
      </c>
      <c r="O16" s="38">
        <f>'02_Assumptions'!$C$6*'02_Assumptions'!$C$7*4</f>
        <v>352</v>
      </c>
      <c r="P16" s="38">
        <f>'02_Assumptions'!$C$6*'02_Assumptions'!$C$7*4</f>
        <v>352</v>
      </c>
      <c r="Q16" s="38">
        <f>'02_Assumptions'!$C$6*'02_Assumptions'!$C$7*4</f>
        <v>352</v>
      </c>
      <c r="R16" s="38">
        <f t="shared" si="0"/>
        <v>3520</v>
      </c>
      <c r="S16" s="37">
        <f>H16*$E16*(1+'02_Assumptions'!$C$11)^0+I16*$E16*(1+'02_Assumptions'!$C$11)^1+J16*$E16*(1+'02_Assumptions'!$C$11)^2+K16*$E16*(1+'02_Assumptions'!$C$11)^3+L16*$E16*(1+'02_Assumptions'!$C$11)^4+M16*$E16*(1+'02_Assumptions'!$C$11)^5+N16*$E16*(1+'02_Assumptions'!$C$11)^6+O16*$E16*(1+'02_Assumptions'!$C$11)^7+P16*$E16*(1+'02_Assumptions'!$C$11)^8+Q16*$E16*(1+'02_Assumptions'!$C$11)^9</f>
        <v>507137964.87377125</v>
      </c>
      <c r="T16" s="67">
        <v>1</v>
      </c>
    </row>
    <row r="17" spans="1:20">
      <c r="A17" s="18" t="s">
        <v>1061</v>
      </c>
      <c r="B17" s="18" t="s">
        <v>337</v>
      </c>
      <c r="C17" s="18" t="s">
        <v>1064</v>
      </c>
      <c r="D17" s="18" t="s">
        <v>1025</v>
      </c>
      <c r="E17" s="198">
        <f>'02_Assumptions'!$C$80</f>
        <v>180000</v>
      </c>
      <c r="F17" s="18" t="s">
        <v>1059</v>
      </c>
      <c r="G17" s="18" t="s">
        <v>1065</v>
      </c>
      <c r="H17" s="38">
        <f>'02_Assumptions'!$C$6*'02_Assumptions'!$C$7*2</f>
        <v>176</v>
      </c>
      <c r="I17" s="38">
        <f>'02_Assumptions'!$C$6*'02_Assumptions'!$C$7*2</f>
        <v>176</v>
      </c>
      <c r="J17" s="38">
        <f>'02_Assumptions'!$C$6*'02_Assumptions'!$C$7*2</f>
        <v>176</v>
      </c>
      <c r="K17" s="38">
        <f>'02_Assumptions'!$C$6*'02_Assumptions'!$C$7*2</f>
        <v>176</v>
      </c>
      <c r="L17" s="38">
        <f>'02_Assumptions'!$C$6*'02_Assumptions'!$C$7*2</f>
        <v>176</v>
      </c>
      <c r="M17" s="38">
        <f>'02_Assumptions'!$C$6*'02_Assumptions'!$C$7*2</f>
        <v>176</v>
      </c>
      <c r="N17" s="38">
        <f>'02_Assumptions'!$C$6*'02_Assumptions'!$C$7*2</f>
        <v>176</v>
      </c>
      <c r="O17" s="38">
        <f>'02_Assumptions'!$C$6*'02_Assumptions'!$C$7*2</f>
        <v>176</v>
      </c>
      <c r="P17" s="38">
        <f>'02_Assumptions'!$C$6*'02_Assumptions'!$C$7*2</f>
        <v>176</v>
      </c>
      <c r="Q17" s="38">
        <f>'02_Assumptions'!$C$6*'02_Assumptions'!$C$7*2</f>
        <v>176</v>
      </c>
      <c r="R17" s="38">
        <f t="shared" si="0"/>
        <v>1760</v>
      </c>
      <c r="S17" s="37">
        <f>H17*$E17*(1+'02_Assumptions'!$C$11)^0+I17*$E17*(1+'02_Assumptions'!$C$11)^1+J17*$E17*(1+'02_Assumptions'!$C$11)^2+K17*$E17*(1+'02_Assumptions'!$C$11)^3+L17*$E17*(1+'02_Assumptions'!$C$11)^4+M17*$E17*(1+'02_Assumptions'!$C$11)^5+N17*$E17*(1+'02_Assumptions'!$C$11)^6+O17*$E17*(1+'02_Assumptions'!$C$11)^7+P17*$E17*(1+'02_Assumptions'!$C$11)^8+Q17*$E17*(1+'02_Assumptions'!$C$11)^9</f>
        <v>380353473.65532851</v>
      </c>
      <c r="T17" s="67">
        <v>1</v>
      </c>
    </row>
    <row r="18" spans="1:20">
      <c r="A18" s="18" t="s">
        <v>339</v>
      </c>
      <c r="B18" s="18" t="s">
        <v>1066</v>
      </c>
      <c r="C18" s="18" t="s">
        <v>1067</v>
      </c>
      <c r="D18" s="18" t="s">
        <v>1068</v>
      </c>
      <c r="E18" s="198">
        <f>'02_Assumptions'!$C$81</f>
        <v>120000</v>
      </c>
      <c r="F18" s="18" t="s">
        <v>1069</v>
      </c>
      <c r="G18" s="18" t="s">
        <v>1070</v>
      </c>
      <c r="H18" s="38">
        <f>'02_Assumptions'!$C$6*'02_Assumptions'!$C$7*9</f>
        <v>792</v>
      </c>
      <c r="I18" s="38">
        <f>'02_Assumptions'!$C$6*'02_Assumptions'!$C$7*9</f>
        <v>792</v>
      </c>
      <c r="J18" s="38">
        <f>'02_Assumptions'!$C$6*'02_Assumptions'!$C$7*9</f>
        <v>792</v>
      </c>
      <c r="K18" s="38">
        <f>'02_Assumptions'!$C$6*'02_Assumptions'!$C$7*9</f>
        <v>792</v>
      </c>
      <c r="L18" s="38">
        <f>'02_Assumptions'!$C$6*'02_Assumptions'!$C$7*9</f>
        <v>792</v>
      </c>
      <c r="M18" s="38">
        <f>'02_Assumptions'!$C$6*'02_Assumptions'!$C$7*9</f>
        <v>792</v>
      </c>
      <c r="N18" s="38">
        <f>'02_Assumptions'!$C$6*'02_Assumptions'!$C$7*9</f>
        <v>792</v>
      </c>
      <c r="O18" s="38">
        <f>'02_Assumptions'!$C$6*'02_Assumptions'!$C$7*9</f>
        <v>792</v>
      </c>
      <c r="P18" s="38">
        <f>'02_Assumptions'!$C$6*'02_Assumptions'!$C$7*9</f>
        <v>792</v>
      </c>
      <c r="Q18" s="38">
        <f>'02_Assumptions'!$C$6*'02_Assumptions'!$C$7*9</f>
        <v>792</v>
      </c>
      <c r="R18" s="38">
        <f t="shared" si="0"/>
        <v>7920</v>
      </c>
      <c r="S18" s="37">
        <f>H18*$E18*(1+'02_Assumptions'!$C$11)^0+I18*$E18*(1+'02_Assumptions'!$C$11)^1+J18*$E18*(1+'02_Assumptions'!$C$11)^2+K18*$E18*(1+'02_Assumptions'!$C$11)^3+L18*$E18*(1+'02_Assumptions'!$C$11)^4+M18*$E18*(1+'02_Assumptions'!$C$11)^5+N18*$E18*(1+'02_Assumptions'!$C$11)^6+O18*$E18*(1+'02_Assumptions'!$C$11)^7+P18*$E18*(1+'02_Assumptions'!$C$11)^8+Q18*$E18*(1+'02_Assumptions'!$C$11)^9</f>
        <v>1141060420.9659853</v>
      </c>
      <c r="T18" s="67">
        <v>1</v>
      </c>
    </row>
    <row r="19" spans="1:20">
      <c r="A19" s="18" t="s">
        <v>343</v>
      </c>
      <c r="B19" s="18" t="s">
        <v>1071</v>
      </c>
      <c r="C19" s="18" t="s">
        <v>1072</v>
      </c>
      <c r="D19" s="18" t="s">
        <v>1025</v>
      </c>
      <c r="E19" s="198">
        <f>'02_Assumptions'!$C$82</f>
        <v>150000</v>
      </c>
      <c r="F19" s="18" t="s">
        <v>1073</v>
      </c>
      <c r="G19" s="18" t="s">
        <v>1074</v>
      </c>
      <c r="H19" s="38">
        <f>'02_Assumptions'!$C$6*'02_Assumptions'!$C$7*2</f>
        <v>176</v>
      </c>
      <c r="I19" s="38">
        <f>'02_Assumptions'!$C$6*'02_Assumptions'!$C$7*2</f>
        <v>176</v>
      </c>
      <c r="J19" s="38">
        <f>'02_Assumptions'!$C$6*'02_Assumptions'!$C$7*2</f>
        <v>176</v>
      </c>
      <c r="K19" s="38">
        <f>'02_Assumptions'!$C$6*'02_Assumptions'!$C$7*2</f>
        <v>176</v>
      </c>
      <c r="L19" s="38">
        <f>'02_Assumptions'!$C$6*'02_Assumptions'!$C$7*2</f>
        <v>176</v>
      </c>
      <c r="M19" s="38">
        <f>'02_Assumptions'!$C$6*'02_Assumptions'!$C$7*2</f>
        <v>176</v>
      </c>
      <c r="N19" s="38">
        <f>'02_Assumptions'!$C$6*'02_Assumptions'!$C$7*2</f>
        <v>176</v>
      </c>
      <c r="O19" s="38">
        <f>'02_Assumptions'!$C$6*'02_Assumptions'!$C$7*2</f>
        <v>176</v>
      </c>
      <c r="P19" s="38">
        <f>'02_Assumptions'!$C$6*'02_Assumptions'!$C$7*2</f>
        <v>176</v>
      </c>
      <c r="Q19" s="38">
        <f>'02_Assumptions'!$C$6*'02_Assumptions'!$C$7*2</f>
        <v>176</v>
      </c>
      <c r="R19" s="38">
        <f t="shared" si="0"/>
        <v>1760</v>
      </c>
      <c r="S19" s="37">
        <f>H19*$E19*(1+'02_Assumptions'!$C$11)^0+I19*$E19*(1+'02_Assumptions'!$C$11)^1+J19*$E19*(1+'02_Assumptions'!$C$11)^2+K19*$E19*(1+'02_Assumptions'!$C$11)^3+L19*$E19*(1+'02_Assumptions'!$C$11)^4+M19*$E19*(1+'02_Assumptions'!$C$11)^5+N19*$E19*(1+'02_Assumptions'!$C$11)^6+O19*$E19*(1+'02_Assumptions'!$C$11)^7+P19*$E19*(1+'02_Assumptions'!$C$11)^8+Q19*$E19*(1+'02_Assumptions'!$C$11)^9</f>
        <v>316961228.04610705</v>
      </c>
      <c r="T19" s="67">
        <v>1</v>
      </c>
    </row>
    <row r="20" spans="1:20">
      <c r="A20" s="18" t="s">
        <v>349</v>
      </c>
      <c r="B20" s="18" t="s">
        <v>350</v>
      </c>
      <c r="C20" s="18" t="s">
        <v>1075</v>
      </c>
      <c r="D20" s="18" t="s">
        <v>1076</v>
      </c>
      <c r="E20" s="198">
        <f>'02_Assumptions'!$C$84</f>
        <v>200000</v>
      </c>
      <c r="F20" s="18" t="s">
        <v>1077</v>
      </c>
      <c r="G20" s="18" t="s">
        <v>1078</v>
      </c>
      <c r="H20" s="38">
        <f>'02_Assumptions'!$C$6*'02_Assumptions'!$C$7/2*4</f>
        <v>176</v>
      </c>
      <c r="I20" s="38">
        <f>'02_Assumptions'!$C$6*'02_Assumptions'!$C$7/2*4</f>
        <v>176</v>
      </c>
      <c r="J20" s="38">
        <f>'02_Assumptions'!$C$6*'02_Assumptions'!$C$7/2*4</f>
        <v>176</v>
      </c>
      <c r="K20" s="38">
        <f>'02_Assumptions'!$C$6*'02_Assumptions'!$C$7/2*4</f>
        <v>176</v>
      </c>
      <c r="L20" s="38">
        <f>'02_Assumptions'!$C$6*'02_Assumptions'!$C$7/2*4</f>
        <v>176</v>
      </c>
      <c r="M20" s="38">
        <f>'02_Assumptions'!$C$6*'02_Assumptions'!$C$7/2*4</f>
        <v>176</v>
      </c>
      <c r="N20" s="38">
        <f>'02_Assumptions'!$C$6*'02_Assumptions'!$C$7/2*4</f>
        <v>176</v>
      </c>
      <c r="O20" s="38">
        <f>'02_Assumptions'!$C$6*'02_Assumptions'!$C$7/2*4</f>
        <v>176</v>
      </c>
      <c r="P20" s="38">
        <f>'02_Assumptions'!$C$6*'02_Assumptions'!$C$7/2*4</f>
        <v>176</v>
      </c>
      <c r="Q20" s="38">
        <f>'02_Assumptions'!$C$6*'02_Assumptions'!$C$7/2*4</f>
        <v>176</v>
      </c>
      <c r="R20" s="38">
        <f t="shared" si="0"/>
        <v>1760</v>
      </c>
      <c r="S20" s="37">
        <f>H20*$E20*(1+'02_Assumptions'!$C$11)^0+I20*$E20*(1+'02_Assumptions'!$C$11)^1+J20*$E20*(1+'02_Assumptions'!$C$11)^2+K20*$E20*(1+'02_Assumptions'!$C$11)^3+L20*$E20*(1+'02_Assumptions'!$C$11)^4+M20*$E20*(1+'02_Assumptions'!$C$11)^5+N20*$E20*(1+'02_Assumptions'!$C$11)^6+O20*$E20*(1+'02_Assumptions'!$C$11)^7+P20*$E20*(1+'02_Assumptions'!$C$11)^8+Q20*$E20*(1+'02_Assumptions'!$C$11)^9</f>
        <v>422614970.72814274</v>
      </c>
      <c r="T20" s="67">
        <v>1</v>
      </c>
    </row>
    <row r="21" spans="1:20">
      <c r="A21" s="18" t="s">
        <v>349</v>
      </c>
      <c r="B21" s="18" t="s">
        <v>353</v>
      </c>
      <c r="C21" s="18" t="s">
        <v>1079</v>
      </c>
      <c r="D21" s="18" t="s">
        <v>505</v>
      </c>
      <c r="E21" s="198">
        <f>'02_Assumptions'!$C$85</f>
        <v>5000</v>
      </c>
      <c r="F21" s="18" t="s">
        <v>1077</v>
      </c>
      <c r="G21" s="18" t="s">
        <v>1080</v>
      </c>
      <c r="H21" s="38">
        <f>'02_Assumptions'!$C$6*'02_Assumptions'!$C$7*20</f>
        <v>1760</v>
      </c>
      <c r="I21" s="38">
        <f>'02_Assumptions'!$C$6*'02_Assumptions'!$C$7*20</f>
        <v>1760</v>
      </c>
      <c r="J21" s="38">
        <f>'02_Assumptions'!$C$6*'02_Assumptions'!$C$7*20</f>
        <v>1760</v>
      </c>
      <c r="K21" s="38">
        <f>'02_Assumptions'!$C$6*'02_Assumptions'!$C$7*20</f>
        <v>1760</v>
      </c>
      <c r="L21" s="38">
        <f>'02_Assumptions'!$C$6*'02_Assumptions'!$C$7*20</f>
        <v>1760</v>
      </c>
      <c r="M21" s="38">
        <f>'02_Assumptions'!$C$6*'02_Assumptions'!$C$7*20</f>
        <v>1760</v>
      </c>
      <c r="N21" s="38">
        <f>'02_Assumptions'!$C$6*'02_Assumptions'!$C$7*20</f>
        <v>1760</v>
      </c>
      <c r="O21" s="38">
        <f>'02_Assumptions'!$C$6*'02_Assumptions'!$C$7*20</f>
        <v>1760</v>
      </c>
      <c r="P21" s="38">
        <f>'02_Assumptions'!$C$6*'02_Assumptions'!$C$7*20</f>
        <v>1760</v>
      </c>
      <c r="Q21" s="38">
        <f>'02_Assumptions'!$C$6*'02_Assumptions'!$C$7*20</f>
        <v>1760</v>
      </c>
      <c r="R21" s="38">
        <f t="shared" si="0"/>
        <v>17600</v>
      </c>
      <c r="S21" s="37">
        <f>H21*$E21*(1+'02_Assumptions'!$C$11)^0+I21*$E21*(1+'02_Assumptions'!$C$11)^1+J21*$E21*(1+'02_Assumptions'!$C$11)^2+K21*$E21*(1+'02_Assumptions'!$C$11)^3+L21*$E21*(1+'02_Assumptions'!$C$11)^4+M21*$E21*(1+'02_Assumptions'!$C$11)^5+N21*$E21*(1+'02_Assumptions'!$C$11)^6+O21*$E21*(1+'02_Assumptions'!$C$11)^7+P21*$E21*(1+'02_Assumptions'!$C$11)^8+Q21*$E21*(1+'02_Assumptions'!$C$11)^9</f>
        <v>105653742.68203568</v>
      </c>
      <c r="T21" s="67">
        <v>1</v>
      </c>
    </row>
    <row r="22" spans="1:20">
      <c r="A22" s="18" t="s">
        <v>355</v>
      </c>
      <c r="B22" s="18" t="s">
        <v>1081</v>
      </c>
      <c r="C22" s="18" t="s">
        <v>1082</v>
      </c>
      <c r="D22" s="18" t="s">
        <v>1068</v>
      </c>
      <c r="E22" s="198">
        <f>'02_Assumptions'!$C$86</f>
        <v>50000</v>
      </c>
      <c r="F22" s="18" t="s">
        <v>1069</v>
      </c>
      <c r="G22" s="18" t="s">
        <v>1083</v>
      </c>
      <c r="H22" s="38">
        <f>'02_Assumptions'!$C$6*'02_Assumptions'!$C$7*2</f>
        <v>176</v>
      </c>
      <c r="I22" s="38">
        <f>'02_Assumptions'!$C$6*'02_Assumptions'!$C$7*2</f>
        <v>176</v>
      </c>
      <c r="J22" s="38">
        <f>'02_Assumptions'!$C$6*'02_Assumptions'!$C$7*2</f>
        <v>176</v>
      </c>
      <c r="K22" s="38">
        <f>'02_Assumptions'!$C$6*'02_Assumptions'!$C$7*2</f>
        <v>176</v>
      </c>
      <c r="L22" s="38">
        <f>'02_Assumptions'!$C$6*'02_Assumptions'!$C$7*2</f>
        <v>176</v>
      </c>
      <c r="M22" s="38">
        <f>'02_Assumptions'!$C$6*'02_Assumptions'!$C$7*2</f>
        <v>176</v>
      </c>
      <c r="N22" s="38">
        <f>'02_Assumptions'!$C$6*'02_Assumptions'!$C$7*2</f>
        <v>176</v>
      </c>
      <c r="O22" s="38">
        <f>'02_Assumptions'!$C$6*'02_Assumptions'!$C$7*2</f>
        <v>176</v>
      </c>
      <c r="P22" s="38">
        <f>'02_Assumptions'!$C$6*'02_Assumptions'!$C$7*2</f>
        <v>176</v>
      </c>
      <c r="Q22" s="38">
        <f>'02_Assumptions'!$C$6*'02_Assumptions'!$C$7*2</f>
        <v>176</v>
      </c>
      <c r="R22" s="38">
        <f t="shared" si="0"/>
        <v>1760</v>
      </c>
      <c r="S22" s="37">
        <f>H22*$E22*(1+'02_Assumptions'!$C$11)^0+I22*$E22*(1+'02_Assumptions'!$C$11)^1+J22*$E22*(1+'02_Assumptions'!$C$11)^2+K22*$E22*(1+'02_Assumptions'!$C$11)^3+L22*$E22*(1+'02_Assumptions'!$C$11)^4+M22*$E22*(1+'02_Assumptions'!$C$11)^5+N22*$E22*(1+'02_Assumptions'!$C$11)^6+O22*$E22*(1+'02_Assumptions'!$C$11)^7+P22*$E22*(1+'02_Assumptions'!$C$11)^8+Q22*$E22*(1+'02_Assumptions'!$C$11)^9</f>
        <v>105653742.68203568</v>
      </c>
      <c r="T22" s="67">
        <v>1</v>
      </c>
    </row>
    <row r="23" spans="1:20">
      <c r="A23" s="18" t="s">
        <v>346</v>
      </c>
      <c r="B23" s="18" t="s">
        <v>1084</v>
      </c>
      <c r="C23" s="18" t="s">
        <v>1085</v>
      </c>
      <c r="D23" s="18" t="s">
        <v>1068</v>
      </c>
      <c r="E23" s="198">
        <f>'02_Assumptions'!$C$83</f>
        <v>65000</v>
      </c>
      <c r="F23" s="18" t="s">
        <v>1026</v>
      </c>
      <c r="G23" s="18" t="s">
        <v>1086</v>
      </c>
      <c r="H23" s="38">
        <f>IF(1&lt;='02_Assumptions'!$C$17,'02_Assumptions'!$C$6*'02_Assumptions'!$C$7*2,0)</f>
        <v>176</v>
      </c>
      <c r="I23" s="38">
        <f>IF(2&lt;='02_Assumptions'!$C$17,'02_Assumptions'!$C$6*'02_Assumptions'!$C$7*2,0)</f>
        <v>176</v>
      </c>
      <c r="J23" s="38">
        <f>IF(3&lt;='02_Assumptions'!$C$17,'02_Assumptions'!$C$6*'02_Assumptions'!$C$7*2,0)</f>
        <v>0</v>
      </c>
      <c r="K23" s="38">
        <f>IF(4&lt;='02_Assumptions'!$C$17,'02_Assumptions'!$C$6*'02_Assumptions'!$C$7*2,0)</f>
        <v>0</v>
      </c>
      <c r="L23" s="38">
        <f>IF(5&lt;='02_Assumptions'!$C$17,'02_Assumptions'!$C$6*'02_Assumptions'!$C$7*2,0)</f>
        <v>0</v>
      </c>
      <c r="M23" s="38">
        <f>IF(6&lt;='02_Assumptions'!$C$17,'02_Assumptions'!$C$6*'02_Assumptions'!$C$7*2,0)</f>
        <v>0</v>
      </c>
      <c r="N23" s="38">
        <f>IF(7&lt;='02_Assumptions'!$C$17,'02_Assumptions'!$C$6*'02_Assumptions'!$C$7*2,0)</f>
        <v>0</v>
      </c>
      <c r="O23" s="38">
        <f>IF(8&lt;='02_Assumptions'!$C$17,'02_Assumptions'!$C$6*'02_Assumptions'!$C$7*2,0)</f>
        <v>0</v>
      </c>
      <c r="P23" s="38">
        <f>IF(9&lt;='02_Assumptions'!$C$17,'02_Assumptions'!$C$6*'02_Assumptions'!$C$7*2,0)</f>
        <v>0</v>
      </c>
      <c r="Q23" s="38">
        <f>IF(10&lt;='02_Assumptions'!$C$17,'02_Assumptions'!$C$6*'02_Assumptions'!$C$7*2,0)</f>
        <v>0</v>
      </c>
      <c r="R23" s="38">
        <f t="shared" si="0"/>
        <v>352</v>
      </c>
      <c r="S23" s="37">
        <f>H23*$E23*(1+'02_Assumptions'!$C$11)^0+I23*$E23*(1+'02_Assumptions'!$C$11)^1+J23*$E23*(1+'02_Assumptions'!$C$11)^2+K23*$E23*(1+'02_Assumptions'!$C$11)^3+L23*$E23*(1+'02_Assumptions'!$C$11)^4+M23*$E23*(1+'02_Assumptions'!$C$11)^5+N23*$E23*(1+'02_Assumptions'!$C$11)^6+O23*$E23*(1+'02_Assumptions'!$C$11)^7+P23*$E23*(1+'02_Assumptions'!$C$11)^8+Q23*$E23*(1+'02_Assumptions'!$C$11)^9</f>
        <v>23337600</v>
      </c>
      <c r="T23" s="67">
        <v>1</v>
      </c>
    </row>
    <row r="24" spans="1:20">
      <c r="A24" s="18" t="s">
        <v>1087</v>
      </c>
      <c r="B24" s="18" t="s">
        <v>1088</v>
      </c>
      <c r="C24" s="18" t="s">
        <v>1089</v>
      </c>
      <c r="D24" s="18" t="s">
        <v>1025</v>
      </c>
      <c r="E24" s="198">
        <f>'02_Assumptions'!$C$87</f>
        <v>250000</v>
      </c>
      <c r="F24" s="18" t="s">
        <v>1026</v>
      </c>
      <c r="G24" s="18" t="s">
        <v>1090</v>
      </c>
      <c r="H24" s="38">
        <f>IF(1&lt;='02_Assumptions'!$C$17,'02_Assumptions'!$C$6*'02_Assumptions'!$C$7*0.5,0)</f>
        <v>44</v>
      </c>
      <c r="I24" s="38">
        <f>IF(2&lt;='02_Assumptions'!$C$17,'02_Assumptions'!$C$6*'02_Assumptions'!$C$7*0.5,0)</f>
        <v>44</v>
      </c>
      <c r="J24" s="38">
        <f>IF(3&lt;='02_Assumptions'!$C$17,'02_Assumptions'!$C$6*'02_Assumptions'!$C$7*0.5,0)</f>
        <v>0</v>
      </c>
      <c r="K24" s="38">
        <f>IF(4&lt;='02_Assumptions'!$C$17,'02_Assumptions'!$C$6*'02_Assumptions'!$C$7*0.5,0)</f>
        <v>0</v>
      </c>
      <c r="L24" s="38">
        <f>IF(5&lt;='02_Assumptions'!$C$17,'02_Assumptions'!$C$6*'02_Assumptions'!$C$7*0.5,0)</f>
        <v>0</v>
      </c>
      <c r="M24" s="38">
        <f>IF(6&lt;='02_Assumptions'!$C$17,'02_Assumptions'!$C$6*'02_Assumptions'!$C$7*0.5,0)</f>
        <v>0</v>
      </c>
      <c r="N24" s="38">
        <f>IF(7&lt;='02_Assumptions'!$C$17,'02_Assumptions'!$C$6*'02_Assumptions'!$C$7*0.5,0)</f>
        <v>0</v>
      </c>
      <c r="O24" s="38">
        <f>IF(8&lt;='02_Assumptions'!$C$17,'02_Assumptions'!$C$6*'02_Assumptions'!$C$7*0.5,0)</f>
        <v>0</v>
      </c>
      <c r="P24" s="38">
        <f>IF(9&lt;='02_Assumptions'!$C$17,'02_Assumptions'!$C$6*'02_Assumptions'!$C$7*0.5,0)</f>
        <v>0</v>
      </c>
      <c r="Q24" s="38">
        <f>IF(10&lt;='02_Assumptions'!$C$17,'02_Assumptions'!$C$6*'02_Assumptions'!$C$7*0.5,0)</f>
        <v>0</v>
      </c>
      <c r="R24" s="38">
        <f t="shared" si="0"/>
        <v>88</v>
      </c>
      <c r="S24" s="37">
        <f>H24*$E24*(1+'02_Assumptions'!$C$11)^0+I24*$E24*(1+'02_Assumptions'!$C$11)^1+J24*$E24*(1+'02_Assumptions'!$C$11)^2+K24*$E24*(1+'02_Assumptions'!$C$11)^3+L24*$E24*(1+'02_Assumptions'!$C$11)^4+M24*$E24*(1+'02_Assumptions'!$C$11)^5+N24*$E24*(1+'02_Assumptions'!$C$11)^6+O24*$E24*(1+'02_Assumptions'!$C$11)^7+P24*$E24*(1+'02_Assumptions'!$C$11)^8+Q24*$E24*(1+'02_Assumptions'!$C$11)^9</f>
        <v>22440000</v>
      </c>
      <c r="T24" s="67">
        <v>1</v>
      </c>
    </row>
    <row r="25" spans="1:20">
      <c r="A25" s="18" t="s">
        <v>1087</v>
      </c>
      <c r="B25" s="18" t="s">
        <v>1091</v>
      </c>
      <c r="C25" s="18" t="s">
        <v>1092</v>
      </c>
      <c r="D25" s="18" t="s">
        <v>1068</v>
      </c>
      <c r="E25" s="198">
        <f>'02_Assumptions'!$C$88</f>
        <v>300000</v>
      </c>
      <c r="F25" s="18" t="s">
        <v>1026</v>
      </c>
      <c r="G25" s="18" t="s">
        <v>1090</v>
      </c>
      <c r="H25" s="38">
        <f>IF(1&lt;='02_Assumptions'!$C$17,'02_Assumptions'!$C$6*'02_Assumptions'!$C$7*0.25,0)</f>
        <v>22</v>
      </c>
      <c r="I25" s="38">
        <f>IF(2&lt;='02_Assumptions'!$C$17,'02_Assumptions'!$C$6*'02_Assumptions'!$C$7*0.25,0)</f>
        <v>22</v>
      </c>
      <c r="J25" s="38">
        <f>IF(3&lt;='02_Assumptions'!$C$17,'02_Assumptions'!$C$6*'02_Assumptions'!$C$7*0.25,0)</f>
        <v>0</v>
      </c>
      <c r="K25" s="38">
        <f>IF(4&lt;='02_Assumptions'!$C$17,'02_Assumptions'!$C$6*'02_Assumptions'!$C$7*0.25,0)</f>
        <v>0</v>
      </c>
      <c r="L25" s="38">
        <f>IF(5&lt;='02_Assumptions'!$C$17,'02_Assumptions'!$C$6*'02_Assumptions'!$C$7*0.25,0)</f>
        <v>0</v>
      </c>
      <c r="M25" s="38">
        <f>IF(6&lt;='02_Assumptions'!$C$17,'02_Assumptions'!$C$6*'02_Assumptions'!$C$7*0.25,0)</f>
        <v>0</v>
      </c>
      <c r="N25" s="38">
        <f>IF(7&lt;='02_Assumptions'!$C$17,'02_Assumptions'!$C$6*'02_Assumptions'!$C$7*0.25,0)</f>
        <v>0</v>
      </c>
      <c r="O25" s="38">
        <f>IF(8&lt;='02_Assumptions'!$C$17,'02_Assumptions'!$C$6*'02_Assumptions'!$C$7*0.25,0)</f>
        <v>0</v>
      </c>
      <c r="P25" s="38">
        <f>IF(9&lt;='02_Assumptions'!$C$17,'02_Assumptions'!$C$6*'02_Assumptions'!$C$7*0.25,0)</f>
        <v>0</v>
      </c>
      <c r="Q25" s="38">
        <f>IF(10&lt;='02_Assumptions'!$C$17,'02_Assumptions'!$C$6*'02_Assumptions'!$C$7*0.25,0)</f>
        <v>0</v>
      </c>
      <c r="R25" s="38">
        <f t="shared" si="0"/>
        <v>44</v>
      </c>
      <c r="S25" s="37">
        <f>H25*$E25*(1+'02_Assumptions'!$C$11)^0+I25*$E25*(1+'02_Assumptions'!$C$11)^1+J25*$E25*(1+'02_Assumptions'!$C$11)^2+K25*$E25*(1+'02_Assumptions'!$C$11)^3+L25*$E25*(1+'02_Assumptions'!$C$11)^4+M25*$E25*(1+'02_Assumptions'!$C$11)^5+N25*$E25*(1+'02_Assumptions'!$C$11)^6+O25*$E25*(1+'02_Assumptions'!$C$11)^7+P25*$E25*(1+'02_Assumptions'!$C$11)^8+Q25*$E25*(1+'02_Assumptions'!$C$11)^9</f>
        <v>13464000</v>
      </c>
      <c r="T25" s="67">
        <v>1</v>
      </c>
    </row>
    <row r="26" spans="1:20">
      <c r="A26" s="18"/>
      <c r="B26" s="18"/>
      <c r="C26" s="18"/>
      <c r="D26" s="18"/>
      <c r="E26" s="199"/>
      <c r="F26" s="18"/>
      <c r="G26" s="18"/>
      <c r="H26" s="18"/>
      <c r="I26" s="18"/>
      <c r="J26" s="18"/>
      <c r="K26" s="18"/>
      <c r="L26" s="18"/>
      <c r="M26" s="18"/>
      <c r="N26" s="18"/>
      <c r="O26" s="18"/>
      <c r="P26" s="18"/>
      <c r="Q26" s="18"/>
      <c r="R26" s="18"/>
      <c r="S26" s="18"/>
      <c r="T26" s="16"/>
    </row>
    <row r="27" spans="1:20">
      <c r="A27" s="18"/>
      <c r="B27" s="18"/>
      <c r="C27" s="18"/>
      <c r="D27" s="18"/>
      <c r="E27" s="18"/>
      <c r="F27" s="18"/>
      <c r="G27" s="18"/>
      <c r="H27" s="18"/>
      <c r="I27" s="18"/>
      <c r="J27" s="18"/>
      <c r="K27" s="18"/>
      <c r="L27" s="18"/>
      <c r="M27" s="18"/>
      <c r="N27" s="18"/>
      <c r="O27" s="18"/>
      <c r="P27" s="18"/>
      <c r="Q27" s="18"/>
      <c r="R27" s="18"/>
      <c r="S27" s="18"/>
      <c r="T27" s="16"/>
    </row>
    <row r="28" spans="1:20" ht="20" customHeight="1">
      <c r="A28" s="258" t="s">
        <v>1093</v>
      </c>
      <c r="B28" s="258"/>
      <c r="C28" s="258"/>
      <c r="D28" s="258"/>
      <c r="E28" s="258"/>
      <c r="F28" s="258"/>
      <c r="G28" s="258"/>
      <c r="H28" s="258"/>
      <c r="I28" s="258"/>
      <c r="J28" s="258"/>
      <c r="K28" s="258"/>
      <c r="L28" s="18"/>
      <c r="M28" s="18"/>
      <c r="N28" s="18"/>
      <c r="O28" s="18"/>
      <c r="P28" s="18"/>
      <c r="Q28" s="18"/>
      <c r="R28" s="18"/>
      <c r="S28" s="18"/>
      <c r="T28" s="16"/>
    </row>
    <row r="29" spans="1:20" ht="30" customHeight="1">
      <c r="A29" s="2" t="s">
        <v>1094</v>
      </c>
      <c r="B29" s="3" t="s">
        <v>440</v>
      </c>
      <c r="C29" s="3" t="s">
        <v>441</v>
      </c>
      <c r="D29" s="3" t="s">
        <v>442</v>
      </c>
      <c r="E29" s="3" t="s">
        <v>443</v>
      </c>
      <c r="F29" s="3" t="s">
        <v>444</v>
      </c>
      <c r="G29" s="3" t="s">
        <v>445</v>
      </c>
      <c r="H29" s="3" t="s">
        <v>446</v>
      </c>
      <c r="I29" s="3" t="s">
        <v>447</v>
      </c>
      <c r="J29" s="3" t="s">
        <v>448</v>
      </c>
      <c r="K29" s="4" t="s">
        <v>449</v>
      </c>
      <c r="L29" s="18"/>
      <c r="M29" s="18"/>
      <c r="N29" s="18"/>
      <c r="O29" s="18"/>
      <c r="P29" s="18"/>
      <c r="Q29" s="18"/>
      <c r="R29" s="18"/>
      <c r="S29" s="18"/>
      <c r="T29" s="16"/>
    </row>
    <row r="30" spans="1:20">
      <c r="A30" s="18" t="s">
        <v>1095</v>
      </c>
      <c r="B30" s="45">
        <f>SUMPRODUCT(H$5:H$9,$E$5:$E$9,$T$5:$T$9)*(1+'02_Assumptions'!$C$11)^0</f>
        <v>210837220</v>
      </c>
      <c r="C30" s="45">
        <f>SUMPRODUCT(I$5:I$9,$E$5:$E$9,$T$5:$T$9)*(1+'02_Assumptions'!$C$11)^1</f>
        <v>228834869.12</v>
      </c>
      <c r="D30" s="45">
        <f>SUMPRODUCT(J$5:J$9,$E$5:$E$9,$T$5:$T$9)*(1+'02_Assumptions'!$C$11)^2</f>
        <v>0</v>
      </c>
      <c r="E30" s="45">
        <f>SUMPRODUCT(K$5:K$9,$E$5:$E$9,$T$5:$T$9)*(1+'02_Assumptions'!$C$11)^3</f>
        <v>0</v>
      </c>
      <c r="F30" s="45">
        <f>SUMPRODUCT(L$5:L$9,$E$5:$E$9,$T$5:$T$9)*(1+'02_Assumptions'!$C$11)^4</f>
        <v>0</v>
      </c>
      <c r="G30" s="45">
        <f>SUMPRODUCT(M$5:M$9,$E$5:$E$9,$T$5:$T$9)*(1+'02_Assumptions'!$C$11)^5</f>
        <v>0</v>
      </c>
      <c r="H30" s="45">
        <f>SUMPRODUCT(N$5:N$9,$E$5:$E$9,$T$5:$T$9)*(1+'02_Assumptions'!$C$11)^6</f>
        <v>0</v>
      </c>
      <c r="I30" s="45">
        <f>SUMPRODUCT(O$5:O$9,$E$5:$E$9,$T$5:$T$9)*(1+'02_Assumptions'!$C$11)^7</f>
        <v>0</v>
      </c>
      <c r="J30" s="45">
        <f>SUMPRODUCT(P$5:P$9,$E$5:$E$9,$T$5:$T$9)*(1+'02_Assumptions'!$C$11)^8</f>
        <v>0</v>
      </c>
      <c r="K30" s="45">
        <f>SUMPRODUCT(Q$5:Q$9,$E$5:$E$9,$T$5:$T$9)*(1+'02_Assumptions'!$C$11)^9</f>
        <v>0</v>
      </c>
      <c r="L30" s="18"/>
      <c r="M30" s="18"/>
      <c r="N30" s="18"/>
      <c r="O30" s="18"/>
      <c r="P30" s="18"/>
      <c r="Q30" s="18"/>
      <c r="R30" s="18"/>
      <c r="S30" s="18"/>
      <c r="T30" s="16"/>
    </row>
    <row r="31" spans="1:20">
      <c r="A31" s="18" t="s">
        <v>1096</v>
      </c>
      <c r="B31" s="45">
        <f>SUMPRODUCT(H$10:H$14,$E$10:$E$14,$T$10:$T$14)*(1+'02_Assumptions'!$C$11)^0</f>
        <v>236525300</v>
      </c>
      <c r="C31" s="45">
        <f>SUMPRODUCT(I$10:I$14,$E$10:$E$14,$T$10:$T$14)*(1+'02_Assumptions'!$C$11)^1</f>
        <v>340644304</v>
      </c>
      <c r="D31" s="45">
        <f>SUMPRODUCT(J$10:J$14,$E$10:$E$14,$T$10:$T$14)*(1+'02_Assumptions'!$C$11)^2</f>
        <v>338513132.67200005</v>
      </c>
      <c r="E31" s="45">
        <f>SUMPRODUCT(K$10:K$14,$E$10:$E$14,$T$10:$T$14)*(1+'02_Assumptions'!$C$11)^3</f>
        <v>352756473.00608003</v>
      </c>
      <c r="F31" s="45">
        <f>SUMPRODUCT(L$10:L$14,$E$10:$E$14,$T$10:$T$14)*(1+'02_Assumptions'!$C$11)^4</f>
        <v>305426345.28440326</v>
      </c>
      <c r="G31" s="45">
        <f>SUMPRODUCT(M$10:M$14,$E$10:$E$14,$T$10:$T$14)*(1+'02_Assumptions'!$C$11)^5</f>
        <v>372209308.44609749</v>
      </c>
      <c r="H31" s="45">
        <f>SUMPRODUCT(N$10:N$14,$E$10:$E$14,$T$10:$T$14)*(1+'02_Assumptions'!$C$11)^6</f>
        <v>352272178.90597415</v>
      </c>
      <c r="I31" s="45">
        <f>SUMPRODUCT(O$10:O$14,$E$10:$E$14,$T$10:$T$14)*(1+'02_Assumptions'!$C$11)^7</f>
        <v>453214563.49177855</v>
      </c>
      <c r="J31" s="45">
        <f>SUMPRODUCT(P$10:P$14,$E$10:$E$14,$T$10:$T$14)*(1+'02_Assumptions'!$C$11)^8</f>
        <v>381017588.70470166</v>
      </c>
      <c r="K31" s="45">
        <f>SUMPRODUCT(Q$10:Q$14,$E$10:$E$14,$T$10:$T$14)*(1+'02_Assumptions'!$C$11)^9</f>
        <v>490196871.87270778</v>
      </c>
      <c r="L31" s="18"/>
      <c r="M31" s="18"/>
      <c r="N31" s="18"/>
      <c r="O31" s="18"/>
      <c r="P31" s="18"/>
      <c r="Q31" s="18"/>
      <c r="R31" s="18"/>
      <c r="S31" s="18"/>
      <c r="T31" s="16"/>
    </row>
    <row r="32" spans="1:20">
      <c r="A32" s="18" t="s">
        <v>1097</v>
      </c>
      <c r="B32" s="45">
        <f>SUMPRODUCT(H$15:H$22,$E$15:$E$22,$T$15:$T$22)*(1+'02_Assumptions'!$C$11)^0</f>
        <v>278960000</v>
      </c>
      <c r="C32" s="45">
        <f>SUMPRODUCT(I$15:I$22,$E$15:$E$22,$T$15:$T$22)*(1+'02_Assumptions'!$C$11)^1</f>
        <v>290118400</v>
      </c>
      <c r="D32" s="45">
        <f>SUMPRODUCT(J$15:J$22,$E$15:$E$22,$T$15:$T$22)*(1+'02_Assumptions'!$C$11)^2</f>
        <v>301723136.00000006</v>
      </c>
      <c r="E32" s="45">
        <f>SUMPRODUCT(K$15:K$22,$E$15:$E$22,$T$15:$T$22)*(1+'02_Assumptions'!$C$11)^3</f>
        <v>313792061.44</v>
      </c>
      <c r="F32" s="45">
        <f>SUMPRODUCT(L$15:L$22,$E$15:$E$22,$T$15:$T$22)*(1+'02_Assumptions'!$C$11)^4</f>
        <v>326343743.89760005</v>
      </c>
      <c r="G32" s="45">
        <f>SUMPRODUCT(M$15:M$22,$E$15:$E$22,$T$15:$T$22)*(1+'02_Assumptions'!$C$11)^5</f>
        <v>339397493.65350407</v>
      </c>
      <c r="H32" s="45">
        <f>SUMPRODUCT(N$15:N$22,$E$15:$E$22,$T$15:$T$22)*(1+'02_Assumptions'!$C$11)^6</f>
        <v>352973393.39964426</v>
      </c>
      <c r="I32" s="45">
        <f>SUMPRODUCT(O$15:O$22,$E$15:$E$22,$T$15:$T$22)*(1+'02_Assumptions'!$C$11)^7</f>
        <v>367092329.13563001</v>
      </c>
      <c r="J32" s="45">
        <f>SUMPRODUCT(P$15:P$22,$E$15:$E$22,$T$15:$T$22)*(1+'02_Assumptions'!$C$11)^8</f>
        <v>381776022.30105525</v>
      </c>
      <c r="K32" s="45">
        <f>SUMPRODUCT(Q$15:Q$22,$E$15:$E$22,$T$15:$T$22)*(1+'02_Assumptions'!$C$11)^9</f>
        <v>397047063.19309753</v>
      </c>
      <c r="L32" s="18"/>
      <c r="M32" s="18"/>
      <c r="N32" s="18"/>
      <c r="O32" s="18"/>
      <c r="P32" s="18"/>
      <c r="Q32" s="18"/>
      <c r="R32" s="18"/>
      <c r="S32" s="18"/>
      <c r="T32" s="16"/>
    </row>
    <row r="33" spans="1:20">
      <c r="A33" s="18" t="s">
        <v>1098</v>
      </c>
      <c r="B33" s="45">
        <f>SUMPRODUCT(H$23:H$25,$E$23:$E$25,$T$23:$T$25)*(1+'02_Assumptions'!$C$11)^0</f>
        <v>29040000</v>
      </c>
      <c r="C33" s="45">
        <f>SUMPRODUCT(I$23:I$25,$E$23:$E$25,$T$23:$T$25)*(1+'02_Assumptions'!$C$11)^1</f>
        <v>30201600</v>
      </c>
      <c r="D33" s="45">
        <f>SUMPRODUCT(J$23:J$25,$E$23:$E$25,$T$23:$T$25)*(1+'02_Assumptions'!$C$11)^2</f>
        <v>0</v>
      </c>
      <c r="E33" s="45">
        <f>SUMPRODUCT(K$23:K$25,$E$23:$E$25,$T$23:$T$25)*(1+'02_Assumptions'!$C$11)^3</f>
        <v>0</v>
      </c>
      <c r="F33" s="45">
        <f>SUMPRODUCT(L$23:L$25,$E$23:$E$25,$T$23:$T$25)*(1+'02_Assumptions'!$C$11)^4</f>
        <v>0</v>
      </c>
      <c r="G33" s="45">
        <f>SUMPRODUCT(M$23:M$25,$E$23:$E$25,$T$23:$T$25)*(1+'02_Assumptions'!$C$11)^5</f>
        <v>0</v>
      </c>
      <c r="H33" s="45">
        <f>SUMPRODUCT(N$23:N$25,$E$23:$E$25,$T$23:$T$25)*(1+'02_Assumptions'!$C$11)^6</f>
        <v>0</v>
      </c>
      <c r="I33" s="45">
        <f>SUMPRODUCT(O$23:O$25,$E$23:$E$25,$T$23:$T$25)*(1+'02_Assumptions'!$C$11)^7</f>
        <v>0</v>
      </c>
      <c r="J33" s="45">
        <f>SUMPRODUCT(P$23:P$25,$E$23:$E$25,$T$23:$T$25)*(1+'02_Assumptions'!$C$11)^8</f>
        <v>0</v>
      </c>
      <c r="K33" s="45">
        <f>SUMPRODUCT(Q$23:Q$25,$E$23:$E$25,$T$23:$T$25)*(1+'02_Assumptions'!$C$11)^9</f>
        <v>0</v>
      </c>
      <c r="L33" s="18"/>
      <c r="M33" s="18"/>
      <c r="N33" s="18"/>
      <c r="O33" s="18"/>
      <c r="P33" s="18"/>
      <c r="Q33" s="18"/>
      <c r="R33" s="18"/>
      <c r="S33" s="18"/>
      <c r="T33" s="16"/>
    </row>
    <row r="34" spans="1:20" ht="23.25">
      <c r="A34" s="80" t="s">
        <v>1099</v>
      </c>
      <c r="B34" s="80">
        <f>SUM(B30:B33)+'17_Model_Fleksibel'!$O$52</f>
        <v>904962520</v>
      </c>
      <c r="C34" s="80">
        <f>SUM(C30:C33)+'17_Model_Fleksibel'!$P$52</f>
        <v>987039173.12</v>
      </c>
      <c r="D34" s="80">
        <f>SUM(D30:D33)+'17_Model_Fleksibel'!$Q$52</f>
        <v>690801068.67200017</v>
      </c>
      <c r="E34" s="80">
        <f>SUM(E30:E33)+'17_Model_Fleksibel'!$R$52</f>
        <v>666548534.44607997</v>
      </c>
      <c r="F34" s="80">
        <f>SUM(F30:F33)+'17_Model_Fleksibel'!$S$52</f>
        <v>631770089.18200326</v>
      </c>
      <c r="G34" s="80">
        <f>SUM(G30:G33)+'17_Model_Fleksibel'!$T$52</f>
        <v>711606802.09960151</v>
      </c>
      <c r="H34" s="80">
        <f>SUM(H30:H33)+'17_Model_Fleksibel'!$U$52</f>
        <v>705245572.30561841</v>
      </c>
      <c r="I34" s="80">
        <f>SUM(I30:I33)+'17_Model_Fleksibel'!$V$52</f>
        <v>820306892.6274085</v>
      </c>
      <c r="J34" s="80">
        <f>SUM(J30:J33)+'17_Model_Fleksibel'!$W$52</f>
        <v>762793611.00575686</v>
      </c>
      <c r="K34" s="80">
        <f>SUM(K30:K33)+'17_Model_Fleksibel'!$X$52</f>
        <v>887243935.06580532</v>
      </c>
      <c r="L34" s="18"/>
      <c r="M34" s="18"/>
      <c r="N34" s="18"/>
      <c r="O34" s="18"/>
      <c r="P34" s="18"/>
      <c r="Q34" s="18"/>
      <c r="R34" s="18"/>
      <c r="S34" s="18"/>
      <c r="T34" s="16"/>
    </row>
  </sheetData>
  <mergeCells count="3">
    <mergeCell ref="A1:S1"/>
    <mergeCell ref="A2:S2"/>
    <mergeCell ref="A28:K28"/>
  </mergeCells>
  <dataValidations count="1">
    <dataValidation type="list" sqref="T5:T25" xr:uid="{00000000-0002-0000-0700-000000000000}">
      <formula1>"0,1"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3"/>
  <sheetViews>
    <sheetView showGridLines="0" workbookViewId="0"/>
  </sheetViews>
  <sheetFormatPr defaultRowHeight="13.5"/>
  <cols>
    <col min="1" max="1" width="17" customWidth="1"/>
    <col min="2" max="2" width="33" customWidth="1"/>
    <col min="3" max="3" width="18" customWidth="1"/>
    <col min="4" max="5" width="14" customWidth="1"/>
    <col min="6" max="6" width="10" customWidth="1"/>
    <col min="7" max="7" width="16" customWidth="1"/>
    <col min="8" max="10" width="18" customWidth="1"/>
    <col min="11" max="11" width="49" customWidth="1"/>
  </cols>
  <sheetData>
    <row r="1" spans="1:11" ht="28.05" customHeight="1">
      <c r="A1" s="206" t="s">
        <v>1100</v>
      </c>
      <c r="B1" s="206"/>
      <c r="C1" s="206"/>
      <c r="D1" s="206"/>
      <c r="E1" s="206"/>
      <c r="F1" s="206"/>
      <c r="G1" s="206"/>
      <c r="H1" s="206"/>
      <c r="I1" s="206"/>
      <c r="J1" s="206"/>
      <c r="K1" s="206"/>
    </row>
    <row r="2" spans="1:11" ht="38" customHeight="1">
      <c r="A2" s="207" t="s">
        <v>1101</v>
      </c>
      <c r="B2" s="207"/>
      <c r="C2" s="207"/>
      <c r="D2" s="207"/>
      <c r="E2" s="207"/>
      <c r="F2" s="207"/>
      <c r="G2" s="207"/>
      <c r="H2" s="207"/>
      <c r="I2" s="207"/>
      <c r="J2" s="207"/>
      <c r="K2" s="207"/>
    </row>
    <row r="3" spans="1:11">
      <c r="A3" s="16"/>
      <c r="B3" s="16"/>
      <c r="C3" s="16"/>
      <c r="D3" s="16"/>
      <c r="E3" s="16"/>
      <c r="F3" s="16"/>
      <c r="G3" s="16"/>
      <c r="H3" s="16"/>
      <c r="I3" s="16"/>
      <c r="J3" s="16"/>
      <c r="K3" s="16"/>
    </row>
    <row r="4" spans="1:11" ht="30" customHeight="1">
      <c r="A4" s="2" t="s">
        <v>754</v>
      </c>
      <c r="B4" s="3" t="s">
        <v>1102</v>
      </c>
      <c r="C4" s="3" t="s">
        <v>1103</v>
      </c>
      <c r="D4" s="3" t="s">
        <v>758</v>
      </c>
      <c r="E4" s="3" t="s">
        <v>759</v>
      </c>
      <c r="F4" s="3" t="s">
        <v>137</v>
      </c>
      <c r="G4" s="3" t="s">
        <v>851</v>
      </c>
      <c r="H4" s="3" t="s">
        <v>852</v>
      </c>
      <c r="I4" s="3" t="s">
        <v>853</v>
      </c>
      <c r="J4" s="3" t="s">
        <v>1104</v>
      </c>
      <c r="K4" s="4" t="s">
        <v>1105</v>
      </c>
    </row>
    <row r="5" spans="1:11">
      <c r="A5" s="18" t="s">
        <v>1106</v>
      </c>
      <c r="B5" s="18" t="s">
        <v>1107</v>
      </c>
      <c r="C5" s="18" t="s">
        <v>1108</v>
      </c>
      <c r="D5" s="91">
        <f>'02_Assumptions'!$C$6</f>
        <v>100</v>
      </c>
      <c r="E5" s="91">
        <f>'02_Assumptions'!$C$6</f>
        <v>100</v>
      </c>
      <c r="F5" s="32" t="s">
        <v>143</v>
      </c>
      <c r="G5" s="87">
        <f>'02_Assumptions'!$C$16</f>
        <v>0</v>
      </c>
      <c r="H5" s="89">
        <f t="shared" ref="H5:H40" si="0">$D5*$G5</f>
        <v>0</v>
      </c>
      <c r="I5" s="89">
        <f t="shared" ref="I5:I40" si="1">$E5*$G5</f>
        <v>0</v>
      </c>
      <c r="J5" s="89">
        <f>($H5+($I5-$H5)*('02_Assumptions'!$C$8-1)/3)</f>
        <v>0</v>
      </c>
      <c r="K5" s="18" t="s">
        <v>1109</v>
      </c>
    </row>
    <row r="6" spans="1:11">
      <c r="A6" s="18" t="s">
        <v>1110</v>
      </c>
      <c r="B6" s="18" t="s">
        <v>1111</v>
      </c>
      <c r="C6" s="18" t="s">
        <v>781</v>
      </c>
      <c r="D6" s="91">
        <f>1</f>
        <v>1</v>
      </c>
      <c r="E6" s="91">
        <f>1</f>
        <v>1</v>
      </c>
      <c r="F6" s="32" t="s">
        <v>781</v>
      </c>
      <c r="G6" s="87">
        <v>35000000</v>
      </c>
      <c r="H6" s="89">
        <f t="shared" si="0"/>
        <v>35000000</v>
      </c>
      <c r="I6" s="89">
        <f t="shared" si="1"/>
        <v>35000000</v>
      </c>
      <c r="J6" s="89">
        <f>($H6+($I6-$H6)*('02_Assumptions'!$C$8-1)/3)</f>
        <v>35000000</v>
      </c>
      <c r="K6" s="18" t="s">
        <v>1112</v>
      </c>
    </row>
    <row r="7" spans="1:11">
      <c r="A7" s="18" t="s">
        <v>1110</v>
      </c>
      <c r="B7" s="18" t="s">
        <v>1113</v>
      </c>
      <c r="C7" s="18" t="s">
        <v>154</v>
      </c>
      <c r="D7" s="91">
        <f>1</f>
        <v>1</v>
      </c>
      <c r="E7" s="91">
        <f>4</f>
        <v>4</v>
      </c>
      <c r="F7" s="32" t="s">
        <v>154</v>
      </c>
      <c r="G7" s="87">
        <v>75000000</v>
      </c>
      <c r="H7" s="89">
        <f t="shared" si="0"/>
        <v>75000000</v>
      </c>
      <c r="I7" s="89">
        <f t="shared" si="1"/>
        <v>300000000</v>
      </c>
      <c r="J7" s="89">
        <f>($H7+($I7-$H7)*('02_Assumptions'!$C$8-1)/3)</f>
        <v>75000000</v>
      </c>
      <c r="K7" s="18" t="s">
        <v>1114</v>
      </c>
    </row>
    <row r="8" spans="1:11">
      <c r="A8" s="18" t="s">
        <v>1110</v>
      </c>
      <c r="B8" s="18" t="s">
        <v>1115</v>
      </c>
      <c r="C8" s="18" t="s">
        <v>154</v>
      </c>
      <c r="D8" s="91">
        <f>1</f>
        <v>1</v>
      </c>
      <c r="E8" s="91">
        <f>4</f>
        <v>4</v>
      </c>
      <c r="F8" s="32" t="s">
        <v>154</v>
      </c>
      <c r="G8" s="87">
        <v>25000000</v>
      </c>
      <c r="H8" s="89">
        <f t="shared" si="0"/>
        <v>25000000</v>
      </c>
      <c r="I8" s="89">
        <f t="shared" si="1"/>
        <v>100000000</v>
      </c>
      <c r="J8" s="89">
        <f>($H8+($I8-$H8)*('02_Assumptions'!$C$8-1)/3)</f>
        <v>25000000</v>
      </c>
      <c r="K8" s="18" t="s">
        <v>1116</v>
      </c>
    </row>
    <row r="9" spans="1:11">
      <c r="A9" s="18" t="s">
        <v>1117</v>
      </c>
      <c r="B9" s="18" t="s">
        <v>364</v>
      </c>
      <c r="C9" s="18" t="s">
        <v>1118</v>
      </c>
      <c r="D9" s="91">
        <f>'02_Assumptions'!$C$6</f>
        <v>100</v>
      </c>
      <c r="E9" s="91">
        <f>'02_Assumptions'!$C$6</f>
        <v>100</v>
      </c>
      <c r="F9" s="32" t="s">
        <v>143</v>
      </c>
      <c r="G9" s="87">
        <f>'02_Assumptions'!$C$93</f>
        <v>250000</v>
      </c>
      <c r="H9" s="89">
        <f t="shared" si="0"/>
        <v>25000000</v>
      </c>
      <c r="I9" s="89">
        <f t="shared" si="1"/>
        <v>25000000</v>
      </c>
      <c r="J9" s="89">
        <f>($H9+($I9-$H9)*('02_Assumptions'!$C$8-1)/3)</f>
        <v>25000000</v>
      </c>
      <c r="K9" s="18" t="s">
        <v>365</v>
      </c>
    </row>
    <row r="10" spans="1:11">
      <c r="A10" s="18" t="s">
        <v>1117</v>
      </c>
      <c r="B10" s="18" t="s">
        <v>1119</v>
      </c>
      <c r="C10" s="18" t="s">
        <v>1118</v>
      </c>
      <c r="D10" s="91">
        <f>'02_Assumptions'!$C$6</f>
        <v>100</v>
      </c>
      <c r="E10" s="91">
        <f>'02_Assumptions'!$C$6</f>
        <v>100</v>
      </c>
      <c r="F10" s="32" t="s">
        <v>143</v>
      </c>
      <c r="G10" s="87">
        <f>'02_Assumptions'!$C$94</f>
        <v>350000</v>
      </c>
      <c r="H10" s="89">
        <f t="shared" si="0"/>
        <v>35000000</v>
      </c>
      <c r="I10" s="89">
        <f t="shared" si="1"/>
        <v>35000000</v>
      </c>
      <c r="J10" s="89">
        <f>($H10+($I10-$H10)*('02_Assumptions'!$C$8-1)/3)</f>
        <v>35000000</v>
      </c>
      <c r="K10" s="18" t="s">
        <v>1120</v>
      </c>
    </row>
    <row r="11" spans="1:11">
      <c r="A11" s="18" t="s">
        <v>1117</v>
      </c>
      <c r="B11" s="18" t="s">
        <v>1121</v>
      </c>
      <c r="C11" s="18" t="s">
        <v>789</v>
      </c>
      <c r="D11" s="91">
        <f>ROUNDUP('02_Assumptions'!$C$6/'02_Assumptions'!$C$96,0)</f>
        <v>40</v>
      </c>
      <c r="E11" s="91">
        <f>ROUNDUP('02_Assumptions'!$C$6/'02_Assumptions'!$C$96+'02_Assumptions'!$C$168*3,0)</f>
        <v>52</v>
      </c>
      <c r="F11" s="32" t="s">
        <v>789</v>
      </c>
      <c r="G11" s="87">
        <f>'02_Assumptions'!$C$95</f>
        <v>800000</v>
      </c>
      <c r="H11" s="89">
        <f t="shared" si="0"/>
        <v>32000000</v>
      </c>
      <c r="I11" s="89">
        <f t="shared" si="1"/>
        <v>41600000</v>
      </c>
      <c r="J11" s="89">
        <f>($H11+($I11-$H11)*('02_Assumptions'!$C$8-1)/3)</f>
        <v>32000000</v>
      </c>
      <c r="K11" s="18" t="s">
        <v>1122</v>
      </c>
    </row>
    <row r="12" spans="1:11">
      <c r="A12" s="18" t="s">
        <v>1117</v>
      </c>
      <c r="B12" s="18" t="s">
        <v>1123</v>
      </c>
      <c r="C12" s="18" t="s">
        <v>1124</v>
      </c>
      <c r="D12" s="91">
        <f>ROUNDUP('02_Assumptions'!$C$6*'02_Assumptions'!$C$166,0)</f>
        <v>10</v>
      </c>
      <c r="E12" s="91">
        <f>ROUNDUP('02_Assumptions'!$C$6*'02_Assumptions'!$C$166+'02_Assumptions'!$C$167*3,0)</f>
        <v>16</v>
      </c>
      <c r="F12" s="32" t="s">
        <v>1124</v>
      </c>
      <c r="G12" s="87">
        <v>2000000</v>
      </c>
      <c r="H12" s="89">
        <f t="shared" si="0"/>
        <v>20000000</v>
      </c>
      <c r="I12" s="89">
        <f t="shared" si="1"/>
        <v>32000000</v>
      </c>
      <c r="J12" s="89">
        <f>($H12+($I12-$H12)*('02_Assumptions'!$C$8-1)/3)</f>
        <v>20000000</v>
      </c>
      <c r="K12" s="18" t="s">
        <v>1125</v>
      </c>
    </row>
    <row r="13" spans="1:11">
      <c r="A13" s="18" t="s">
        <v>1117</v>
      </c>
      <c r="B13" s="18" t="s">
        <v>1126</v>
      </c>
      <c r="C13" s="18" t="s">
        <v>789</v>
      </c>
      <c r="D13" s="91">
        <f>'02_Assumptions'!$C$169</f>
        <v>8</v>
      </c>
      <c r="E13" s="91">
        <f>ROUNDUP('02_Assumptions'!$C$169+'02_Assumptions'!$C$170*3,0)</f>
        <v>17</v>
      </c>
      <c r="F13" s="32" t="s">
        <v>789</v>
      </c>
      <c r="G13" s="87">
        <v>1500000</v>
      </c>
      <c r="H13" s="89">
        <f t="shared" si="0"/>
        <v>12000000</v>
      </c>
      <c r="I13" s="89">
        <f t="shared" si="1"/>
        <v>25500000</v>
      </c>
      <c r="J13" s="89">
        <f>($H13+($I13-$H13)*('02_Assumptions'!$C$8-1)/3)</f>
        <v>12000000</v>
      </c>
      <c r="K13" s="18" t="s">
        <v>1127</v>
      </c>
    </row>
    <row r="14" spans="1:11">
      <c r="A14" s="18" t="s">
        <v>1128</v>
      </c>
      <c r="B14" s="18" t="s">
        <v>1129</v>
      </c>
      <c r="C14" s="18" t="s">
        <v>154</v>
      </c>
      <c r="D14" s="91">
        <f>1</f>
        <v>1</v>
      </c>
      <c r="E14" s="91">
        <f>4</f>
        <v>4</v>
      </c>
      <c r="F14" s="32" t="s">
        <v>154</v>
      </c>
      <c r="G14" s="87">
        <v>30000000</v>
      </c>
      <c r="H14" s="89">
        <f t="shared" si="0"/>
        <v>30000000</v>
      </c>
      <c r="I14" s="89">
        <f t="shared" si="1"/>
        <v>120000000</v>
      </c>
      <c r="J14" s="89">
        <f>($H14+($I14-$H14)*('02_Assumptions'!$C$8-1)/3)</f>
        <v>30000000</v>
      </c>
      <c r="K14" s="18" t="s">
        <v>1130</v>
      </c>
    </row>
    <row r="15" spans="1:11">
      <c r="A15" s="18" t="s">
        <v>1131</v>
      </c>
      <c r="B15" s="18" t="s">
        <v>1132</v>
      </c>
      <c r="C15" s="18" t="s">
        <v>781</v>
      </c>
      <c r="D15" s="91">
        <f>1</f>
        <v>1</v>
      </c>
      <c r="E15" s="91">
        <f>1</f>
        <v>1</v>
      </c>
      <c r="F15" s="32" t="s">
        <v>781</v>
      </c>
      <c r="G15" s="87">
        <v>100000000</v>
      </c>
      <c r="H15" s="89">
        <f t="shared" si="0"/>
        <v>100000000</v>
      </c>
      <c r="I15" s="89">
        <f t="shared" si="1"/>
        <v>100000000</v>
      </c>
      <c r="J15" s="89">
        <f>($H15+($I15-$H15)*('02_Assumptions'!$C$8-1)/3)</f>
        <v>100000000</v>
      </c>
      <c r="K15" s="18" t="s">
        <v>1133</v>
      </c>
    </row>
    <row r="16" spans="1:11">
      <c r="A16" s="18" t="s">
        <v>1134</v>
      </c>
      <c r="B16" s="18" t="s">
        <v>1135</v>
      </c>
      <c r="C16" s="18" t="s">
        <v>1118</v>
      </c>
      <c r="D16" s="91">
        <f>'02_Assumptions'!$C$6</f>
        <v>100</v>
      </c>
      <c r="E16" s="91">
        <f>'02_Assumptions'!$C$6</f>
        <v>100</v>
      </c>
      <c r="F16" s="32" t="s">
        <v>143</v>
      </c>
      <c r="G16" s="87">
        <f>'02_Assumptions'!$C$97</f>
        <v>6000000</v>
      </c>
      <c r="H16" s="89">
        <f t="shared" si="0"/>
        <v>600000000</v>
      </c>
      <c r="I16" s="89">
        <f t="shared" si="1"/>
        <v>600000000</v>
      </c>
      <c r="J16" s="89">
        <f>($H16+($I16-$H16)*('02_Assumptions'!$C$8-1)/3)</f>
        <v>600000000</v>
      </c>
      <c r="K16" s="18" t="s">
        <v>1136</v>
      </c>
    </row>
    <row r="17" spans="1:11">
      <c r="A17" s="18" t="s">
        <v>1134</v>
      </c>
      <c r="B17" s="18" t="s">
        <v>1137</v>
      </c>
      <c r="C17" s="18" t="s">
        <v>1138</v>
      </c>
      <c r="D17" s="91">
        <f>'05_Workplan_Labor'!$K$26</f>
        <v>1170489600</v>
      </c>
      <c r="E17" s="91">
        <f>'05_Workplan_Labor'!$L$26</f>
        <v>1213689600</v>
      </c>
      <c r="F17" s="32" t="s">
        <v>1139</v>
      </c>
      <c r="G17" s="87">
        <v>1</v>
      </c>
      <c r="H17" s="89">
        <f t="shared" si="0"/>
        <v>1170489600</v>
      </c>
      <c r="I17" s="89">
        <f t="shared" si="1"/>
        <v>1213689600</v>
      </c>
      <c r="J17" s="89">
        <f>($H17+($I17-$H17)*('02_Assumptions'!$C$8-1)/3)</f>
        <v>1170489600</v>
      </c>
      <c r="K17" s="18" t="s">
        <v>1140</v>
      </c>
    </row>
    <row r="18" spans="1:11">
      <c r="A18" s="18" t="s">
        <v>1134</v>
      </c>
      <c r="B18" s="18" t="s">
        <v>1141</v>
      </c>
      <c r="C18" s="18" t="s">
        <v>1142</v>
      </c>
      <c r="D18" s="91">
        <f>'02_Assumptions'!$C$24</f>
        <v>88</v>
      </c>
      <c r="E18" s="91">
        <f>'02_Assumptions'!$C$24</f>
        <v>88</v>
      </c>
      <c r="F18" s="32" t="s">
        <v>143</v>
      </c>
      <c r="G18" s="87">
        <v>2000000</v>
      </c>
      <c r="H18" s="89">
        <f t="shared" si="0"/>
        <v>176000000</v>
      </c>
      <c r="I18" s="89">
        <f t="shared" si="1"/>
        <v>176000000</v>
      </c>
      <c r="J18" s="89">
        <f>($H18+($I18-$H18)*('02_Assumptions'!$C$8-1)/3)</f>
        <v>176000000</v>
      </c>
      <c r="K18" s="18" t="s">
        <v>1143</v>
      </c>
    </row>
    <row r="19" spans="1:11">
      <c r="A19" s="18" t="s">
        <v>1134</v>
      </c>
      <c r="B19" s="18" t="s">
        <v>1144</v>
      </c>
      <c r="C19" s="18" t="s">
        <v>1142</v>
      </c>
      <c r="D19" s="91">
        <f>'02_Assumptions'!$C$24</f>
        <v>88</v>
      </c>
      <c r="E19" s="91">
        <f>'02_Assumptions'!$C$24</f>
        <v>88</v>
      </c>
      <c r="F19" s="32" t="s">
        <v>143</v>
      </c>
      <c r="G19" s="87">
        <v>1000000</v>
      </c>
      <c r="H19" s="89">
        <f t="shared" si="0"/>
        <v>88000000</v>
      </c>
      <c r="I19" s="89">
        <f t="shared" si="1"/>
        <v>88000000</v>
      </c>
      <c r="J19" s="89">
        <f>($H19+($I19-$H19)*('02_Assumptions'!$C$8-1)/3)</f>
        <v>88000000</v>
      </c>
      <c r="K19" s="18" t="s">
        <v>1145</v>
      </c>
    </row>
    <row r="20" spans="1:11">
      <c r="A20" s="18" t="s">
        <v>1146</v>
      </c>
      <c r="B20" s="18" t="s">
        <v>1147</v>
      </c>
      <c r="C20" s="18" t="s">
        <v>1148</v>
      </c>
      <c r="D20" s="91">
        <f>'02_Assumptions'!$C$24*'02_Assumptions'!$C$107/2</f>
        <v>352</v>
      </c>
      <c r="E20" s="91">
        <f>'02_Assumptions'!$C$24*'02_Assumptions'!$C$107/2</f>
        <v>352</v>
      </c>
      <c r="F20" s="32" t="s">
        <v>1148</v>
      </c>
      <c r="G20" s="87">
        <f>'02_Assumptions'!$C$73*1000</f>
        <v>1000000</v>
      </c>
      <c r="H20" s="89">
        <f t="shared" si="0"/>
        <v>352000000</v>
      </c>
      <c r="I20" s="89">
        <f t="shared" si="1"/>
        <v>352000000</v>
      </c>
      <c r="J20" s="89">
        <f>($H20+($I20-$H20)*('02_Assumptions'!$C$8-1)/3)</f>
        <v>352000000</v>
      </c>
      <c r="K20" s="18" t="s">
        <v>1149</v>
      </c>
    </row>
    <row r="21" spans="1:11">
      <c r="A21" s="18" t="s">
        <v>1146</v>
      </c>
      <c r="B21" s="18" t="s">
        <v>1150</v>
      </c>
      <c r="C21" s="18" t="s">
        <v>1148</v>
      </c>
      <c r="D21" s="91">
        <f>'02_Assumptions'!$C$24*'02_Assumptions'!$C$107/2</f>
        <v>352</v>
      </c>
      <c r="E21" s="91">
        <f>'02_Assumptions'!$C$24*'02_Assumptions'!$C$107/2</f>
        <v>352</v>
      </c>
      <c r="F21" s="32" t="s">
        <v>1148</v>
      </c>
      <c r="G21" s="87">
        <f>'02_Assumptions'!$C$74*1000</f>
        <v>900000</v>
      </c>
      <c r="H21" s="89">
        <f t="shared" si="0"/>
        <v>316800000</v>
      </c>
      <c r="I21" s="89">
        <f t="shared" si="1"/>
        <v>316800000</v>
      </c>
      <c r="J21" s="89">
        <f>($H21+($I21-$H21)*('02_Assumptions'!$C$8-1)/3)</f>
        <v>316800000</v>
      </c>
      <c r="K21" s="18" t="s">
        <v>1151</v>
      </c>
    </row>
    <row r="22" spans="1:11">
      <c r="A22" s="18" t="s">
        <v>1146</v>
      </c>
      <c r="B22" s="18" t="s">
        <v>1152</v>
      </c>
      <c r="C22" s="18" t="s">
        <v>1148</v>
      </c>
      <c r="D22" s="91">
        <f>'02_Assumptions'!$C$24*'02_Assumptions'!$C$108*'02_Assumptions'!$C$109</f>
        <v>92.399999999999991</v>
      </c>
      <c r="E22" s="91">
        <f>'02_Assumptions'!$C$24*'02_Assumptions'!$C$108*'02_Assumptions'!$C$109</f>
        <v>92.399999999999991</v>
      </c>
      <c r="F22" s="32" t="s">
        <v>1148</v>
      </c>
      <c r="G22" s="87">
        <f>'02_Assumptions'!$C$75*1000</f>
        <v>1500000</v>
      </c>
      <c r="H22" s="89">
        <f t="shared" si="0"/>
        <v>138600000</v>
      </c>
      <c r="I22" s="89">
        <f t="shared" si="1"/>
        <v>138600000</v>
      </c>
      <c r="J22" s="89">
        <f>($H22+($I22-$H22)*('02_Assumptions'!$C$8-1)/3)</f>
        <v>138600000</v>
      </c>
      <c r="K22" s="18" t="s">
        <v>1153</v>
      </c>
    </row>
    <row r="23" spans="1:11">
      <c r="A23" s="18" t="s">
        <v>1154</v>
      </c>
      <c r="B23" s="18" t="s">
        <v>1155</v>
      </c>
      <c r="C23" s="18" t="s">
        <v>1156</v>
      </c>
      <c r="D23" s="91">
        <f>'02_Assumptions'!$C$6*'02_Assumptions'!$C$158</f>
        <v>4000</v>
      </c>
      <c r="E23" s="91">
        <f>'02_Assumptions'!$C$6*'02_Assumptions'!$C$158*(1+'02_Assumptions'!$C$159*3)</f>
        <v>4500.0000040000004</v>
      </c>
      <c r="F23" s="32" t="s">
        <v>1156</v>
      </c>
      <c r="G23" s="87">
        <f>'02_Assumptions'!$C$98</f>
        <v>350000</v>
      </c>
      <c r="H23" s="89">
        <f t="shared" si="0"/>
        <v>1400000000</v>
      </c>
      <c r="I23" s="89">
        <f t="shared" si="1"/>
        <v>1575000001.4000001</v>
      </c>
      <c r="J23" s="89">
        <f>($H23+($I23-$H23)*('02_Assumptions'!$C$8-1)/3)</f>
        <v>1400000000</v>
      </c>
      <c r="K23" s="18" t="s">
        <v>1157</v>
      </c>
    </row>
    <row r="24" spans="1:11">
      <c r="A24" s="18" t="s">
        <v>1154</v>
      </c>
      <c r="B24" s="18" t="s">
        <v>1158</v>
      </c>
      <c r="C24" s="18" t="s">
        <v>1156</v>
      </c>
      <c r="D24" s="91">
        <f>'02_Assumptions'!$C$6*'02_Assumptions'!$C$160</f>
        <v>6000</v>
      </c>
      <c r="E24" s="91">
        <f>'02_Assumptions'!$C$6*'02_Assumptions'!$C$160*(1+'02_Assumptions'!$C$161*3)</f>
        <v>7000.000008</v>
      </c>
      <c r="F24" s="32" t="s">
        <v>1156</v>
      </c>
      <c r="G24" s="87">
        <f>'02_Assumptions'!$C$99</f>
        <v>120000</v>
      </c>
      <c r="H24" s="89">
        <f t="shared" si="0"/>
        <v>720000000</v>
      </c>
      <c r="I24" s="89">
        <f t="shared" si="1"/>
        <v>840000000.96000004</v>
      </c>
      <c r="J24" s="89">
        <f>($H24+($I24-$H24)*('02_Assumptions'!$C$8-1)/3)</f>
        <v>720000000</v>
      </c>
      <c r="K24" s="18" t="s">
        <v>1159</v>
      </c>
    </row>
    <row r="25" spans="1:11">
      <c r="A25" s="18" t="s">
        <v>1160</v>
      </c>
      <c r="B25" s="18" t="s">
        <v>1161</v>
      </c>
      <c r="C25" s="18" t="s">
        <v>1156</v>
      </c>
      <c r="D25" s="91">
        <f>'02_Assumptions'!$C$6*'02_Assumptions'!$C$162</f>
        <v>8000</v>
      </c>
      <c r="E25" s="91">
        <f>'02_Assumptions'!$C$6*'02_Assumptions'!$C$162*(1+'02_Assumptions'!$C$163*3)</f>
        <v>9000.0000080000009</v>
      </c>
      <c r="F25" s="32" t="s">
        <v>1156</v>
      </c>
      <c r="G25" s="87">
        <f>'02_Assumptions'!$C$100</f>
        <v>45000</v>
      </c>
      <c r="H25" s="89">
        <f t="shared" si="0"/>
        <v>360000000</v>
      </c>
      <c r="I25" s="89">
        <f t="shared" si="1"/>
        <v>405000000.36000001</v>
      </c>
      <c r="J25" s="89">
        <f>($H25+($I25-$H25)*('02_Assumptions'!$C$8-1)/3)</f>
        <v>360000000</v>
      </c>
      <c r="K25" s="18" t="s">
        <v>1162</v>
      </c>
    </row>
    <row r="26" spans="1:11">
      <c r="A26" s="18" t="s">
        <v>1160</v>
      </c>
      <c r="B26" s="18" t="s">
        <v>1163</v>
      </c>
      <c r="C26" s="18" t="s">
        <v>505</v>
      </c>
      <c r="D26" s="91">
        <f>'02_Assumptions'!$C$6*'02_Assumptions'!$C$164</f>
        <v>20</v>
      </c>
      <c r="E26" s="91">
        <f>'02_Assumptions'!$C$6*'02_Assumptions'!$C$164+'02_Assumptions'!$C$165*3</f>
        <v>32</v>
      </c>
      <c r="F26" s="32" t="s">
        <v>505</v>
      </c>
      <c r="G26" s="87">
        <f>'02_Assumptions'!$C$102</f>
        <v>12000000</v>
      </c>
      <c r="H26" s="89">
        <f t="shared" si="0"/>
        <v>240000000</v>
      </c>
      <c r="I26" s="89">
        <f t="shared" si="1"/>
        <v>384000000</v>
      </c>
      <c r="J26" s="89">
        <f>($H26+($I26-$H26)*('02_Assumptions'!$C$8-1)/3)</f>
        <v>240000000</v>
      </c>
      <c r="K26" s="18" t="s">
        <v>1164</v>
      </c>
    </row>
    <row r="27" spans="1:11">
      <c r="A27" s="18" t="s">
        <v>1165</v>
      </c>
      <c r="B27" s="18" t="s">
        <v>390</v>
      </c>
      <c r="C27" s="18" t="s">
        <v>1156</v>
      </c>
      <c r="D27" s="91">
        <f>400*SQRT('02_Assumptions'!$C$6)</f>
        <v>4000</v>
      </c>
      <c r="E27" s="91">
        <f>400*SQRT('02_Assumptions'!$C$6*4)</f>
        <v>8000</v>
      </c>
      <c r="F27" s="32" t="s">
        <v>1156</v>
      </c>
      <c r="G27" s="87">
        <f>'02_Assumptions'!$C$101</f>
        <v>75000</v>
      </c>
      <c r="H27" s="89">
        <f t="shared" si="0"/>
        <v>300000000</v>
      </c>
      <c r="I27" s="89">
        <f t="shared" si="1"/>
        <v>600000000</v>
      </c>
      <c r="J27" s="89">
        <f>($H27+($I27-$H27)*('02_Assumptions'!$C$8-1)/3)</f>
        <v>300000000</v>
      </c>
      <c r="K27" s="18" t="s">
        <v>1166</v>
      </c>
    </row>
    <row r="28" spans="1:11">
      <c r="A28" s="18" t="s">
        <v>1167</v>
      </c>
      <c r="B28" s="18" t="s">
        <v>395</v>
      </c>
      <c r="C28" s="18" t="s">
        <v>154</v>
      </c>
      <c r="D28" s="91">
        <f>1</f>
        <v>1</v>
      </c>
      <c r="E28" s="91">
        <f>4</f>
        <v>4</v>
      </c>
      <c r="F28" s="32" t="s">
        <v>154</v>
      </c>
      <c r="G28" s="87">
        <f>'02_Assumptions'!$C$103</f>
        <v>350000000</v>
      </c>
      <c r="H28" s="89">
        <f t="shared" si="0"/>
        <v>350000000</v>
      </c>
      <c r="I28" s="89">
        <f t="shared" si="1"/>
        <v>1400000000</v>
      </c>
      <c r="J28" s="89">
        <f>($H28+($I28-$H28)*('02_Assumptions'!$C$8-1)/3)</f>
        <v>350000000</v>
      </c>
      <c r="K28" s="18" t="s">
        <v>1168</v>
      </c>
    </row>
    <row r="29" spans="1:11">
      <c r="A29" s="18" t="s">
        <v>1167</v>
      </c>
      <c r="B29" s="18" t="s">
        <v>398</v>
      </c>
      <c r="C29" s="18" t="s">
        <v>154</v>
      </c>
      <c r="D29" s="91">
        <f>1</f>
        <v>1</v>
      </c>
      <c r="E29" s="91">
        <f>4</f>
        <v>4</v>
      </c>
      <c r="F29" s="32" t="s">
        <v>154</v>
      </c>
      <c r="G29" s="87">
        <f>'02_Assumptions'!$C$104</f>
        <v>250000000</v>
      </c>
      <c r="H29" s="89">
        <f t="shared" si="0"/>
        <v>250000000</v>
      </c>
      <c r="I29" s="89">
        <f t="shared" si="1"/>
        <v>1000000000</v>
      </c>
      <c r="J29" s="89">
        <f>($H29+($I29-$H29)*('02_Assumptions'!$C$8-1)/3)</f>
        <v>250000000</v>
      </c>
      <c r="K29" s="18" t="s">
        <v>1169</v>
      </c>
    </row>
    <row r="30" spans="1:11">
      <c r="A30" s="18" t="s">
        <v>1170</v>
      </c>
      <c r="B30" s="18" t="s">
        <v>1171</v>
      </c>
      <c r="C30" s="18" t="s">
        <v>154</v>
      </c>
      <c r="D30" s="91">
        <f>1</f>
        <v>1</v>
      </c>
      <c r="E30" s="91">
        <f>4</f>
        <v>4</v>
      </c>
      <c r="F30" s="32" t="s">
        <v>154</v>
      </c>
      <c r="G30" s="87">
        <f>'02_Assumptions'!$C$105</f>
        <v>350000000</v>
      </c>
      <c r="H30" s="89">
        <f t="shared" si="0"/>
        <v>350000000</v>
      </c>
      <c r="I30" s="89">
        <f t="shared" si="1"/>
        <v>1400000000</v>
      </c>
      <c r="J30" s="89">
        <f>($H30+($I30-$H30)*('02_Assumptions'!$C$8-1)/3)</f>
        <v>350000000</v>
      </c>
      <c r="K30" s="18" t="s">
        <v>1172</v>
      </c>
    </row>
    <row r="31" spans="1:11">
      <c r="A31" s="18" t="s">
        <v>1173</v>
      </c>
      <c r="B31" s="18" t="s">
        <v>1174</v>
      </c>
      <c r="C31" s="18" t="s">
        <v>154</v>
      </c>
      <c r="D31" s="91">
        <f>1</f>
        <v>1</v>
      </c>
      <c r="E31" s="91">
        <f>4</f>
        <v>4</v>
      </c>
      <c r="F31" s="32" t="s">
        <v>154</v>
      </c>
      <c r="G31" s="87">
        <v>100000000</v>
      </c>
      <c r="H31" s="89">
        <f t="shared" si="0"/>
        <v>100000000</v>
      </c>
      <c r="I31" s="89">
        <f t="shared" si="1"/>
        <v>400000000</v>
      </c>
      <c r="J31" s="89">
        <f>($H31+($I31-$H31)*('02_Assumptions'!$C$8-1)/3)</f>
        <v>100000000</v>
      </c>
      <c r="K31" s="18" t="s">
        <v>1175</v>
      </c>
    </row>
    <row r="32" spans="1:11">
      <c r="A32" s="18" t="s">
        <v>1176</v>
      </c>
      <c r="B32" s="18" t="s">
        <v>1177</v>
      </c>
      <c r="C32" s="18" t="s">
        <v>154</v>
      </c>
      <c r="D32" s="91">
        <f>1</f>
        <v>1</v>
      </c>
      <c r="E32" s="91">
        <f>4</f>
        <v>4</v>
      </c>
      <c r="F32" s="32" t="s">
        <v>154</v>
      </c>
      <c r="G32" s="87">
        <f>'02_Assumptions'!$C$106</f>
        <v>75000000</v>
      </c>
      <c r="H32" s="89">
        <f t="shared" si="0"/>
        <v>75000000</v>
      </c>
      <c r="I32" s="89">
        <f t="shared" si="1"/>
        <v>300000000</v>
      </c>
      <c r="J32" s="89">
        <f>($H32+($I32-$H32)*('02_Assumptions'!$C$8-1)/3)</f>
        <v>75000000</v>
      </c>
      <c r="K32" s="18" t="s">
        <v>1178</v>
      </c>
    </row>
    <row r="33" spans="1:11">
      <c r="A33" s="18" t="s">
        <v>1179</v>
      </c>
      <c r="B33" s="18" t="s">
        <v>1180</v>
      </c>
      <c r="C33" s="18" t="s">
        <v>1138</v>
      </c>
      <c r="D33" s="91">
        <f>'04_Planting_Design'!$G$19+'17_Model_Fleksibel'!$M$18</f>
        <v>2330768000.0000005</v>
      </c>
      <c r="E33" s="91">
        <f>'04_Planting_Design'!$G$19+'17_Model_Fleksibel'!$M$18</f>
        <v>2330768000.0000005</v>
      </c>
      <c r="F33" s="32" t="s">
        <v>1139</v>
      </c>
      <c r="G33" s="87">
        <v>1</v>
      </c>
      <c r="H33" s="89">
        <f t="shared" si="0"/>
        <v>2330768000.0000005</v>
      </c>
      <c r="I33" s="89">
        <f t="shared" si="1"/>
        <v>2330768000.0000005</v>
      </c>
      <c r="J33" s="89">
        <f>($H33+($I33-$H33)*('02_Assumptions'!$C$8-1)/3)</f>
        <v>2330768000.0000005</v>
      </c>
      <c r="K33" s="18" t="s">
        <v>1181</v>
      </c>
    </row>
    <row r="34" spans="1:11">
      <c r="A34" s="18" t="s">
        <v>1179</v>
      </c>
      <c r="B34" s="18" t="s">
        <v>1182</v>
      </c>
      <c r="C34" s="18" t="s">
        <v>1183</v>
      </c>
      <c r="D34" s="91">
        <f>$D$33*'02_Assumptions'!$C$171</f>
        <v>233076800.00000006</v>
      </c>
      <c r="E34" s="91">
        <f>$E$33*('02_Assumptions'!$C$171+'02_Assumptions'!$C$172*3)</f>
        <v>326307517.66923201</v>
      </c>
      <c r="F34" s="32" t="s">
        <v>1139</v>
      </c>
      <c r="G34" s="87">
        <v>1</v>
      </c>
      <c r="H34" s="89">
        <f t="shared" si="0"/>
        <v>233076800.00000006</v>
      </c>
      <c r="I34" s="89">
        <f t="shared" si="1"/>
        <v>326307517.66923201</v>
      </c>
      <c r="J34" s="89">
        <f>($H34+($I34-$H34)*('02_Assumptions'!$C$8-1)/3)</f>
        <v>233076800.00000006</v>
      </c>
      <c r="K34" s="18" t="s">
        <v>1184</v>
      </c>
    </row>
    <row r="35" spans="1:11">
      <c r="A35" s="18" t="s">
        <v>1179</v>
      </c>
      <c r="B35" s="18" t="s">
        <v>1185</v>
      </c>
      <c r="C35" s="18" t="s">
        <v>1183</v>
      </c>
      <c r="D35" s="91">
        <f>$D$33*'02_Assumptions'!$C$173</f>
        <v>116538400.00000003</v>
      </c>
      <c r="E35" s="91">
        <f>$E$33*('02_Assumptions'!$C$173+'02_Assumptions'!$C$174*3)</f>
        <v>163153762.33076805</v>
      </c>
      <c r="F35" s="32" t="s">
        <v>1139</v>
      </c>
      <c r="G35" s="87">
        <v>1</v>
      </c>
      <c r="H35" s="89">
        <f t="shared" si="0"/>
        <v>116538400.00000003</v>
      </c>
      <c r="I35" s="89">
        <f t="shared" si="1"/>
        <v>163153762.33076805</v>
      </c>
      <c r="J35" s="89">
        <f>($H35+($I35-$H35)*('02_Assumptions'!$C$8-1)/3)</f>
        <v>116538400.00000003</v>
      </c>
      <c r="K35" s="18" t="s">
        <v>1186</v>
      </c>
    </row>
    <row r="36" spans="1:11">
      <c r="A36" s="18" t="s">
        <v>1179</v>
      </c>
      <c r="B36" s="18" t="s">
        <v>1187</v>
      </c>
      <c r="C36" s="18" t="s">
        <v>1188</v>
      </c>
      <c r="D36" s="91">
        <f>('04_Planting_Design'!$D$8+'04_Planting_Design'!$F$8)*'02_Assumptions'!$C$175</f>
        <v>497.20000000000005</v>
      </c>
      <c r="E36" s="91">
        <f>('04_Planting_Design'!$D$8+'04_Planting_Design'!$F$8)*'02_Assumptions'!$C$175</f>
        <v>497.20000000000005</v>
      </c>
      <c r="F36" s="32" t="s">
        <v>1025</v>
      </c>
      <c r="G36" s="87">
        <v>120000</v>
      </c>
      <c r="H36" s="89">
        <f t="shared" si="0"/>
        <v>59664000.000000007</v>
      </c>
      <c r="I36" s="89">
        <f t="shared" si="1"/>
        <v>59664000.000000007</v>
      </c>
      <c r="J36" s="89">
        <f>($H36+($I36-$H36)*('02_Assumptions'!$C$8-1)/3)</f>
        <v>59664000.000000007</v>
      </c>
      <c r="K36" s="18" t="s">
        <v>1189</v>
      </c>
    </row>
    <row r="37" spans="1:11" ht="23.25">
      <c r="A37" s="18" t="s">
        <v>1190</v>
      </c>
      <c r="B37" s="18" t="s">
        <v>1191</v>
      </c>
      <c r="C37" s="18" t="s">
        <v>1142</v>
      </c>
      <c r="D37" s="91">
        <f>0</f>
        <v>0</v>
      </c>
      <c r="E37" s="91">
        <f>0</f>
        <v>0</v>
      </c>
      <c r="F37" s="32" t="s">
        <v>143</v>
      </c>
      <c r="G37" s="87">
        <f>'02_Assumptions'!$C$59</f>
        <v>1200000</v>
      </c>
      <c r="H37" s="89">
        <f t="shared" si="0"/>
        <v>0</v>
      </c>
      <c r="I37" s="89">
        <f t="shared" si="1"/>
        <v>0</v>
      </c>
      <c r="J37" s="89">
        <f>($H37+($I37-$H37)*('02_Assumptions'!$C$8-1)/3)</f>
        <v>0</v>
      </c>
      <c r="K37" s="18" t="s">
        <v>1192</v>
      </c>
    </row>
    <row r="38" spans="1:11">
      <c r="A38" s="18" t="s">
        <v>1193</v>
      </c>
      <c r="B38" s="18" t="s">
        <v>1194</v>
      </c>
      <c r="C38" s="18" t="s">
        <v>1195</v>
      </c>
      <c r="D38" s="91">
        <f>'06_Equipment_Tools'!$I$39</f>
        <v>2287100000</v>
      </c>
      <c r="E38" s="91">
        <f>'06_Equipment_Tools'!$J$39</f>
        <v>4365600000</v>
      </c>
      <c r="F38" s="32" t="s">
        <v>1139</v>
      </c>
      <c r="G38" s="87">
        <v>1</v>
      </c>
      <c r="H38" s="89">
        <f t="shared" si="0"/>
        <v>2287100000</v>
      </c>
      <c r="I38" s="89">
        <f t="shared" si="1"/>
        <v>4365600000</v>
      </c>
      <c r="J38" s="89">
        <f>($H38+($I38-$H38)*('02_Assumptions'!$C$8-1)/3)</f>
        <v>2287100000</v>
      </c>
      <c r="K38" s="18" t="s">
        <v>1196</v>
      </c>
    </row>
    <row r="39" spans="1:11">
      <c r="A39" s="18" t="s">
        <v>1197</v>
      </c>
      <c r="B39" s="18" t="s">
        <v>1198</v>
      </c>
      <c r="C39" s="18" t="s">
        <v>1199</v>
      </c>
      <c r="D39" s="91">
        <f>'14_Certification_ESG'!$C$15</f>
        <v>380000000</v>
      </c>
      <c r="E39" s="91">
        <f>'14_Certification_ESG'!$C$15+'02_Assumptions'!$C$176*3</f>
        <v>455000000</v>
      </c>
      <c r="F39" s="32" t="s">
        <v>1139</v>
      </c>
      <c r="G39" s="87">
        <v>1</v>
      </c>
      <c r="H39" s="89">
        <f t="shared" si="0"/>
        <v>380000000</v>
      </c>
      <c r="I39" s="89">
        <f t="shared" si="1"/>
        <v>455000000</v>
      </c>
      <c r="J39" s="89">
        <f>($H39+($I39-$H39)*('02_Assumptions'!$C$8-1)/3)</f>
        <v>380000000</v>
      </c>
      <c r="K39" s="18" t="s">
        <v>1200</v>
      </c>
    </row>
    <row r="40" spans="1:11">
      <c r="A40" s="18" t="s">
        <v>1201</v>
      </c>
      <c r="B40" s="18" t="s">
        <v>1202</v>
      </c>
      <c r="C40" s="18" t="s">
        <v>1203</v>
      </c>
      <c r="D40" s="91">
        <f>'09_OPEX_10Y'!$F$34</f>
        <v>1097100000</v>
      </c>
      <c r="E40" s="91">
        <f>'09_OPEX_10Y'!$G$34</f>
        <v>2001000000</v>
      </c>
      <c r="F40" s="32" t="s">
        <v>1139</v>
      </c>
      <c r="G40" s="87">
        <v>1</v>
      </c>
      <c r="H40" s="89">
        <f t="shared" si="0"/>
        <v>1097100000</v>
      </c>
      <c r="I40" s="89">
        <f t="shared" si="1"/>
        <v>2001000000</v>
      </c>
      <c r="J40" s="89">
        <f>($H40+($I40-$H40)*('02_Assumptions'!$C$8-1)/3)</f>
        <v>1097100000</v>
      </c>
      <c r="K40" s="18" t="s">
        <v>1204</v>
      </c>
    </row>
    <row r="41" spans="1:11">
      <c r="A41" s="267" t="s">
        <v>1205</v>
      </c>
      <c r="B41" s="267"/>
      <c r="C41" s="267"/>
      <c r="D41" s="267"/>
      <c r="E41" s="267"/>
      <c r="F41" s="267"/>
      <c r="G41" s="267"/>
      <c r="H41" s="92">
        <f>SUM(H5:H40)+'17_Model_Fleksibel'!$I$84</f>
        <v>13880136800</v>
      </c>
      <c r="I41" s="92">
        <f>SUM(I5:I40)+'17_Model_Fleksibel'!$J$84</f>
        <v>21704682882.720001</v>
      </c>
      <c r="J41" s="92">
        <f>(H41+(I41-H41)*('02_Assumptions'!$C$8-1)/3)</f>
        <v>13880136800</v>
      </c>
      <c r="K41" s="82"/>
    </row>
    <row r="42" spans="1:11">
      <c r="A42" s="268" t="s">
        <v>1206</v>
      </c>
      <c r="B42" s="268"/>
      <c r="C42" s="268"/>
      <c r="D42" s="268"/>
      <c r="E42" s="268"/>
      <c r="F42" s="268"/>
      <c r="G42" s="268"/>
      <c r="H42" s="93">
        <f>(H41-H5)*'02_Assumptions'!$C$14</f>
        <v>1388013680</v>
      </c>
      <c r="I42" s="93">
        <f>(I41-I5)*'02_Assumptions'!$C$14</f>
        <v>2170468288.2720003</v>
      </c>
      <c r="J42" s="93">
        <f>(H42+(I42-H42)*('02_Assumptions'!$C$8-1)/3)</f>
        <v>1388013680</v>
      </c>
      <c r="K42" s="90"/>
    </row>
    <row r="43" spans="1:11">
      <c r="A43" s="269" t="s">
        <v>1207</v>
      </c>
      <c r="B43" s="269"/>
      <c r="C43" s="269"/>
      <c r="D43" s="269"/>
      <c r="E43" s="269"/>
      <c r="F43" s="269"/>
      <c r="G43" s="269"/>
      <c r="H43" s="94">
        <f>H41+H42</f>
        <v>15268150480</v>
      </c>
      <c r="I43" s="94">
        <f>I41+I42</f>
        <v>23875151170.992001</v>
      </c>
      <c r="J43" s="94">
        <f>(H43+(I43-H43)*('02_Assumptions'!$C$8-1)/3)</f>
        <v>15268150480</v>
      </c>
      <c r="K43" s="83"/>
    </row>
  </sheetData>
  <mergeCells count="5">
    <mergeCell ref="A1:K1"/>
    <mergeCell ref="A2:K2"/>
    <mergeCell ref="A41:G41"/>
    <mergeCell ref="A42:G42"/>
    <mergeCell ref="A43:G4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9"/>
  <sheetViews>
    <sheetView showGridLines="0" workbookViewId="0"/>
  </sheetViews>
  <sheetFormatPr defaultRowHeight="13.5"/>
  <cols>
    <col min="1" max="1" width="39" customWidth="1"/>
    <col min="2" max="4" width="17" customWidth="1"/>
    <col min="5" max="5" width="13" customWidth="1"/>
    <col min="6" max="7" width="18" customWidth="1"/>
    <col min="8" max="8" width="12" customWidth="1"/>
    <col min="9" max="9" width="18" customWidth="1"/>
    <col min="10" max="10" width="20" customWidth="1"/>
    <col min="11" max="11" width="18" customWidth="1"/>
  </cols>
  <sheetData>
    <row r="1" spans="1:11" ht="28.05" customHeight="1">
      <c r="A1" s="206" t="s">
        <v>1208</v>
      </c>
      <c r="B1" s="206"/>
      <c r="C1" s="206"/>
      <c r="D1" s="206"/>
      <c r="E1" s="206"/>
      <c r="F1" s="206"/>
      <c r="G1" s="206"/>
      <c r="H1" s="206"/>
      <c r="I1" s="206"/>
      <c r="J1" s="206"/>
      <c r="K1" s="206"/>
    </row>
    <row r="2" spans="1:11" ht="38" customHeight="1">
      <c r="A2" s="207" t="s">
        <v>1209</v>
      </c>
      <c r="B2" s="207"/>
      <c r="C2" s="207"/>
      <c r="D2" s="207"/>
      <c r="E2" s="207"/>
      <c r="F2" s="207"/>
      <c r="G2" s="207"/>
      <c r="H2" s="207"/>
      <c r="I2" s="207"/>
      <c r="J2" s="207"/>
      <c r="K2" s="207"/>
    </row>
    <row r="3" spans="1:11">
      <c r="A3" s="16"/>
      <c r="B3" s="16"/>
      <c r="C3" s="16"/>
      <c r="D3" s="16"/>
      <c r="E3" s="16"/>
      <c r="F3" s="16"/>
      <c r="G3" s="16"/>
      <c r="H3" s="16"/>
      <c r="I3" s="16"/>
      <c r="J3" s="16"/>
      <c r="K3" s="16"/>
    </row>
    <row r="4" spans="1:11" ht="20" customHeight="1">
      <c r="A4" s="211" t="s">
        <v>1210</v>
      </c>
      <c r="B4" s="211"/>
      <c r="C4" s="211"/>
      <c r="D4" s="211"/>
      <c r="E4" s="211"/>
      <c r="F4" s="211"/>
      <c r="G4" s="211"/>
      <c r="H4" s="211"/>
      <c r="I4" s="211"/>
      <c r="J4" s="211"/>
      <c r="K4" s="211"/>
    </row>
    <row r="5" spans="1:11" ht="30" customHeight="1">
      <c r="A5" s="2" t="s">
        <v>1211</v>
      </c>
      <c r="B5" s="3" t="s">
        <v>440</v>
      </c>
      <c r="C5" s="3" t="s">
        <v>441</v>
      </c>
      <c r="D5" s="3" t="s">
        <v>442</v>
      </c>
      <c r="E5" s="3" t="s">
        <v>443</v>
      </c>
      <c r="F5" s="3" t="s">
        <v>444</v>
      </c>
      <c r="G5" s="3" t="s">
        <v>445</v>
      </c>
      <c r="H5" s="3" t="s">
        <v>446</v>
      </c>
      <c r="I5" s="3" t="s">
        <v>447</v>
      </c>
      <c r="J5" s="3" t="s">
        <v>448</v>
      </c>
      <c r="K5" s="4" t="s">
        <v>449</v>
      </c>
    </row>
    <row r="6" spans="1:11">
      <c r="A6" s="17" t="s">
        <v>1212</v>
      </c>
      <c r="B6" s="23">
        <f>($F$34+($G$34-$F$34)*('02_Assumptions'!$C$8-1)/3)*(1+'02_Assumptions'!$C$11)^0</f>
        <v>1097100000</v>
      </c>
      <c r="C6" s="23">
        <f>($F$34+($G$34-$F$34)*('02_Assumptions'!$C$8-1)/3)*(1+'02_Assumptions'!$C$11)^1</f>
        <v>1140984000</v>
      </c>
      <c r="D6" s="23">
        <f>($F$34+($G$34-$F$34)*('02_Assumptions'!$C$8-1)/3)*(1+'02_Assumptions'!$C$11)^2</f>
        <v>1186623360.0000002</v>
      </c>
      <c r="E6" s="23">
        <f>($F$34+($G$34-$F$34)*('02_Assumptions'!$C$8-1)/3)*(1+'02_Assumptions'!$C$11)^3</f>
        <v>1234088294.4000001</v>
      </c>
      <c r="F6" s="23">
        <f>($F$34+($G$34-$F$34)*('02_Assumptions'!$C$8-1)/3)*(1+'02_Assumptions'!$C$11)^4</f>
        <v>1283451826.1760001</v>
      </c>
      <c r="G6" s="23">
        <f>($F$34+($G$34-$F$34)*('02_Assumptions'!$C$8-1)/3)*(1+'02_Assumptions'!$C$11)^5</f>
        <v>1334789899.2230403</v>
      </c>
      <c r="H6" s="23">
        <f>($F$34+($G$34-$F$34)*('02_Assumptions'!$C$8-1)/3)*(1+'02_Assumptions'!$C$11)^6</f>
        <v>1388181495.191962</v>
      </c>
      <c r="I6" s="23">
        <f>($F$34+($G$34-$F$34)*('02_Assumptions'!$C$8-1)/3)*(1+'02_Assumptions'!$C$11)^7</f>
        <v>1443708754.9996405</v>
      </c>
      <c r="J6" s="23">
        <f>($F$34+($G$34-$F$34)*('02_Assumptions'!$C$8-1)/3)*(1+'02_Assumptions'!$C$11)^8</f>
        <v>1501457105.1996262</v>
      </c>
      <c r="K6" s="23">
        <f>($F$34+($G$34-$F$34)*('02_Assumptions'!$C$8-1)/3)*(1+'02_Assumptions'!$C$11)^9</f>
        <v>1561515389.4076114</v>
      </c>
    </row>
    <row r="7" spans="1:11">
      <c r="A7" s="17" t="s">
        <v>1213</v>
      </c>
      <c r="B7" s="23">
        <f>('05_Workplan_Labor'!$B$41+'17_Model_Fleksibel'!$N$68)*'02_Assumptions'!$C$60*(1+'02_Assumptions'!$C$11)^0*(1+'02_Assumptions'!$C$177*('02_Assumptions'!$C$8-1))</f>
        <v>1165296000</v>
      </c>
      <c r="C7" s="23">
        <f>('05_Workplan_Labor'!$C$41+'17_Model_Fleksibel'!$O$68)*'02_Assumptions'!$C$60*(1+'02_Assumptions'!$C$11)^1*(1+'02_Assumptions'!$C$177*('02_Assumptions'!$C$8-1))</f>
        <v>1176764160</v>
      </c>
      <c r="D7" s="23">
        <f>('05_Workplan_Labor'!$D$41+'17_Model_Fleksibel'!$P$68)*'02_Assumptions'!$C$60*(1+'02_Assumptions'!$C$11)^2*(1+'02_Assumptions'!$C$177*('02_Assumptions'!$C$8-1))</f>
        <v>1055364710.4000001</v>
      </c>
      <c r="E7" s="23">
        <f>('05_Workplan_Labor'!$E$41+'17_Model_Fleksibel'!$Q$68)*'02_Assumptions'!$C$60*(1+'02_Assumptions'!$C$11)^3*(1+'02_Assumptions'!$C$177*('02_Assumptions'!$C$8-1))</f>
        <v>919400841.21599996</v>
      </c>
      <c r="F7" s="23">
        <f>('05_Workplan_Labor'!$F$41+'17_Model_Fleksibel'!$R$68)*'02_Assumptions'!$C$60*(1+'02_Assumptions'!$C$11)^4*(1+'02_Assumptions'!$C$177*('02_Assumptions'!$C$8-1))</f>
        <v>899349825.4540801</v>
      </c>
      <c r="G7" s="23">
        <f>('05_Workplan_Labor'!$G$41+'17_Model_Fleksibel'!$S$68)*'02_Assumptions'!$C$60*(1+'02_Assumptions'!$C$11)^5*(1+'02_Assumptions'!$C$177*('02_Assumptions'!$C$8-1))</f>
        <v>899349825.45408022</v>
      </c>
      <c r="H7" s="23">
        <f>('05_Workplan_Labor'!$H$41+'17_Model_Fleksibel'!$T$68)*'02_Assumptions'!$C$60*(1+'02_Assumptions'!$C$11)^6*(1+'02_Assumptions'!$C$177*('02_Assumptions'!$C$8-1))</f>
        <v>923298226.52045739</v>
      </c>
      <c r="I7" s="23">
        <f>('05_Workplan_Labor'!$I$41+'17_Model_Fleksibel'!$U$68)*'02_Assumptions'!$C$60*(1+'02_Assumptions'!$C$11)^7*(1+'02_Assumptions'!$C$177*('02_Assumptions'!$C$8-1))</f>
        <v>960230155.58127558</v>
      </c>
      <c r="J7" s="23">
        <f>('05_Workplan_Labor'!$J$41+'17_Model_Fleksibel'!$V$68)*'02_Assumptions'!$C$60*(1+'02_Assumptions'!$C$11)^8*(1+'02_Assumptions'!$C$177*('02_Assumptions'!$C$8-1))</f>
        <v>998639361.80452669</v>
      </c>
      <c r="K7" s="23">
        <f>('05_Workplan_Labor'!$K$41+'17_Model_Fleksibel'!$W$68)*'02_Assumptions'!$C$60*(1+'02_Assumptions'!$C$11)^9*(1+'02_Assumptions'!$C$177*('02_Assumptions'!$C$8-1))</f>
        <v>1038584936.2767079</v>
      </c>
    </row>
    <row r="8" spans="1:11">
      <c r="A8" s="17" t="s">
        <v>1214</v>
      </c>
      <c r="B8" s="23">
        <f>'07_Agri_Inputs'!$B$34</f>
        <v>904962520</v>
      </c>
      <c r="C8" s="23">
        <f>'07_Agri_Inputs'!$C$34</f>
        <v>987039173.12</v>
      </c>
      <c r="D8" s="23">
        <f>'07_Agri_Inputs'!$D$34</f>
        <v>690801068.67200017</v>
      </c>
      <c r="E8" s="23">
        <f>'07_Agri_Inputs'!$E$34</f>
        <v>666548534.44607997</v>
      </c>
      <c r="F8" s="23">
        <f>'07_Agri_Inputs'!$F$34</f>
        <v>631770089.18200326</v>
      </c>
      <c r="G8" s="23">
        <f>'07_Agri_Inputs'!$G$34</f>
        <v>711606802.09960151</v>
      </c>
      <c r="H8" s="23">
        <f>'07_Agri_Inputs'!$H$34</f>
        <v>705245572.30561841</v>
      </c>
      <c r="I8" s="23">
        <f>'07_Agri_Inputs'!$I$34</f>
        <v>820306892.6274085</v>
      </c>
      <c r="J8" s="23">
        <f>'07_Agri_Inputs'!$J$34</f>
        <v>762793611.00575686</v>
      </c>
      <c r="K8" s="23">
        <f>'07_Agri_Inputs'!$K$34</f>
        <v>887243935.06580532</v>
      </c>
    </row>
    <row r="9" spans="1:11">
      <c r="A9" s="17" t="s">
        <v>1215</v>
      </c>
      <c r="B9" s="23">
        <f>IF('02_Assumptions'!$C$8=4,'06_Equipment_Tools'!$J$39,'06_Equipment_Tools'!$I$39)*'02_Assumptions'!$C$113*(1+'02_Assumptions'!$C$11)^0</f>
        <v>114355000</v>
      </c>
      <c r="C9" s="23">
        <f>IF('02_Assumptions'!$C$8=4,'06_Equipment_Tools'!$J$39,'06_Equipment_Tools'!$I$39)*'02_Assumptions'!$C$113*(1+'02_Assumptions'!$C$11)^1</f>
        <v>118929200</v>
      </c>
      <c r="D9" s="23">
        <f>IF('02_Assumptions'!$C$8=4,'06_Equipment_Tools'!$J$39,'06_Equipment_Tools'!$I$39)*'02_Assumptions'!$C$113*(1+'02_Assumptions'!$C$11)^2</f>
        <v>123686368.00000001</v>
      </c>
      <c r="E9" s="23">
        <f>IF('02_Assumptions'!$C$8=4,'06_Equipment_Tools'!$J$39,'06_Equipment_Tools'!$I$39)*'02_Assumptions'!$C$113*(1+'02_Assumptions'!$C$11)^3</f>
        <v>128633822.72000001</v>
      </c>
      <c r="F9" s="23">
        <f>IF('02_Assumptions'!$C$8=4,'06_Equipment_Tools'!$J$39,'06_Equipment_Tools'!$I$39)*'02_Assumptions'!$C$113*(1+'02_Assumptions'!$C$11)^4</f>
        <v>133779175.62880002</v>
      </c>
      <c r="G9" s="23">
        <f>IF('02_Assumptions'!$C$8=4,'06_Equipment_Tools'!$J$39,'06_Equipment_Tools'!$I$39)*'02_Assumptions'!$C$113*(1+'02_Assumptions'!$C$11)^5</f>
        <v>139130342.65395203</v>
      </c>
      <c r="H9" s="23">
        <f>IF('02_Assumptions'!$C$8=4,'06_Equipment_Tools'!$J$39,'06_Equipment_Tools'!$I$39)*'02_Assumptions'!$C$113*(1+'02_Assumptions'!$C$11)^6</f>
        <v>144695556.36011013</v>
      </c>
      <c r="I9" s="23">
        <f>IF('02_Assumptions'!$C$8=4,'06_Equipment_Tools'!$J$39,'06_Equipment_Tools'!$I$39)*'02_Assumptions'!$C$113*(1+'02_Assumptions'!$C$11)^7</f>
        <v>150483378.6145145</v>
      </c>
      <c r="J9" s="23">
        <f>IF('02_Assumptions'!$C$8=4,'06_Equipment_Tools'!$J$39,'06_Equipment_Tools'!$I$39)*'02_Assumptions'!$C$113*(1+'02_Assumptions'!$C$11)^8</f>
        <v>156502713.75909513</v>
      </c>
      <c r="K9" s="23">
        <f>IF('02_Assumptions'!$C$8=4,'06_Equipment_Tools'!$J$39,'06_Equipment_Tools'!$I$39)*'02_Assumptions'!$C$113*(1+'02_Assumptions'!$C$11)^9</f>
        <v>162762822.30945894</v>
      </c>
    </row>
    <row r="10" spans="1:11">
      <c r="A10" s="17" t="s">
        <v>1216</v>
      </c>
      <c r="B10" s="23">
        <f>'02_Assumptions'!$C$179*(1+'02_Assumptions'!$C$11)^0*(1+'02_Assumptions'!$C$178*('02_Assumptions'!$C$8-1))</f>
        <v>250000000</v>
      </c>
      <c r="C10" s="23">
        <f>'02_Assumptions'!$C$179*(1+'02_Assumptions'!$C$11)^1*(1+'02_Assumptions'!$C$178*('02_Assumptions'!$C$8-1))</f>
        <v>260000000</v>
      </c>
      <c r="D10" s="23">
        <f>'02_Assumptions'!$C$179*(1+'02_Assumptions'!$C$11)^2*(1+'02_Assumptions'!$C$178*('02_Assumptions'!$C$8-1))</f>
        <v>270400000</v>
      </c>
      <c r="E10" s="23">
        <f>'02_Assumptions'!$C$179*(1+'02_Assumptions'!$C$11)^3*(1+'02_Assumptions'!$C$178*('02_Assumptions'!$C$8-1))</f>
        <v>281216000</v>
      </c>
      <c r="F10" s="23">
        <f>'02_Assumptions'!$C$179*(1+'02_Assumptions'!$C$11)^4*(1+'02_Assumptions'!$C$178*('02_Assumptions'!$C$8-1))</f>
        <v>292464640.00000006</v>
      </c>
      <c r="G10" s="23">
        <f>'02_Assumptions'!$C$179*(1+'02_Assumptions'!$C$11)^5*(1+'02_Assumptions'!$C$178*('02_Assumptions'!$C$8-1))</f>
        <v>304163225.60000008</v>
      </c>
      <c r="H10" s="23">
        <f>'02_Assumptions'!$C$179*(1+'02_Assumptions'!$C$11)^6*(1+'02_Assumptions'!$C$178*('02_Assumptions'!$C$8-1))</f>
        <v>316329754.62400007</v>
      </c>
      <c r="I10" s="23">
        <f>'02_Assumptions'!$C$179*(1+'02_Assumptions'!$C$11)^7*(1+'02_Assumptions'!$C$178*('02_Assumptions'!$C$8-1))</f>
        <v>328982944.80896008</v>
      </c>
      <c r="J10" s="23">
        <f>'02_Assumptions'!$C$179*(1+'02_Assumptions'!$C$11)^8*(1+'02_Assumptions'!$C$178*('02_Assumptions'!$C$8-1))</f>
        <v>342142262.60131854</v>
      </c>
      <c r="K10" s="23">
        <f>'02_Assumptions'!$C$179*(1+'02_Assumptions'!$C$11)^9*(1+'02_Assumptions'!$C$178*('02_Assumptions'!$C$8-1))</f>
        <v>355827953.1053713</v>
      </c>
    </row>
    <row r="11" spans="1:11">
      <c r="A11" s="17" t="s">
        <v>1217</v>
      </c>
      <c r="B11" s="23">
        <f>SUM('08_CAPEX_RAB'!$J$23:$J$26)*'02_Assumptions'!$C$114*(1+'02_Assumptions'!$C$11)^0</f>
        <v>54400000</v>
      </c>
      <c r="C11" s="23">
        <f>SUM('08_CAPEX_RAB'!$J$23:$J$26)*'02_Assumptions'!$C$114*(1+'02_Assumptions'!$C$11)^1</f>
        <v>56576000</v>
      </c>
      <c r="D11" s="23">
        <f>SUM('08_CAPEX_RAB'!$J$23:$J$26)*'02_Assumptions'!$C$114*(1+'02_Assumptions'!$C$11)^2</f>
        <v>58839040.000000007</v>
      </c>
      <c r="E11" s="23">
        <f>SUM('08_CAPEX_RAB'!$J$23:$J$26)*'02_Assumptions'!$C$114*(1+'02_Assumptions'!$C$11)^3</f>
        <v>61192601.600000001</v>
      </c>
      <c r="F11" s="23">
        <f>SUM('08_CAPEX_RAB'!$J$23:$J$26)*'02_Assumptions'!$C$114*(1+'02_Assumptions'!$C$11)^4</f>
        <v>63640305.664000012</v>
      </c>
      <c r="G11" s="23">
        <f>SUM('08_CAPEX_RAB'!$J$23:$J$26)*'02_Assumptions'!$C$114*(1+'02_Assumptions'!$C$11)^5</f>
        <v>66185917.890560016</v>
      </c>
      <c r="H11" s="23">
        <f>SUM('08_CAPEX_RAB'!$J$23:$J$26)*'02_Assumptions'!$C$114*(1+'02_Assumptions'!$C$11)^6</f>
        <v>68833354.606182426</v>
      </c>
      <c r="I11" s="23">
        <f>SUM('08_CAPEX_RAB'!$J$23:$J$26)*'02_Assumptions'!$C$114*(1+'02_Assumptions'!$C$11)^7</f>
        <v>71586688.790429711</v>
      </c>
      <c r="J11" s="23">
        <f>SUM('08_CAPEX_RAB'!$J$23:$J$26)*'02_Assumptions'!$C$114*(1+'02_Assumptions'!$C$11)^8</f>
        <v>74450156.342046916</v>
      </c>
      <c r="K11" s="23">
        <f>SUM('08_CAPEX_RAB'!$J$23:$J$26)*'02_Assumptions'!$C$114*(1+'02_Assumptions'!$C$11)^9</f>
        <v>77428162.5957288</v>
      </c>
    </row>
    <row r="12" spans="1:11">
      <c r="A12" s="17" t="s">
        <v>1218</v>
      </c>
      <c r="B12" s="23">
        <f>'04_Planting_Design'!$G$19*IF(1&lt;=3,'02_Assumptions'!$C$181,'02_Assumptions'!$C$182)*(1+'02_Assumptions'!$C$11)^0</f>
        <v>64553280.000000015</v>
      </c>
      <c r="C12" s="23">
        <f>'04_Planting_Design'!$G$19*IF(2&lt;=3,'02_Assumptions'!$C$181,'02_Assumptions'!$C$182)*(1+'02_Assumptions'!$C$11)^1</f>
        <v>67135411.200000018</v>
      </c>
      <c r="D12" s="23">
        <f>'04_Planting_Design'!$G$19*IF(3&lt;=3,'02_Assumptions'!$C$181,'02_Assumptions'!$C$182)*(1+'02_Assumptions'!$C$11)^2</f>
        <v>69820827.648000017</v>
      </c>
      <c r="E12" s="23">
        <f>'04_Planting_Design'!$G$19*IF(4&lt;=3,'02_Assumptions'!$C$181,'02_Assumptions'!$C$182)*(1+'02_Assumptions'!$C$11)^3</f>
        <v>24204553.584640007</v>
      </c>
      <c r="F12" s="23">
        <f>'04_Planting_Design'!$G$19*IF(5&lt;=3,'02_Assumptions'!$C$181,'02_Assumptions'!$C$182)*(1+'02_Assumptions'!$C$11)^4</f>
        <v>25172735.728025608</v>
      </c>
      <c r="G12" s="23">
        <f>'04_Planting_Design'!$G$19*IF(6&lt;=3,'02_Assumptions'!$C$181,'02_Assumptions'!$C$182)*(1+'02_Assumptions'!$C$11)^5</f>
        <v>26179645.157146636</v>
      </c>
      <c r="H12" s="23">
        <f>'04_Planting_Design'!$G$19*IF(7&lt;=3,'02_Assumptions'!$C$181,'02_Assumptions'!$C$182)*(1+'02_Assumptions'!$C$11)^6</f>
        <v>27226830.963432502</v>
      </c>
      <c r="I12" s="23">
        <f>'04_Planting_Design'!$G$19*IF(8&lt;=3,'02_Assumptions'!$C$181,'02_Assumptions'!$C$182)*(1+'02_Assumptions'!$C$11)^7</f>
        <v>28315904.201969799</v>
      </c>
      <c r="J12" s="23">
        <f>'04_Planting_Design'!$G$19*IF(9&lt;=3,'02_Assumptions'!$C$181,'02_Assumptions'!$C$182)*(1+'02_Assumptions'!$C$11)^8</f>
        <v>29448540.370048597</v>
      </c>
      <c r="K12" s="23">
        <f>'04_Planting_Design'!$G$19*IF(10&lt;=3,'02_Assumptions'!$C$181,'02_Assumptions'!$C$182)*(1+'02_Assumptions'!$C$11)^9</f>
        <v>30626481.984850541</v>
      </c>
    </row>
    <row r="13" spans="1:11">
      <c r="A13" s="17" t="s">
        <v>1219</v>
      </c>
      <c r="B13" s="23">
        <f>'14_Certification_ESG'!$D$15+'02_Assumptions'!$C$6*'02_Assumptions'!$C$118*(1+'02_Assumptions'!$C$11)^0</f>
        <v>145000000</v>
      </c>
      <c r="C13" s="23">
        <f>'14_Certification_ESG'!$E$15+'02_Assumptions'!$C$6*'02_Assumptions'!$C$118*(1+'02_Assumptions'!$C$11)^1</f>
        <v>150800000</v>
      </c>
      <c r="D13" s="23">
        <f>'14_Certification_ESG'!$F$15+'02_Assumptions'!$C$6*'02_Assumptions'!$C$118*(1+'02_Assumptions'!$C$11)^2</f>
        <v>156832000.00000003</v>
      </c>
      <c r="E13" s="23">
        <f>'14_Certification_ESG'!$G$15+'02_Assumptions'!$C$6*'02_Assumptions'!$C$118*(1+'02_Assumptions'!$C$11)^3</f>
        <v>163105280</v>
      </c>
      <c r="F13" s="23">
        <f>'14_Certification_ESG'!$H$15+'02_Assumptions'!$C$6*'02_Assumptions'!$C$118*(1+'02_Assumptions'!$C$11)^4</f>
        <v>198875955.20000002</v>
      </c>
      <c r="G13" s="23">
        <f>'14_Certification_ESG'!$I$15+'02_Assumptions'!$C$6*'02_Assumptions'!$C$118*(1+'02_Assumptions'!$C$11)^5</f>
        <v>243330580.48000008</v>
      </c>
      <c r="H13" s="23">
        <f>'14_Certification_ESG'!$J$15+'02_Assumptions'!$C$6*'02_Assumptions'!$C$118*(1+'02_Assumptions'!$C$11)^6</f>
        <v>227757423.32928008</v>
      </c>
      <c r="I13" s="23">
        <f>'14_Certification_ESG'!$K$15+'02_Assumptions'!$C$6*'02_Assumptions'!$C$118*(1+'02_Assumptions'!$C$11)^7</f>
        <v>236867720.26245123</v>
      </c>
      <c r="J13" s="23">
        <f>'14_Certification_ESG'!$L$15+'02_Assumptions'!$C$6*'02_Assumptions'!$C$118*(1+'02_Assumptions'!$C$11)^8</f>
        <v>246342429.07294935</v>
      </c>
      <c r="K13" s="23">
        <f>'14_Certification_ESG'!$M$15+'02_Assumptions'!$C$6*'02_Assumptions'!$C$118*(1+'02_Assumptions'!$C$11)^9</f>
        <v>256196126.23586735</v>
      </c>
    </row>
    <row r="14" spans="1:11">
      <c r="A14" s="17" t="s">
        <v>1220</v>
      </c>
      <c r="B14" s="23">
        <f>('02_Assumptions'!$C$180*(1+'02_Assumptions'!$C$11)^0*(1+'02_Assumptions'!$C$178*('02_Assumptions'!$C$8-1)))+'17_Model_Fleksibel'!$H$100</f>
        <v>120000000</v>
      </c>
      <c r="C14" s="23">
        <f>('02_Assumptions'!$C$180*(1+'02_Assumptions'!$C$11)^1*(1+'02_Assumptions'!$C$178*('02_Assumptions'!$C$8-1)))+'17_Model_Fleksibel'!$I$100</f>
        <v>124800000</v>
      </c>
      <c r="D14" s="23">
        <f>('02_Assumptions'!$C$180*(1+'02_Assumptions'!$C$11)^2*(1+'02_Assumptions'!$C$178*('02_Assumptions'!$C$8-1)))+'17_Model_Fleksibel'!$J$100</f>
        <v>129792000.00000001</v>
      </c>
      <c r="E14" s="23">
        <f>('02_Assumptions'!$C$180*(1+'02_Assumptions'!$C$11)^3*(1+'02_Assumptions'!$C$178*('02_Assumptions'!$C$8-1)))+'17_Model_Fleksibel'!$K$100</f>
        <v>134983680</v>
      </c>
      <c r="F14" s="23">
        <f>('02_Assumptions'!$C$180*(1+'02_Assumptions'!$C$11)^4*(1+'02_Assumptions'!$C$178*('02_Assumptions'!$C$8-1)))+'17_Model_Fleksibel'!$L$100</f>
        <v>140383027.20000002</v>
      </c>
      <c r="G14" s="23">
        <f>('02_Assumptions'!$C$180*(1+'02_Assumptions'!$C$11)^5*(1+'02_Assumptions'!$C$178*('02_Assumptions'!$C$8-1)))+'17_Model_Fleksibel'!$M$100</f>
        <v>145998348.28800005</v>
      </c>
      <c r="H14" s="23">
        <f>('02_Assumptions'!$C$180*(1+'02_Assumptions'!$C$11)^6*(1+'02_Assumptions'!$C$178*('02_Assumptions'!$C$8-1)))+'17_Model_Fleksibel'!$N$100</f>
        <v>151838282.21952003</v>
      </c>
      <c r="I14" s="23">
        <f>('02_Assumptions'!$C$180*(1+'02_Assumptions'!$C$11)^7*(1+'02_Assumptions'!$C$178*('02_Assumptions'!$C$8-1)))+'17_Model_Fleksibel'!$O$100</f>
        <v>157911813.50830084</v>
      </c>
      <c r="J14" s="23">
        <f>('02_Assumptions'!$C$180*(1+'02_Assumptions'!$C$11)^8*(1+'02_Assumptions'!$C$178*('02_Assumptions'!$C$8-1)))+'17_Model_Fleksibel'!$P$100</f>
        <v>164228286.04863289</v>
      </c>
      <c r="K14" s="23">
        <f>('02_Assumptions'!$C$180*(1+'02_Assumptions'!$C$11)^9*(1+'02_Assumptions'!$C$178*('02_Assumptions'!$C$8-1)))+'17_Model_Fleksibel'!$Q$100</f>
        <v>170797417.49057823</v>
      </c>
    </row>
    <row r="15" spans="1:11">
      <c r="A15" s="17" t="s">
        <v>1221</v>
      </c>
      <c r="B15" s="23">
        <f>'10_Production_Revenue'!$B$25</f>
        <v>738575200</v>
      </c>
      <c r="C15" s="23">
        <f>'10_Production_Revenue'!$C$25</f>
        <v>670878208</v>
      </c>
      <c r="D15" s="23">
        <f>'10_Production_Revenue'!$D$25</f>
        <v>467474550.4000001</v>
      </c>
      <c r="E15" s="23">
        <f>'10_Production_Revenue'!$E$25</f>
        <v>387669551.89247996</v>
      </c>
      <c r="F15" s="23">
        <f>'10_Production_Revenue'!$F$25</f>
        <v>399518864.76902401</v>
      </c>
      <c r="G15" s="23">
        <f>'10_Production_Revenue'!$G$25</f>
        <v>486482410.31557953</v>
      </c>
      <c r="H15" s="23">
        <f>'10_Production_Revenue'!$H$25</f>
        <v>630276306.18304324</v>
      </c>
      <c r="I15" s="23">
        <f>'10_Production_Revenue'!$I$25</f>
        <v>776306476.50463355</v>
      </c>
      <c r="J15" s="23">
        <f>'10_Production_Revenue'!$J$25</f>
        <v>890277597.19077373</v>
      </c>
      <c r="K15" s="23">
        <f>'10_Production_Revenue'!$K$25</f>
        <v>990565413.14664936</v>
      </c>
    </row>
    <row r="16" spans="1:11">
      <c r="A16" s="17" t="s">
        <v>178</v>
      </c>
      <c r="B16" s="23">
        <f>SUM(B6:B15)*'02_Assumptions'!$C$15</f>
        <v>232712100</v>
      </c>
      <c r="C16" s="23">
        <f>SUM(C6:C15)*'02_Assumptions'!$C$15</f>
        <v>237695307.616</v>
      </c>
      <c r="D16" s="23">
        <f>SUM(D6:D15)*'02_Assumptions'!$C$15</f>
        <v>210481696.25600004</v>
      </c>
      <c r="E16" s="23">
        <f>SUM(E6:E15)*'02_Assumptions'!$C$15</f>
        <v>200052157.99296001</v>
      </c>
      <c r="F16" s="23">
        <f>SUM(F6:F15)*'02_Assumptions'!$C$15</f>
        <v>203420322.25009662</v>
      </c>
      <c r="G16" s="23">
        <f>SUM(G6:G15)*'02_Assumptions'!$C$15</f>
        <v>217860849.85809803</v>
      </c>
      <c r="H16" s="23">
        <f>SUM(H6:H15)*'02_Assumptions'!$C$15</f>
        <v>229184140.11518031</v>
      </c>
      <c r="I16" s="23">
        <f>SUM(I6:I15)*'02_Assumptions'!$C$15</f>
        <v>248735036.4949792</v>
      </c>
      <c r="J16" s="23">
        <f>SUM(J6:J15)*'02_Assumptions'!$C$15</f>
        <v>258314103.16973874</v>
      </c>
      <c r="K16" s="23">
        <f>SUM(K6:K15)*'02_Assumptions'!$C$15</f>
        <v>276577431.8809315</v>
      </c>
    </row>
    <row r="17" spans="1:11">
      <c r="A17" s="73" t="s">
        <v>1222</v>
      </c>
      <c r="B17" s="73">
        <f t="shared" ref="B17:K17" si="0">SUM(B6:B16)</f>
        <v>4886954100</v>
      </c>
      <c r="C17" s="73">
        <f t="shared" si="0"/>
        <v>4991601459.9359999</v>
      </c>
      <c r="D17" s="73">
        <f t="shared" si="0"/>
        <v>4420115621.3760014</v>
      </c>
      <c r="E17" s="73">
        <f t="shared" si="0"/>
        <v>4201095317.85216</v>
      </c>
      <c r="F17" s="73">
        <f t="shared" si="0"/>
        <v>4271826767.2520289</v>
      </c>
      <c r="G17" s="73">
        <f t="shared" si="0"/>
        <v>4575077847.0200586</v>
      </c>
      <c r="H17" s="73">
        <f t="shared" si="0"/>
        <v>4812866942.418786</v>
      </c>
      <c r="I17" s="73">
        <f t="shared" si="0"/>
        <v>5223435766.3945627</v>
      </c>
      <c r="J17" s="73">
        <f t="shared" si="0"/>
        <v>5424596166.5645132</v>
      </c>
      <c r="K17" s="73">
        <f t="shared" si="0"/>
        <v>5808126069.4995613</v>
      </c>
    </row>
    <row r="18" spans="1:11">
      <c r="A18" s="17"/>
      <c r="B18" s="17"/>
      <c r="C18" s="17"/>
      <c r="D18" s="17"/>
      <c r="E18" s="17"/>
      <c r="F18" s="17"/>
      <c r="G18" s="17"/>
      <c r="H18" s="17"/>
      <c r="I18" s="17"/>
      <c r="J18" s="17"/>
      <c r="K18" s="17"/>
    </row>
    <row r="19" spans="1:11">
      <c r="A19" s="17"/>
      <c r="B19" s="17"/>
      <c r="C19" s="17"/>
      <c r="D19" s="17"/>
      <c r="E19" s="17"/>
      <c r="F19" s="17"/>
      <c r="G19" s="17"/>
      <c r="H19" s="17"/>
      <c r="I19" s="17"/>
      <c r="J19" s="17"/>
      <c r="K19" s="17"/>
    </row>
    <row r="20" spans="1:11">
      <c r="A20" s="17"/>
      <c r="B20" s="17"/>
      <c r="C20" s="17"/>
      <c r="D20" s="17"/>
      <c r="E20" s="17"/>
      <c r="F20" s="17"/>
      <c r="G20" s="17"/>
      <c r="H20" s="17"/>
      <c r="I20" s="17"/>
      <c r="J20" s="17"/>
      <c r="K20" s="17"/>
    </row>
    <row r="21" spans="1:11">
      <c r="A21" s="17"/>
      <c r="B21" s="17"/>
      <c r="C21" s="17"/>
      <c r="D21" s="17"/>
      <c r="E21" s="17"/>
      <c r="F21" s="17"/>
      <c r="G21" s="17"/>
      <c r="H21" s="17"/>
      <c r="I21" s="17"/>
      <c r="J21" s="17"/>
      <c r="K21" s="17"/>
    </row>
    <row r="22" spans="1:11">
      <c r="A22" s="17"/>
      <c r="B22" s="17"/>
      <c r="C22" s="17"/>
      <c r="D22" s="17"/>
      <c r="E22" s="17"/>
      <c r="F22" s="17"/>
      <c r="G22" s="17"/>
      <c r="H22" s="17"/>
      <c r="I22" s="17"/>
      <c r="J22" s="17"/>
      <c r="K22" s="17"/>
    </row>
    <row r="23" spans="1:11">
      <c r="A23" s="17"/>
      <c r="B23" s="17"/>
      <c r="C23" s="17"/>
      <c r="D23" s="17"/>
      <c r="E23" s="17"/>
      <c r="F23" s="17"/>
      <c r="G23" s="17"/>
      <c r="H23" s="17"/>
      <c r="I23" s="17"/>
      <c r="J23" s="17"/>
      <c r="K23" s="17"/>
    </row>
    <row r="24" spans="1:11" ht="20" customHeight="1">
      <c r="A24" s="211" t="s">
        <v>1223</v>
      </c>
      <c r="B24" s="211"/>
      <c r="C24" s="211"/>
      <c r="D24" s="211"/>
      <c r="E24" s="211"/>
      <c r="F24" s="211"/>
      <c r="G24" s="211"/>
      <c r="H24" s="17"/>
      <c r="I24" s="17"/>
      <c r="J24" s="17"/>
      <c r="K24" s="17"/>
    </row>
    <row r="25" spans="1:11" ht="30" customHeight="1">
      <c r="A25" s="2" t="s">
        <v>1224</v>
      </c>
      <c r="B25" s="3" t="s">
        <v>758</v>
      </c>
      <c r="C25" s="3" t="s">
        <v>759</v>
      </c>
      <c r="D25" s="3" t="s">
        <v>1225</v>
      </c>
      <c r="E25" s="3" t="s">
        <v>1226</v>
      </c>
      <c r="F25" s="3" t="s">
        <v>1227</v>
      </c>
      <c r="G25" s="4" t="s">
        <v>1228</v>
      </c>
      <c r="H25" s="17" t="s">
        <v>473</v>
      </c>
      <c r="I25" s="17" t="s">
        <v>857</v>
      </c>
      <c r="J25" s="17" t="s">
        <v>858</v>
      </c>
      <c r="K25" s="17" t="s">
        <v>859</v>
      </c>
    </row>
    <row r="26" spans="1:11">
      <c r="A26" s="17" t="s">
        <v>1229</v>
      </c>
      <c r="B26" s="96">
        <f>IF($H26=0,0,ROUNDUP(MAX($I26*'02_Assumptions'!$C$6/100,$K26),0))</f>
        <v>1</v>
      </c>
      <c r="C26" s="96">
        <f>IF($H26=0,0,ROUNDUP(MAX($I26*'02_Assumptions'!$C$6/100*(1+$J26*3),$K26*4),0))</f>
        <v>1</v>
      </c>
      <c r="D26" s="67">
        <v>15000000</v>
      </c>
      <c r="E26" s="67">
        <f>'02_Assumptions'!$C$63</f>
        <v>0.15</v>
      </c>
      <c r="F26" s="97">
        <f t="shared" ref="F26:F33" si="1">$B26*$D26*12*(1+$E26)</f>
        <v>206999999.99999997</v>
      </c>
      <c r="G26" s="97">
        <f t="shared" ref="G26:G33" si="2">$C26*$D26*12*(1+$E26)</f>
        <v>206999999.99999997</v>
      </c>
      <c r="H26" s="67">
        <v>1</v>
      </c>
      <c r="I26" s="67">
        <v>1</v>
      </c>
      <c r="J26" s="68">
        <v>0</v>
      </c>
      <c r="K26" s="67">
        <v>0</v>
      </c>
    </row>
    <row r="27" spans="1:11">
      <c r="A27" s="17" t="s">
        <v>1230</v>
      </c>
      <c r="B27" s="96">
        <f>IF($H27=0,0,ROUNDUP(MAX($I27*'02_Assumptions'!$C$6/100,$K27),0))</f>
        <v>1</v>
      </c>
      <c r="C27" s="96">
        <f>IF($H27=0,0,ROUNDUP(MAX($I27*'02_Assumptions'!$C$6/100*(1+$J27*3),$K27*4),0))</f>
        <v>1</v>
      </c>
      <c r="D27" s="67">
        <v>12000000</v>
      </c>
      <c r="E27" s="67">
        <f>'02_Assumptions'!$C$63</f>
        <v>0.15</v>
      </c>
      <c r="F27" s="97">
        <f t="shared" si="1"/>
        <v>165600000</v>
      </c>
      <c r="G27" s="97">
        <f t="shared" si="2"/>
        <v>165600000</v>
      </c>
      <c r="H27" s="67">
        <v>1</v>
      </c>
      <c r="I27" s="67">
        <v>1</v>
      </c>
      <c r="J27" s="68">
        <v>0</v>
      </c>
      <c r="K27" s="67">
        <v>0</v>
      </c>
    </row>
    <row r="28" spans="1:11">
      <c r="A28" s="17" t="s">
        <v>1231</v>
      </c>
      <c r="B28" s="96">
        <f>IF($H28=0,0,ROUNDUP(MAX($I28*'02_Assumptions'!$C$6/100,$K28),0))</f>
        <v>1</v>
      </c>
      <c r="C28" s="96">
        <f>IF($H28=0,0,ROUNDUP(MAX($I28*'02_Assumptions'!$C$6/100*(1+$J28*3),$K28*4),0))</f>
        <v>1</v>
      </c>
      <c r="D28" s="67">
        <v>6000000</v>
      </c>
      <c r="E28" s="67">
        <f>'02_Assumptions'!$C$63</f>
        <v>0.15</v>
      </c>
      <c r="F28" s="97">
        <f t="shared" si="1"/>
        <v>82800000</v>
      </c>
      <c r="G28" s="97">
        <f t="shared" si="2"/>
        <v>82800000</v>
      </c>
      <c r="H28" s="67">
        <v>1</v>
      </c>
      <c r="I28" s="67">
        <v>1</v>
      </c>
      <c r="J28" s="68">
        <v>0</v>
      </c>
      <c r="K28" s="67">
        <v>0</v>
      </c>
    </row>
    <row r="29" spans="1:11">
      <c r="A29" s="17" t="s">
        <v>1232</v>
      </c>
      <c r="B29" s="96">
        <f>IF($H29=0,0,ROUNDUP(MAX($I29*'02_Assumptions'!$C$6/100,$K29),0))</f>
        <v>1</v>
      </c>
      <c r="C29" s="96">
        <f>IF($H29=0,0,ROUNDUP(MAX($I29*'02_Assumptions'!$C$6/100*(1+$J29*3),$K29*4),0))</f>
        <v>4</v>
      </c>
      <c r="D29" s="67">
        <v>7000000</v>
      </c>
      <c r="E29" s="67">
        <f>'02_Assumptions'!$C$63</f>
        <v>0.15</v>
      </c>
      <c r="F29" s="97">
        <f t="shared" si="1"/>
        <v>96599999.999999985</v>
      </c>
      <c r="G29" s="97">
        <f t="shared" si="2"/>
        <v>386399999.99999994</v>
      </c>
      <c r="H29" s="67">
        <v>1</v>
      </c>
      <c r="I29" s="67">
        <v>1</v>
      </c>
      <c r="J29" s="68">
        <v>1</v>
      </c>
      <c r="K29" s="67">
        <v>0</v>
      </c>
    </row>
    <row r="30" spans="1:11">
      <c r="A30" s="17" t="s">
        <v>1233</v>
      </c>
      <c r="B30" s="96">
        <f>IF($H30=0,0,ROUNDUP(MAX($I30*'02_Assumptions'!$C$6/100,$K30),0))</f>
        <v>4</v>
      </c>
      <c r="C30" s="96">
        <f>IF($H30=0,0,ROUNDUP(MAX($I30*'02_Assumptions'!$C$6/100*(1+$J30*3),$K30*4),0))</f>
        <v>4</v>
      </c>
      <c r="D30" s="67">
        <v>4500000</v>
      </c>
      <c r="E30" s="67">
        <f>'02_Assumptions'!$C$63</f>
        <v>0.15</v>
      </c>
      <c r="F30" s="97">
        <f t="shared" si="1"/>
        <v>248399999.99999997</v>
      </c>
      <c r="G30" s="97">
        <f t="shared" si="2"/>
        <v>248399999.99999997</v>
      </c>
      <c r="H30" s="67">
        <v>1</v>
      </c>
      <c r="I30" s="67">
        <v>4</v>
      </c>
      <c r="J30" s="68">
        <v>0</v>
      </c>
      <c r="K30" s="67">
        <v>0</v>
      </c>
    </row>
    <row r="31" spans="1:11">
      <c r="A31" s="17" t="s">
        <v>1234</v>
      </c>
      <c r="B31" s="96">
        <f>IF($H31=0,0,ROUNDUP(MAX($I31*'02_Assumptions'!$C$6/100,$K31),0))</f>
        <v>2</v>
      </c>
      <c r="C31" s="96">
        <f>IF($H31=0,0,ROUNDUP(MAX($I31*'02_Assumptions'!$C$6/100*(1+$J31*3),$K31*4),0))</f>
        <v>8</v>
      </c>
      <c r="D31" s="67">
        <v>3500000</v>
      </c>
      <c r="E31" s="67">
        <f>'02_Assumptions'!$C$63</f>
        <v>0.15</v>
      </c>
      <c r="F31" s="97">
        <f t="shared" si="1"/>
        <v>96599999.999999985</v>
      </c>
      <c r="G31" s="97">
        <f t="shared" si="2"/>
        <v>386399999.99999994</v>
      </c>
      <c r="H31" s="67">
        <v>1</v>
      </c>
      <c r="I31" s="67">
        <v>2</v>
      </c>
      <c r="J31" s="68">
        <v>1</v>
      </c>
      <c r="K31" s="67">
        <v>0</v>
      </c>
    </row>
    <row r="32" spans="1:11">
      <c r="A32" s="17" t="s">
        <v>1235</v>
      </c>
      <c r="B32" s="96">
        <f>IF($H32=0,0,ROUNDUP(MAX($I32*'02_Assumptions'!$C$6/100,$K32),0))</f>
        <v>1</v>
      </c>
      <c r="C32" s="96">
        <f>IF($H32=0,0,ROUNDUP(MAX($I32*'02_Assumptions'!$C$6/100*(1+$J32*3),$K32*4),0))</f>
        <v>4</v>
      </c>
      <c r="D32" s="67">
        <v>4500000</v>
      </c>
      <c r="E32" s="67">
        <f>'02_Assumptions'!$C$63</f>
        <v>0.15</v>
      </c>
      <c r="F32" s="97">
        <f t="shared" si="1"/>
        <v>62099999.999999993</v>
      </c>
      <c r="G32" s="97">
        <f t="shared" si="2"/>
        <v>248399999.99999997</v>
      </c>
      <c r="H32" s="67">
        <v>1</v>
      </c>
      <c r="I32" s="67">
        <v>1</v>
      </c>
      <c r="J32" s="68">
        <v>1</v>
      </c>
      <c r="K32" s="67">
        <v>0</v>
      </c>
    </row>
    <row r="33" spans="1:11">
      <c r="A33" s="17" t="s">
        <v>1236</v>
      </c>
      <c r="B33" s="96">
        <f>IF($H33=0,0,ROUNDUP(MAX($I33*'02_Assumptions'!$C$6/100,$K33),0))</f>
        <v>2</v>
      </c>
      <c r="C33" s="96">
        <f>IF($H33=0,0,ROUNDUP(MAX($I33*'02_Assumptions'!$C$6/100*(1+$J33*3),$K33*4),0))</f>
        <v>4</v>
      </c>
      <c r="D33" s="67">
        <v>5000000</v>
      </c>
      <c r="E33" s="67">
        <f>'02_Assumptions'!$C$63</f>
        <v>0.15</v>
      </c>
      <c r="F33" s="97">
        <f t="shared" si="1"/>
        <v>138000000</v>
      </c>
      <c r="G33" s="97">
        <f t="shared" si="2"/>
        <v>276000000</v>
      </c>
      <c r="H33" s="67">
        <v>1</v>
      </c>
      <c r="I33" s="67">
        <v>2</v>
      </c>
      <c r="J33" s="68">
        <v>0.33333333333333331</v>
      </c>
      <c r="K33" s="67">
        <v>0</v>
      </c>
    </row>
    <row r="34" spans="1:11">
      <c r="A34" s="270" t="s">
        <v>1237</v>
      </c>
      <c r="B34" s="270"/>
      <c r="C34" s="270"/>
      <c r="D34" s="270"/>
      <c r="E34" s="270"/>
      <c r="F34" s="98">
        <f>SUM(F26:F33)+SUM(F44:F49)</f>
        <v>1097100000</v>
      </c>
      <c r="G34" s="98">
        <f>SUM(G26:G33)+SUM(G44:G49)</f>
        <v>2001000000</v>
      </c>
      <c r="H34" s="73"/>
      <c r="I34" s="73"/>
      <c r="J34" s="73"/>
      <c r="K34" s="73"/>
    </row>
    <row r="35" spans="1:11">
      <c r="A35" s="17"/>
      <c r="B35" s="17"/>
      <c r="C35" s="17"/>
      <c r="D35" s="17"/>
      <c r="E35" s="17"/>
      <c r="F35" s="17"/>
      <c r="G35" s="17"/>
      <c r="H35" s="17"/>
      <c r="I35" s="17"/>
      <c r="J35" s="35"/>
      <c r="K35" s="17"/>
    </row>
    <row r="36" spans="1:11">
      <c r="A36" s="17"/>
      <c r="B36" s="17"/>
      <c r="C36" s="17"/>
      <c r="D36" s="17"/>
      <c r="E36" s="17"/>
      <c r="F36" s="17"/>
      <c r="G36" s="17"/>
      <c r="H36" s="17"/>
      <c r="I36" s="17"/>
      <c r="J36" s="35"/>
      <c r="K36" s="17"/>
    </row>
    <row r="37" spans="1:11" ht="20" customHeight="1">
      <c r="A37" s="211" t="s">
        <v>1238</v>
      </c>
      <c r="B37" s="211"/>
      <c r="C37" s="211"/>
      <c r="D37" s="211"/>
      <c r="E37" s="211"/>
      <c r="F37" s="211"/>
      <c r="G37" s="211"/>
      <c r="H37" s="211"/>
      <c r="I37" s="211"/>
      <c r="J37" s="271"/>
      <c r="K37" s="211"/>
    </row>
    <row r="38" spans="1:11" ht="30" customHeight="1">
      <c r="A38" s="2" t="s">
        <v>1239</v>
      </c>
      <c r="B38" s="3" t="s">
        <v>440</v>
      </c>
      <c r="C38" s="3" t="s">
        <v>441</v>
      </c>
      <c r="D38" s="3" t="s">
        <v>442</v>
      </c>
      <c r="E38" s="3" t="s">
        <v>443</v>
      </c>
      <c r="F38" s="3" t="s">
        <v>444</v>
      </c>
      <c r="G38" s="3" t="s">
        <v>445</v>
      </c>
      <c r="H38" s="3" t="s">
        <v>446</v>
      </c>
      <c r="I38" s="3" t="s">
        <v>447</v>
      </c>
      <c r="J38" s="95" t="s">
        <v>448</v>
      </c>
      <c r="K38" s="4" t="s">
        <v>449</v>
      </c>
    </row>
    <row r="39" spans="1:11">
      <c r="A39" s="49" t="s">
        <v>1240</v>
      </c>
      <c r="B39" s="49">
        <f>($F$34*(1+'02_Assumptions'!$C$11)^0+('05_Workplan_Labor'!$B$41+'17_Model_Fleksibel'!$N$68)*'02_Assumptions'!$C$60*(1+'02_Assumptions'!$C$11)^0+'07_Agri_Inputs'!$B$34+'06_Equipment_Tools'!$I$39*'02_Assumptions'!$C$113*(1+'02_Assumptions'!$C$11)^0+'02_Assumptions'!$C$179*(1+'02_Assumptions'!$C$11)^0+SUM('08_CAPEX_RAB'!$H$23:$H$26)*'02_Assumptions'!$C$114*(1+'02_Assumptions'!$C$11)^0+'04_Planting_Design'!$G$19*IF(1&lt;=3,'02_Assumptions'!$C$181,'02_Assumptions'!$C$182)*(1+'02_Assumptions'!$C$11)^0+'14_Certification_ESG'!$D$15+'02_Assumptions'!$C$6*'02_Assumptions'!$C$118*(1+'02_Assumptions'!$C$11)^0+'02_Assumptions'!$C$180*(1+'02_Assumptions'!$C$11)^0+'17_Model_Fleksibel'!$H$100+'10_Production_Revenue'!$B$25)*(1+'02_Assumptions'!$C$15)</f>
        <v>4886954100</v>
      </c>
      <c r="C39" s="49">
        <f>($F$34*(1+'02_Assumptions'!$C$11)^1+('05_Workplan_Labor'!$C$41+'17_Model_Fleksibel'!$O$68)*'02_Assumptions'!$C$60*(1+'02_Assumptions'!$C$11)^1+'07_Agri_Inputs'!$C$34+'06_Equipment_Tools'!$I$39*'02_Assumptions'!$C$113*(1+'02_Assumptions'!$C$11)^1+'02_Assumptions'!$C$179*(1+'02_Assumptions'!$C$11)^1+SUM('08_CAPEX_RAB'!$H$23:$H$26)*'02_Assumptions'!$C$114*(1+'02_Assumptions'!$C$11)^1+'04_Planting_Design'!$G$19*IF(2&lt;=3,'02_Assumptions'!$C$181,'02_Assumptions'!$C$182)*(1+'02_Assumptions'!$C$11)^1+'14_Certification_ESG'!$E$15+'02_Assumptions'!$C$6*'02_Assumptions'!$C$118*(1+'02_Assumptions'!$C$11)^1+'02_Assumptions'!$C$180*(1+'02_Assumptions'!$C$11)^1+'17_Model_Fleksibel'!$I$100+'10_Production_Revenue'!$C$25)*(1+'02_Assumptions'!$C$15)</f>
        <v>4991601459.9359999</v>
      </c>
      <c r="D39" s="49">
        <f>($F$34*(1+'02_Assumptions'!$C$11)^2+('05_Workplan_Labor'!$D$41+'17_Model_Fleksibel'!$P$68)*'02_Assumptions'!$C$60*(1+'02_Assumptions'!$C$11)^2+'07_Agri_Inputs'!$D$34+'06_Equipment_Tools'!$I$39*'02_Assumptions'!$C$113*(1+'02_Assumptions'!$C$11)^2+'02_Assumptions'!$C$179*(1+'02_Assumptions'!$C$11)^2+SUM('08_CAPEX_RAB'!$H$23:$H$26)*'02_Assumptions'!$C$114*(1+'02_Assumptions'!$C$11)^2+'04_Planting_Design'!$G$19*IF(3&lt;=3,'02_Assumptions'!$C$181,'02_Assumptions'!$C$182)*(1+'02_Assumptions'!$C$11)^2+'14_Certification_ESG'!$F$15+'02_Assumptions'!$C$6*'02_Assumptions'!$C$118*(1+'02_Assumptions'!$C$11)^2+'02_Assumptions'!$C$180*(1+'02_Assumptions'!$C$11)^2+'17_Model_Fleksibel'!$J$100+'10_Production_Revenue'!$D$25)*(1+'02_Assumptions'!$C$15)</f>
        <v>4420115621.3760014</v>
      </c>
      <c r="E39" s="49">
        <f>($F$34*(1+'02_Assumptions'!$C$11)^3+('05_Workplan_Labor'!$E$41+'17_Model_Fleksibel'!$Q$68)*'02_Assumptions'!$C$60*(1+'02_Assumptions'!$C$11)^3+'07_Agri_Inputs'!$E$34+'06_Equipment_Tools'!$I$39*'02_Assumptions'!$C$113*(1+'02_Assumptions'!$C$11)^3+'02_Assumptions'!$C$179*(1+'02_Assumptions'!$C$11)^3+SUM('08_CAPEX_RAB'!$H$23:$H$26)*'02_Assumptions'!$C$114*(1+'02_Assumptions'!$C$11)^3+'04_Planting_Design'!$G$19*IF(4&lt;=3,'02_Assumptions'!$C$181,'02_Assumptions'!$C$182)*(1+'02_Assumptions'!$C$11)^3+'14_Certification_ESG'!$G$15+'02_Assumptions'!$C$6*'02_Assumptions'!$C$118*(1+'02_Assumptions'!$C$11)^3+'02_Assumptions'!$C$180*(1+'02_Assumptions'!$C$11)^3+'17_Model_Fleksibel'!$K$100+'10_Production_Revenue'!$E$25)*(1+'02_Assumptions'!$C$15)</f>
        <v>4201095317.85216</v>
      </c>
      <c r="F39" s="49">
        <f>($F$34*(1+'02_Assumptions'!$C$11)^4+('05_Workplan_Labor'!$F$41+'17_Model_Fleksibel'!$R$68)*'02_Assumptions'!$C$60*(1+'02_Assumptions'!$C$11)^4+'07_Agri_Inputs'!$F$34+'06_Equipment_Tools'!$I$39*'02_Assumptions'!$C$113*(1+'02_Assumptions'!$C$11)^4+'02_Assumptions'!$C$179*(1+'02_Assumptions'!$C$11)^4+SUM('08_CAPEX_RAB'!$H$23:$H$26)*'02_Assumptions'!$C$114*(1+'02_Assumptions'!$C$11)^4+'04_Planting_Design'!$G$19*IF(5&lt;=3,'02_Assumptions'!$C$181,'02_Assumptions'!$C$182)*(1+'02_Assumptions'!$C$11)^4+'14_Certification_ESG'!$H$15+'02_Assumptions'!$C$6*'02_Assumptions'!$C$118*(1+'02_Assumptions'!$C$11)^4+'02_Assumptions'!$C$180*(1+'02_Assumptions'!$C$11)^4+'17_Model_Fleksibel'!$L$100+'10_Production_Revenue'!$F$25)*(1+'02_Assumptions'!$C$15)</f>
        <v>4271826767.2520294</v>
      </c>
      <c r="G39" s="49">
        <f>($F$34*(1+'02_Assumptions'!$C$11)^5+('05_Workplan_Labor'!$G$41+'17_Model_Fleksibel'!$S$68)*'02_Assumptions'!$C$60*(1+'02_Assumptions'!$C$11)^5+'07_Agri_Inputs'!$G$34+'06_Equipment_Tools'!$I$39*'02_Assumptions'!$C$113*(1+'02_Assumptions'!$C$11)^5+'02_Assumptions'!$C$179*(1+'02_Assumptions'!$C$11)^5+SUM('08_CAPEX_RAB'!$H$23:$H$26)*'02_Assumptions'!$C$114*(1+'02_Assumptions'!$C$11)^5+'04_Planting_Design'!$G$19*IF(6&lt;=3,'02_Assumptions'!$C$181,'02_Assumptions'!$C$182)*(1+'02_Assumptions'!$C$11)^5+'14_Certification_ESG'!$I$15+'02_Assumptions'!$C$6*'02_Assumptions'!$C$118*(1+'02_Assumptions'!$C$11)^5+'02_Assumptions'!$C$180*(1+'02_Assumptions'!$C$11)^5+'17_Model_Fleksibel'!$M$100+'10_Production_Revenue'!$G$25)*(1+'02_Assumptions'!$C$15)</f>
        <v>4575077847.0200586</v>
      </c>
      <c r="H39" s="49">
        <f>($F$34*(1+'02_Assumptions'!$C$11)^6+('05_Workplan_Labor'!$H$41+'17_Model_Fleksibel'!$T$68)*'02_Assumptions'!$C$60*(1+'02_Assumptions'!$C$11)^6+'07_Agri_Inputs'!$H$34+'06_Equipment_Tools'!$I$39*'02_Assumptions'!$C$113*(1+'02_Assumptions'!$C$11)^6+'02_Assumptions'!$C$179*(1+'02_Assumptions'!$C$11)^6+SUM('08_CAPEX_RAB'!$H$23:$H$26)*'02_Assumptions'!$C$114*(1+'02_Assumptions'!$C$11)^6+'04_Planting_Design'!$G$19*IF(7&lt;=3,'02_Assumptions'!$C$181,'02_Assumptions'!$C$182)*(1+'02_Assumptions'!$C$11)^6+'14_Certification_ESG'!$J$15+'02_Assumptions'!$C$6*'02_Assumptions'!$C$118*(1+'02_Assumptions'!$C$11)^6+'02_Assumptions'!$C$180*(1+'02_Assumptions'!$C$11)^6+'17_Model_Fleksibel'!$N$100+'10_Production_Revenue'!$H$25)*(1+'02_Assumptions'!$C$15)</f>
        <v>4812866942.418787</v>
      </c>
      <c r="I39" s="49">
        <f>($F$34*(1+'02_Assumptions'!$C$11)^7+('05_Workplan_Labor'!$I$41+'17_Model_Fleksibel'!$U$68)*'02_Assumptions'!$C$60*(1+'02_Assumptions'!$C$11)^7+'07_Agri_Inputs'!$I$34+'06_Equipment_Tools'!$I$39*'02_Assumptions'!$C$113*(1+'02_Assumptions'!$C$11)^7+'02_Assumptions'!$C$179*(1+'02_Assumptions'!$C$11)^7+SUM('08_CAPEX_RAB'!$H$23:$H$26)*'02_Assumptions'!$C$114*(1+'02_Assumptions'!$C$11)^7+'04_Planting_Design'!$G$19*IF(8&lt;=3,'02_Assumptions'!$C$181,'02_Assumptions'!$C$182)*(1+'02_Assumptions'!$C$11)^7+'14_Certification_ESG'!$K$15+'02_Assumptions'!$C$6*'02_Assumptions'!$C$118*(1+'02_Assumptions'!$C$11)^7+'02_Assumptions'!$C$180*(1+'02_Assumptions'!$C$11)^7+'17_Model_Fleksibel'!$O$100+'10_Production_Revenue'!$I$25)*(1+'02_Assumptions'!$C$15)</f>
        <v>5223435766.3945637</v>
      </c>
      <c r="J39" s="49">
        <f>($F$34*(1+'02_Assumptions'!$C$11)^8+('05_Workplan_Labor'!$J$41+'17_Model_Fleksibel'!$V$68)*'02_Assumptions'!$C$60*(1+'02_Assumptions'!$C$11)^8+'07_Agri_Inputs'!$J$34+'06_Equipment_Tools'!$I$39*'02_Assumptions'!$C$113*(1+'02_Assumptions'!$C$11)^8+'02_Assumptions'!$C$179*(1+'02_Assumptions'!$C$11)^8+SUM('08_CAPEX_RAB'!$H$23:$H$26)*'02_Assumptions'!$C$114*(1+'02_Assumptions'!$C$11)^8+'04_Planting_Design'!$G$19*IF(9&lt;=3,'02_Assumptions'!$C$181,'02_Assumptions'!$C$182)*(1+'02_Assumptions'!$C$11)^8+'14_Certification_ESG'!$L$15+'02_Assumptions'!$C$6*'02_Assumptions'!$C$118*(1+'02_Assumptions'!$C$11)^8+'02_Assumptions'!$C$180*(1+'02_Assumptions'!$C$11)^8+'17_Model_Fleksibel'!$P$100+'10_Production_Revenue'!$J$25)*(1+'02_Assumptions'!$C$15)</f>
        <v>5424596166.5645132</v>
      </c>
      <c r="K39" s="49">
        <f>($F$34*(1+'02_Assumptions'!$C$11)^9+('05_Workplan_Labor'!$K$41+'17_Model_Fleksibel'!$W$68)*'02_Assumptions'!$C$60*(1+'02_Assumptions'!$C$11)^9+'07_Agri_Inputs'!$K$34+'06_Equipment_Tools'!$I$39*'02_Assumptions'!$C$113*(1+'02_Assumptions'!$C$11)^9+'02_Assumptions'!$C$179*(1+'02_Assumptions'!$C$11)^9+SUM('08_CAPEX_RAB'!$H$23:$H$26)*'02_Assumptions'!$C$114*(1+'02_Assumptions'!$C$11)^9+'04_Planting_Design'!$G$19*IF(10&lt;=3,'02_Assumptions'!$C$181,'02_Assumptions'!$C$182)*(1+'02_Assumptions'!$C$11)^9+'14_Certification_ESG'!$M$15+'02_Assumptions'!$C$6*'02_Assumptions'!$C$118*(1+'02_Assumptions'!$C$11)^9+'02_Assumptions'!$C$180*(1+'02_Assumptions'!$C$11)^9+'17_Model_Fleksibel'!$Q$100+'10_Production_Revenue'!$K$25)*(1+'02_Assumptions'!$C$15)</f>
        <v>5808126069.4995613</v>
      </c>
    </row>
    <row r="40" spans="1:11">
      <c r="A40" s="50" t="s">
        <v>1241</v>
      </c>
      <c r="B40" s="50">
        <f>($G$34*(1+'02_Assumptions'!$C$11)^0+('05_Workplan_Labor'!$B$41+'17_Model_Fleksibel'!$N$68)*'02_Assumptions'!$C$60*(1+'02_Assumptions'!$C$11)^0*(1+'02_Assumptions'!$C$177*3)+'07_Agri_Inputs'!$B$34+'06_Equipment_Tools'!$J$39*'02_Assumptions'!$C$113*(1+'02_Assumptions'!$C$11)^0+'02_Assumptions'!$C$179*(1+'02_Assumptions'!$C$11)^0*(1+'02_Assumptions'!$C$178*3)+SUM('08_CAPEX_RAB'!$I$23:$I$26)*'02_Assumptions'!$C$114*(1+'02_Assumptions'!$C$11)^0+'04_Planting_Design'!$G$19*IF(1&lt;=3,'02_Assumptions'!$C$181,'02_Assumptions'!$C$182)*(1+'02_Assumptions'!$C$11)^0+'14_Certification_ESG'!$D$15+'02_Assumptions'!$C$6*'02_Assumptions'!$C$118*(1+'02_Assumptions'!$C$11)^0+'02_Assumptions'!$C$180*(1+'02_Assumptions'!$C$11)^0*(1+'02_Assumptions'!$C$178*3)+'17_Model_Fleksibel'!$H$100+'10_Production_Revenue'!$B$25)*(1+'02_Assumptions'!$C$15)</f>
        <v>6094212391.6691809</v>
      </c>
      <c r="C40" s="50">
        <f>($G$34*(1+'02_Assumptions'!$C$11)^1+('05_Workplan_Labor'!$C$41+'17_Model_Fleksibel'!$O$68)*'02_Assumptions'!$C$60*(1+'02_Assumptions'!$C$11)^1*(1+'02_Assumptions'!$C$177*3)+'07_Agri_Inputs'!$C$34+'06_Equipment_Tools'!$J$39*'02_Assumptions'!$C$113*(1+'02_Assumptions'!$C$11)^1+'02_Assumptions'!$C$179*(1+'02_Assumptions'!$C$11)^1*(1+'02_Assumptions'!$C$178*3)+SUM('08_CAPEX_RAB'!$I$23:$I$26)*'02_Assumptions'!$C$114*(1+'02_Assumptions'!$C$11)^1+'04_Planting_Design'!$G$19*IF(2&lt;=3,'02_Assumptions'!$C$181,'02_Assumptions'!$C$182)*(1+'02_Assumptions'!$C$11)^1+'14_Certification_ESG'!$E$15+'02_Assumptions'!$C$6*'02_Assumptions'!$C$118*(1+'02_Assumptions'!$C$11)^1+'02_Assumptions'!$C$180*(1+'02_Assumptions'!$C$11)^1*(1+'02_Assumptions'!$C$178*3)+'17_Model_Fleksibel'!$I$100+'10_Production_Revenue'!$C$25)*(1+'02_Assumptions'!$C$15)</f>
        <v>6245305040.0350475</v>
      </c>
      <c r="D40" s="50">
        <f>($G$34*(1+'02_Assumptions'!$C$11)^2+('05_Workplan_Labor'!$D$41+'17_Model_Fleksibel'!$P$68)*'02_Assumptions'!$C$60*(1+'02_Assumptions'!$C$11)^2*(1+'02_Assumptions'!$C$177*3)+'07_Agri_Inputs'!$D$34+'06_Equipment_Tools'!$J$39*'02_Assumptions'!$C$113*(1+'02_Assumptions'!$C$11)^2+'02_Assumptions'!$C$179*(1+'02_Assumptions'!$C$11)^2*(1+'02_Assumptions'!$C$178*3)+SUM('08_CAPEX_RAB'!$I$23:$I$26)*'02_Assumptions'!$C$114*(1+'02_Assumptions'!$C$11)^2+'04_Planting_Design'!$G$19*IF(3&lt;=3,'02_Assumptions'!$C$181,'02_Assumptions'!$C$182)*(1+'02_Assumptions'!$C$11)^2+'14_Certification_ESG'!$F$15+'02_Assumptions'!$C$6*'02_Assumptions'!$C$118*(1+'02_Assumptions'!$C$11)^2+'02_Assumptions'!$C$180*(1+'02_Assumptions'!$C$11)^2*(1+'02_Assumptions'!$C$178*3)+'17_Model_Fleksibel'!$J$100+'10_Production_Revenue'!$D$25)*(1+'02_Assumptions'!$C$15)</f>
        <v>5715122668.6621161</v>
      </c>
      <c r="E40" s="50">
        <f>($G$34*(1+'02_Assumptions'!$C$11)^3+('05_Workplan_Labor'!$E$41+'17_Model_Fleksibel'!$Q$68)*'02_Assumptions'!$C$60*(1+'02_Assumptions'!$C$11)^3*(1+'02_Assumptions'!$C$177*3)+'07_Agri_Inputs'!$E$34+'06_Equipment_Tools'!$J$39*'02_Assumptions'!$C$113*(1+'02_Assumptions'!$C$11)^3+'02_Assumptions'!$C$179*(1+'02_Assumptions'!$C$11)^3*(1+'02_Assumptions'!$C$178*3)+SUM('08_CAPEX_RAB'!$I$23:$I$26)*'02_Assumptions'!$C$114*(1+'02_Assumptions'!$C$11)^3+'04_Planting_Design'!$G$19*IF(4&lt;=3,'02_Assumptions'!$C$181,'02_Assumptions'!$C$182)*(1+'02_Assumptions'!$C$11)^3+'14_Certification_ESG'!$G$15+'02_Assumptions'!$C$6*'02_Assumptions'!$C$118*(1+'02_Assumptions'!$C$11)^3+'02_Assumptions'!$C$180*(1+'02_Assumptions'!$C$11)^3*(1+'02_Assumptions'!$C$178*3)+'17_Model_Fleksibel'!$K$100+'10_Production_Revenue'!$E$25)*(1+'02_Assumptions'!$C$15)</f>
        <v>5538548277.8186321</v>
      </c>
      <c r="F40" s="50">
        <f>($G$34*(1+'02_Assumptions'!$C$11)^4+('05_Workplan_Labor'!$F$41+'17_Model_Fleksibel'!$R$68)*'02_Assumptions'!$C$60*(1+'02_Assumptions'!$C$11)^4*(1+'02_Assumptions'!$C$177*3)+'07_Agri_Inputs'!$F$34+'06_Equipment_Tools'!$J$39*'02_Assumptions'!$C$113*(1+'02_Assumptions'!$C$11)^4+'02_Assumptions'!$C$179*(1+'02_Assumptions'!$C$11)^4*(1+'02_Assumptions'!$C$178*3)+SUM('08_CAPEX_RAB'!$I$23:$I$26)*'02_Assumptions'!$C$114*(1+'02_Assumptions'!$C$11)^4+'04_Planting_Design'!$G$19*IF(5&lt;=3,'02_Assumptions'!$C$181,'02_Assumptions'!$C$182)*(1+'02_Assumptions'!$C$11)^4+'14_Certification_ESG'!$H$15+'02_Assumptions'!$C$6*'02_Assumptions'!$C$118*(1+'02_Assumptions'!$C$11)^4+'02_Assumptions'!$C$180*(1+'02_Assumptions'!$C$11)^4*(1+'02_Assumptions'!$C$178*3)+'17_Model_Fleksibel'!$L$100+'10_Production_Revenue'!$F$25)*(1+'02_Assumptions'!$C$15)</f>
        <v>5659794425.463438</v>
      </c>
      <c r="G40" s="50">
        <f>($G$34*(1+'02_Assumptions'!$C$11)^5+('05_Workplan_Labor'!$G$41+'17_Model_Fleksibel'!$S$68)*'02_Assumptions'!$C$60*(1+'02_Assumptions'!$C$11)^5*(1+'02_Assumptions'!$C$177*3)+'07_Agri_Inputs'!$G$34+'06_Equipment_Tools'!$J$39*'02_Assumptions'!$C$113*(1+'02_Assumptions'!$C$11)^5+'02_Assumptions'!$C$179*(1+'02_Assumptions'!$C$11)^5*(1+'02_Assumptions'!$C$178*3)+SUM('08_CAPEX_RAB'!$I$23:$I$26)*'02_Assumptions'!$C$114*(1+'02_Assumptions'!$C$11)^5+'04_Planting_Design'!$G$19*IF(6&lt;=3,'02_Assumptions'!$C$181,'02_Assumptions'!$C$182)*(1+'02_Assumptions'!$C$11)^5+'14_Certification_ESG'!$I$15+'02_Assumptions'!$C$6*'02_Assumptions'!$C$118*(1+'02_Assumptions'!$C$11)^5+'02_Assumptions'!$C$180*(1+'02_Assumptions'!$C$11)^5*(1+'02_Assumptions'!$C$178*3)+'17_Model_Fleksibel'!$M$100+'10_Production_Revenue'!$G$25)*(1+'02_Assumptions'!$C$15)</f>
        <v>6016675576.8886986</v>
      </c>
      <c r="H40" s="50">
        <f>($G$34*(1+'02_Assumptions'!$C$11)^6+('05_Workplan_Labor'!$H$41+'17_Model_Fleksibel'!$T$68)*'02_Assumptions'!$C$60*(1+'02_Assumptions'!$C$11)^6*(1+'02_Assumptions'!$C$177*3)+'07_Agri_Inputs'!$H$34+'06_Equipment_Tools'!$J$39*'02_Assumptions'!$C$113*(1+'02_Assumptions'!$C$11)^6+'02_Assumptions'!$C$179*(1+'02_Assumptions'!$C$11)^6*(1+'02_Assumptions'!$C$178*3)+SUM('08_CAPEX_RAB'!$I$23:$I$26)*'02_Assumptions'!$C$114*(1+'02_Assumptions'!$C$11)^6+'04_Planting_Design'!$G$19*IF(7&lt;=3,'02_Assumptions'!$C$181,'02_Assumptions'!$C$182)*(1+'02_Assumptions'!$C$11)^6+'14_Certification_ESG'!$J$15+'02_Assumptions'!$C$6*'02_Assumptions'!$C$118*(1+'02_Assumptions'!$C$11)^6+'02_Assumptions'!$C$180*(1+'02_Assumptions'!$C$11)^6*(1+'02_Assumptions'!$C$178*3)+'17_Model_Fleksibel'!$N$100+'10_Production_Revenue'!$H$25)*(1+'02_Assumptions'!$C$15)</f>
        <v>6311497237.8920746</v>
      </c>
      <c r="I40" s="50">
        <f>($G$34*(1+'02_Assumptions'!$C$11)^7+('05_Workplan_Labor'!$I$41+'17_Model_Fleksibel'!$U$68)*'02_Assumptions'!$C$60*(1+'02_Assumptions'!$C$11)^7*(1+'02_Assumptions'!$C$177*3)+'07_Agri_Inputs'!$I$34+'06_Equipment_Tools'!$J$39*'02_Assumptions'!$C$113*(1+'02_Assumptions'!$C$11)^7+'02_Assumptions'!$C$179*(1+'02_Assumptions'!$C$11)^7*(1+'02_Assumptions'!$C$178*3)+SUM('08_CAPEX_RAB'!$I$23:$I$26)*'02_Assumptions'!$C$114*(1+'02_Assumptions'!$C$11)^7+'04_Planting_Design'!$G$19*IF(8&lt;=3,'02_Assumptions'!$C$181,'02_Assumptions'!$C$182)*(1+'02_Assumptions'!$C$11)^7+'14_Certification_ESG'!$K$15+'02_Assumptions'!$C$6*'02_Assumptions'!$C$118*(1+'02_Assumptions'!$C$11)^7+'02_Assumptions'!$C$180*(1+'02_Assumptions'!$C$11)^7*(1+'02_Assumptions'!$C$178*3)+'17_Model_Fleksibel'!$O$100+'10_Production_Revenue'!$I$25)*(1+'02_Assumptions'!$C$15)</f>
        <v>6782011273.6867857</v>
      </c>
      <c r="J40" s="50">
        <f>($G$34*(1+'02_Assumptions'!$C$11)^8+('05_Workplan_Labor'!$J$41+'17_Model_Fleksibel'!$V$68)*'02_Assumptions'!$C$60*(1+'02_Assumptions'!$C$11)^8*(1+'02_Assumptions'!$C$177*3)+'07_Agri_Inputs'!$J$34+'06_Equipment_Tools'!$J$39*'02_Assumptions'!$C$113*(1+'02_Assumptions'!$C$11)^8+'02_Assumptions'!$C$179*(1+'02_Assumptions'!$C$11)^8*(1+'02_Assumptions'!$C$178*3)+SUM('08_CAPEX_RAB'!$I$23:$I$26)*'02_Assumptions'!$C$114*(1+'02_Assumptions'!$C$11)^8+'04_Planting_Design'!$G$19*IF(9&lt;=3,'02_Assumptions'!$C$181,'02_Assumptions'!$C$182)*(1+'02_Assumptions'!$C$11)^8+'14_Certification_ESG'!$L$15+'02_Assumptions'!$C$6*'02_Assumptions'!$C$118*(1+'02_Assumptions'!$C$11)^8+'02_Assumptions'!$C$180*(1+'02_Assumptions'!$C$11)^8*(1+'02_Assumptions'!$C$178*3)+'17_Model_Fleksibel'!$P$100+'10_Production_Revenue'!$J$25)*(1+'02_Assumptions'!$C$15)</f>
        <v>7045514694.1484232</v>
      </c>
      <c r="K40" s="50">
        <f>($G$34*(1+'02_Assumptions'!$C$11)^9+('05_Workplan_Labor'!$K$41+'17_Model_Fleksibel'!$W$68)*'02_Assumptions'!$C$60*(1+'02_Assumptions'!$C$11)^9*(1+'02_Assumptions'!$C$177*3)+'07_Agri_Inputs'!$K$34+'06_Equipment_Tools'!$J$39*'02_Assumptions'!$C$113*(1+'02_Assumptions'!$C$11)^9+'02_Assumptions'!$C$179*(1+'02_Assumptions'!$C$11)^9*(1+'02_Assumptions'!$C$178*3)+SUM('08_CAPEX_RAB'!$I$23:$I$26)*'02_Assumptions'!$C$114*(1+'02_Assumptions'!$C$11)^9+'04_Planting_Design'!$G$19*IF(10&lt;=3,'02_Assumptions'!$C$181,'02_Assumptions'!$C$182)*(1+'02_Assumptions'!$C$11)^9+'14_Certification_ESG'!$M$15+'02_Assumptions'!$C$6*'02_Assumptions'!$C$118*(1+'02_Assumptions'!$C$11)^9+'02_Assumptions'!$C$180*(1+'02_Assumptions'!$C$11)^9*(1+'02_Assumptions'!$C$178*3)+'17_Model_Fleksibel'!$Q$100+'10_Production_Revenue'!$K$25)*(1+'02_Assumptions'!$C$15)</f>
        <v>7493881338.1868277</v>
      </c>
    </row>
    <row r="41" spans="1:11">
      <c r="A41" s="16"/>
      <c r="B41" s="16"/>
      <c r="C41" s="16"/>
      <c r="D41" s="16"/>
      <c r="E41" s="16"/>
      <c r="F41" s="16"/>
      <c r="G41" s="16"/>
      <c r="H41" s="16"/>
      <c r="I41" s="16"/>
      <c r="J41" s="101"/>
      <c r="K41" s="16"/>
    </row>
    <row r="42" spans="1:11" ht="20" customHeight="1">
      <c r="A42" s="208" t="s">
        <v>1242</v>
      </c>
      <c r="B42" s="208"/>
      <c r="C42" s="208"/>
      <c r="D42" s="208"/>
      <c r="E42" s="208"/>
      <c r="F42" s="208"/>
      <c r="G42" s="208"/>
      <c r="H42" s="208"/>
      <c r="I42" s="208"/>
      <c r="J42" s="266"/>
      <c r="K42" s="208"/>
    </row>
    <row r="43" spans="1:11">
      <c r="A43" s="16"/>
      <c r="B43" s="16"/>
      <c r="C43" s="16"/>
      <c r="D43" s="16"/>
      <c r="E43" s="16"/>
      <c r="F43" s="16"/>
      <c r="G43" s="16"/>
      <c r="H43" s="16"/>
      <c r="I43" s="16"/>
      <c r="J43" s="101"/>
      <c r="K43" s="16"/>
    </row>
    <row r="44" spans="1:11">
      <c r="A44" s="67" t="s">
        <v>1243</v>
      </c>
      <c r="B44" s="102">
        <f>IF($H44=0,0,ROUNDUP(MAX($I44*'02_Assumptions'!$C$6/100,$K44),0))</f>
        <v>0</v>
      </c>
      <c r="C44" s="102">
        <f>IF($H44=0,0,ROUNDUP(MAX($I44*'02_Assumptions'!$C$6/100*(1+$J44*3),$K44*4),0))</f>
        <v>0</v>
      </c>
      <c r="D44" s="67">
        <v>0</v>
      </c>
      <c r="E44" s="67">
        <v>0.15</v>
      </c>
      <c r="F44" s="97">
        <f t="shared" ref="F44:F49" si="3">$B44*$D44*12*(1+$E44)</f>
        <v>0</v>
      </c>
      <c r="G44" s="97">
        <f t="shared" ref="G44:G49" si="4">$C44*$D44*12*(1+$E44)</f>
        <v>0</v>
      </c>
      <c r="H44" s="67">
        <v>0</v>
      </c>
      <c r="I44" s="67">
        <v>0</v>
      </c>
      <c r="J44" s="68">
        <v>0</v>
      </c>
      <c r="K44" s="67">
        <v>0</v>
      </c>
    </row>
    <row r="45" spans="1:11">
      <c r="A45" s="67" t="s">
        <v>1244</v>
      </c>
      <c r="B45" s="102">
        <f>IF($H45=0,0,ROUNDUP(MAX($I45*'02_Assumptions'!$C$6/100,$K45),0))</f>
        <v>0</v>
      </c>
      <c r="C45" s="102">
        <f>IF($H45=0,0,ROUNDUP(MAX($I45*'02_Assumptions'!$C$6/100*(1+$J45*3),$K45*4),0))</f>
        <v>0</v>
      </c>
      <c r="D45" s="67">
        <v>0</v>
      </c>
      <c r="E45" s="67">
        <v>0.15</v>
      </c>
      <c r="F45" s="97">
        <f t="shared" si="3"/>
        <v>0</v>
      </c>
      <c r="G45" s="97">
        <f t="shared" si="4"/>
        <v>0</v>
      </c>
      <c r="H45" s="67">
        <v>0</v>
      </c>
      <c r="I45" s="67">
        <v>0</v>
      </c>
      <c r="J45" s="68">
        <v>0</v>
      </c>
      <c r="K45" s="67">
        <v>0</v>
      </c>
    </row>
    <row r="46" spans="1:11">
      <c r="A46" s="67" t="s">
        <v>1245</v>
      </c>
      <c r="B46" s="102">
        <f>IF($H46=0,0,ROUNDUP(MAX($I46*'02_Assumptions'!$C$6/100,$K46),0))</f>
        <v>0</v>
      </c>
      <c r="C46" s="102">
        <f>IF($H46=0,0,ROUNDUP(MAX($I46*'02_Assumptions'!$C$6/100*(1+$J46*3),$K46*4),0))</f>
        <v>0</v>
      </c>
      <c r="D46" s="67">
        <v>0</v>
      </c>
      <c r="E46" s="67">
        <v>0.15</v>
      </c>
      <c r="F46" s="97">
        <f t="shared" si="3"/>
        <v>0</v>
      </c>
      <c r="G46" s="97">
        <f t="shared" si="4"/>
        <v>0</v>
      </c>
      <c r="H46" s="67">
        <v>0</v>
      </c>
      <c r="I46" s="67">
        <v>0</v>
      </c>
      <c r="J46" s="68">
        <v>0</v>
      </c>
      <c r="K46" s="67">
        <v>0</v>
      </c>
    </row>
    <row r="47" spans="1:11">
      <c r="A47" s="67" t="s">
        <v>1246</v>
      </c>
      <c r="B47" s="102">
        <f>IF($H47=0,0,ROUNDUP(MAX($I47*'02_Assumptions'!$C$6/100,$K47),0))</f>
        <v>0</v>
      </c>
      <c r="C47" s="102">
        <f>IF($H47=0,0,ROUNDUP(MAX($I47*'02_Assumptions'!$C$6/100*(1+$J47*3),$K47*4),0))</f>
        <v>0</v>
      </c>
      <c r="D47" s="67">
        <v>0</v>
      </c>
      <c r="E47" s="67">
        <v>0.15</v>
      </c>
      <c r="F47" s="97">
        <f t="shared" si="3"/>
        <v>0</v>
      </c>
      <c r="G47" s="97">
        <f t="shared" si="4"/>
        <v>0</v>
      </c>
      <c r="H47" s="67">
        <v>0</v>
      </c>
      <c r="I47" s="67">
        <v>0</v>
      </c>
      <c r="J47" s="68">
        <v>0</v>
      </c>
      <c r="K47" s="67">
        <v>0</v>
      </c>
    </row>
    <row r="48" spans="1:11">
      <c r="A48" s="67" t="s">
        <v>1247</v>
      </c>
      <c r="B48" s="102">
        <f>IF($H48=0,0,ROUNDUP(MAX($I48*'02_Assumptions'!$C$6/100,$K48),0))</f>
        <v>0</v>
      </c>
      <c r="C48" s="102">
        <f>IF($H48=0,0,ROUNDUP(MAX($I48*'02_Assumptions'!$C$6/100*(1+$J48*3),$K48*4),0))</f>
        <v>0</v>
      </c>
      <c r="D48" s="67">
        <v>0</v>
      </c>
      <c r="E48" s="67">
        <v>0.15</v>
      </c>
      <c r="F48" s="97">
        <f t="shared" si="3"/>
        <v>0</v>
      </c>
      <c r="G48" s="97">
        <f t="shared" si="4"/>
        <v>0</v>
      </c>
      <c r="H48" s="67">
        <v>0</v>
      </c>
      <c r="I48" s="67">
        <v>0</v>
      </c>
      <c r="J48" s="68">
        <v>0</v>
      </c>
      <c r="K48" s="67">
        <v>0</v>
      </c>
    </row>
    <row r="49" spans="1:11">
      <c r="A49" s="67" t="s">
        <v>1248</v>
      </c>
      <c r="B49" s="102">
        <f>IF($H49=0,0,ROUNDUP(MAX($I49*'02_Assumptions'!$C$6/100,$K49),0))</f>
        <v>0</v>
      </c>
      <c r="C49" s="102">
        <f>IF($H49=0,0,ROUNDUP(MAX($I49*'02_Assumptions'!$C$6/100*(1+$J49*3),$K49*4),0))</f>
        <v>0</v>
      </c>
      <c r="D49" s="67">
        <v>0</v>
      </c>
      <c r="E49" s="67">
        <v>0.15</v>
      </c>
      <c r="F49" s="97">
        <f t="shared" si="3"/>
        <v>0</v>
      </c>
      <c r="G49" s="97">
        <f t="shared" si="4"/>
        <v>0</v>
      </c>
      <c r="H49" s="67">
        <v>0</v>
      </c>
      <c r="I49" s="67">
        <v>0</v>
      </c>
      <c r="J49" s="68">
        <v>0</v>
      </c>
      <c r="K49" s="67">
        <v>0</v>
      </c>
    </row>
  </sheetData>
  <mergeCells count="7">
    <mergeCell ref="A37:K37"/>
    <mergeCell ref="A42:K42"/>
    <mergeCell ref="A1:K1"/>
    <mergeCell ref="A2:K2"/>
    <mergeCell ref="A24:G24"/>
    <mergeCell ref="A34:E34"/>
    <mergeCell ref="A4:K4"/>
  </mergeCells>
  <dataValidations count="1">
    <dataValidation type="list" sqref="H26:H33 H44:H49" xr:uid="{00000000-0002-0000-0900-000000000000}">
      <formula1>"0,1"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5"/>
  <sheetViews>
    <sheetView showGridLines="0" workbookViewId="0"/>
  </sheetViews>
  <sheetFormatPr defaultRowHeight="13.5"/>
  <cols>
    <col min="1" max="1" width="32" customWidth="1"/>
    <col min="2" max="11" width="16" customWidth="1"/>
  </cols>
  <sheetData>
    <row r="1" spans="1:11" ht="28.05" customHeight="1">
      <c r="A1" s="206" t="s">
        <v>1249</v>
      </c>
      <c r="B1" s="206"/>
      <c r="C1" s="206"/>
      <c r="D1" s="206"/>
      <c r="E1" s="206"/>
      <c r="F1" s="206"/>
      <c r="G1" s="206"/>
      <c r="H1" s="206"/>
      <c r="I1" s="206"/>
      <c r="J1" s="206"/>
      <c r="K1" s="206"/>
    </row>
    <row r="2" spans="1:11" ht="38" customHeight="1">
      <c r="A2" s="207" t="s">
        <v>1250</v>
      </c>
      <c r="B2" s="207"/>
      <c r="C2" s="207"/>
      <c r="D2" s="207"/>
      <c r="E2" s="207"/>
      <c r="F2" s="207"/>
      <c r="G2" s="207"/>
      <c r="H2" s="207"/>
      <c r="I2" s="207"/>
      <c r="J2" s="207"/>
      <c r="K2" s="207"/>
    </row>
    <row r="3" spans="1:11">
      <c r="A3" s="16"/>
      <c r="B3" s="16"/>
      <c r="C3" s="16"/>
      <c r="D3" s="16"/>
      <c r="E3" s="16"/>
      <c r="F3" s="16"/>
      <c r="G3" s="16"/>
      <c r="H3" s="16"/>
      <c r="I3" s="16"/>
      <c r="J3" s="16"/>
      <c r="K3" s="16"/>
    </row>
    <row r="4" spans="1:11" ht="30" customHeight="1">
      <c r="A4" s="2" t="s">
        <v>82</v>
      </c>
      <c r="B4" s="3" t="s">
        <v>440</v>
      </c>
      <c r="C4" s="3" t="s">
        <v>441</v>
      </c>
      <c r="D4" s="3" t="s">
        <v>442</v>
      </c>
      <c r="E4" s="3" t="s">
        <v>443</v>
      </c>
      <c r="F4" s="3" t="s">
        <v>444</v>
      </c>
      <c r="G4" s="3" t="s">
        <v>445</v>
      </c>
      <c r="H4" s="3" t="s">
        <v>446</v>
      </c>
      <c r="I4" s="3" t="s">
        <v>447</v>
      </c>
      <c r="J4" s="3" t="s">
        <v>448</v>
      </c>
      <c r="K4" s="4" t="s">
        <v>449</v>
      </c>
    </row>
    <row r="5" spans="1:11">
      <c r="A5" s="17" t="s">
        <v>1251</v>
      </c>
      <c r="B5" s="25">
        <f>'04_Planting_Design'!$D$26*'02_Assumptions'!$B$123</f>
        <v>40480</v>
      </c>
      <c r="C5" s="25">
        <f>'04_Planting_Design'!$D$26*'02_Assumptions'!$C$123</f>
        <v>36432</v>
      </c>
      <c r="D5" s="25">
        <f>'04_Planting_Design'!$D$26*'02_Assumptions'!$D$123</f>
        <v>28336</v>
      </c>
      <c r="E5" s="25">
        <f>'04_Planting_Design'!$D$26*'02_Assumptions'!$E$123</f>
        <v>18216</v>
      </c>
      <c r="F5" s="25">
        <f>'04_Planting_Design'!$D$26*'02_Assumptions'!$F$123</f>
        <v>10120</v>
      </c>
      <c r="G5" s="25">
        <f>'04_Planting_Design'!$D$26*'02_Assumptions'!$G$123</f>
        <v>6072</v>
      </c>
      <c r="H5" s="25">
        <f>'04_Planting_Design'!$D$26*'02_Assumptions'!$H$123</f>
        <v>4048</v>
      </c>
      <c r="I5" s="25">
        <f>'04_Planting_Design'!$D$26*'02_Assumptions'!$I$123</f>
        <v>4048</v>
      </c>
      <c r="J5" s="25">
        <f>'04_Planting_Design'!$D$26*'02_Assumptions'!$J$123</f>
        <v>4048</v>
      </c>
      <c r="K5" s="25">
        <f>'04_Planting_Design'!$D$26*'02_Assumptions'!$K$123</f>
        <v>4048</v>
      </c>
    </row>
    <row r="6" spans="1:11">
      <c r="A6" s="17" t="s">
        <v>1252</v>
      </c>
      <c r="B6" s="25">
        <f>'02_Assumptions'!$B$124</f>
        <v>18</v>
      </c>
      <c r="C6" s="25">
        <f>'02_Assumptions'!$C$124</f>
        <v>20</v>
      </c>
      <c r="D6" s="25">
        <f>'02_Assumptions'!$D$124</f>
        <v>20</v>
      </c>
      <c r="E6" s="25">
        <f>'02_Assumptions'!$E$124</f>
        <v>19</v>
      </c>
      <c r="F6" s="25">
        <f>'02_Assumptions'!$F$124</f>
        <v>18</v>
      </c>
      <c r="G6" s="25">
        <f>'02_Assumptions'!$G$124</f>
        <v>18</v>
      </c>
      <c r="H6" s="25">
        <f>'02_Assumptions'!$H$124</f>
        <v>18</v>
      </c>
      <c r="I6" s="25">
        <f>'02_Assumptions'!$I$124</f>
        <v>18</v>
      </c>
      <c r="J6" s="25">
        <f>'02_Assumptions'!$J$124</f>
        <v>18</v>
      </c>
      <c r="K6" s="25">
        <f>'02_Assumptions'!$K$124</f>
        <v>18</v>
      </c>
    </row>
    <row r="7" spans="1:11">
      <c r="A7" s="17" t="s">
        <v>1253</v>
      </c>
      <c r="B7" s="25">
        <f>B5*B6*'02_Assumptions'!$C$45</f>
        <v>619344</v>
      </c>
      <c r="C7" s="25">
        <f>C5*C6*'02_Assumptions'!$C$45</f>
        <v>619344</v>
      </c>
      <c r="D7" s="25">
        <f>D5*D6*'02_Assumptions'!$C$45</f>
        <v>481712</v>
      </c>
      <c r="E7" s="25">
        <f>E5*E6*'02_Assumptions'!$C$45</f>
        <v>294188.39999999997</v>
      </c>
      <c r="F7" s="25">
        <f>F5*F6*'02_Assumptions'!$C$45</f>
        <v>154836</v>
      </c>
      <c r="G7" s="25">
        <f>G5*G6*'02_Assumptions'!$C$45</f>
        <v>92901.599999999991</v>
      </c>
      <c r="H7" s="25">
        <f>H5*H6*'02_Assumptions'!$C$45</f>
        <v>61934.400000000001</v>
      </c>
      <c r="I7" s="25">
        <f>I5*I6*'02_Assumptions'!$C$45</f>
        <v>61934.400000000001</v>
      </c>
      <c r="J7" s="25">
        <f>J5*J6*'02_Assumptions'!$C$45</f>
        <v>61934.400000000001</v>
      </c>
      <c r="K7" s="25">
        <f>K5*K6*'02_Assumptions'!$C$45</f>
        <v>61934.400000000001</v>
      </c>
    </row>
    <row r="8" spans="1:11">
      <c r="A8" s="17" t="s">
        <v>1254</v>
      </c>
      <c r="B8" s="23">
        <f>'02_Assumptions'!$C$48*(1+'02_Assumptions'!$C$12)^0*(1+IF(1&gt;='02_Assumptions'!$C$17+'02_Assumptions'!$C$18+1,'02_Assumptions'!$C$19,0))</f>
        <v>6000</v>
      </c>
      <c r="C8" s="23">
        <f>'02_Assumptions'!$C$48*(1+'02_Assumptions'!$C$12)^1*(1+IF(2&gt;='02_Assumptions'!$C$17+'02_Assumptions'!$C$18+1,'02_Assumptions'!$C$19,0))</f>
        <v>6180</v>
      </c>
      <c r="D8" s="23">
        <f>'02_Assumptions'!$C$48*(1+'02_Assumptions'!$C$12)^2*(1+IF(3&gt;='02_Assumptions'!$C$17+'02_Assumptions'!$C$18+1,'02_Assumptions'!$C$19,0))</f>
        <v>6365.4</v>
      </c>
      <c r="E8" s="23">
        <f>'02_Assumptions'!$C$48*(1+'02_Assumptions'!$C$12)^3*(1+IF(4&gt;='02_Assumptions'!$C$17+'02_Assumptions'!$C$18+1,'02_Assumptions'!$C$19,0))</f>
        <v>6556.3620000000001</v>
      </c>
      <c r="F8" s="23">
        <f>'02_Assumptions'!$C$48*(1+'02_Assumptions'!$C$12)^4*(1+IF(5&gt;='02_Assumptions'!$C$17+'02_Assumptions'!$C$18+1,'02_Assumptions'!$C$19,0))</f>
        <v>6753.0528599999998</v>
      </c>
      <c r="G8" s="23">
        <f>'02_Assumptions'!$C$48*(1+'02_Assumptions'!$C$12)^5*(1+IF(6&gt;='02_Assumptions'!$C$17+'02_Assumptions'!$C$18+1,'02_Assumptions'!$C$19,0))</f>
        <v>6955.6444457999987</v>
      </c>
      <c r="H8" s="23">
        <f>'02_Assumptions'!$C$48*(1+'02_Assumptions'!$C$12)^6*(1+IF(7&gt;='02_Assumptions'!$C$17+'02_Assumptions'!$C$18+1,'02_Assumptions'!$C$19,0))</f>
        <v>7164.3137791739991</v>
      </c>
      <c r="I8" s="23">
        <f>'02_Assumptions'!$C$48*(1+'02_Assumptions'!$C$12)^7*(1+IF(8&gt;='02_Assumptions'!$C$17+'02_Assumptions'!$C$18+1,'02_Assumptions'!$C$19,0))</f>
        <v>7379.2431925492201</v>
      </c>
      <c r="J8" s="23">
        <f>'02_Assumptions'!$C$48*(1+'02_Assumptions'!$C$12)^8*(1+IF(9&gt;='02_Assumptions'!$C$17+'02_Assumptions'!$C$18+1,'02_Assumptions'!$C$19,0))</f>
        <v>7600.620488325696</v>
      </c>
      <c r="K8" s="23">
        <f>'02_Assumptions'!$C$48*(1+'02_Assumptions'!$C$12)^9*(1+IF(10&gt;='02_Assumptions'!$C$17+'02_Assumptions'!$C$18+1,'02_Assumptions'!$C$19,0))</f>
        <v>7828.6391029754668</v>
      </c>
    </row>
    <row r="9" spans="1:11">
      <c r="A9" s="36" t="s">
        <v>1255</v>
      </c>
      <c r="B9" s="36">
        <f t="shared" ref="B9:K9" si="0">B7*B8</f>
        <v>3716064000</v>
      </c>
      <c r="C9" s="36">
        <f t="shared" si="0"/>
        <v>3827545920</v>
      </c>
      <c r="D9" s="36">
        <f t="shared" si="0"/>
        <v>3066289564.7999997</v>
      </c>
      <c r="E9" s="36">
        <f t="shared" si="0"/>
        <v>1928805646.6007998</v>
      </c>
      <c r="F9" s="36">
        <f t="shared" si="0"/>
        <v>1045615692.63096</v>
      </c>
      <c r="G9" s="36">
        <f t="shared" si="0"/>
        <v>646190498.04593313</v>
      </c>
      <c r="H9" s="36">
        <f t="shared" si="0"/>
        <v>443717475.32487416</v>
      </c>
      <c r="I9" s="36">
        <f t="shared" si="0"/>
        <v>457028999.58462042</v>
      </c>
      <c r="J9" s="36">
        <f t="shared" si="0"/>
        <v>470739869.57215899</v>
      </c>
      <c r="K9" s="36">
        <f t="shared" si="0"/>
        <v>484862065.65932375</v>
      </c>
    </row>
    <row r="10" spans="1:11">
      <c r="A10" s="17" t="s">
        <v>1256</v>
      </c>
      <c r="B10" s="25">
        <f>'04_Planting_Design'!$D$24</f>
        <v>6938.7999999999993</v>
      </c>
      <c r="C10" s="25">
        <f>'04_Planting_Design'!$D$24</f>
        <v>6938.7999999999993</v>
      </c>
      <c r="D10" s="25">
        <f>'04_Planting_Design'!$D$24</f>
        <v>6938.7999999999993</v>
      </c>
      <c r="E10" s="25">
        <f>'04_Planting_Design'!$D$24</f>
        <v>6938.7999999999993</v>
      </c>
      <c r="F10" s="25">
        <f>'04_Planting_Design'!$D$24</f>
        <v>6938.7999999999993</v>
      </c>
      <c r="G10" s="25">
        <f>'04_Planting_Design'!$D$24</f>
        <v>6938.7999999999993</v>
      </c>
      <c r="H10" s="25">
        <f>'04_Planting_Design'!$D$24</f>
        <v>6938.7999999999993</v>
      </c>
      <c r="I10" s="25">
        <f>'04_Planting_Design'!$D$24</f>
        <v>6938.7999999999993</v>
      </c>
      <c r="J10" s="25">
        <f>'04_Planting_Design'!$D$24</f>
        <v>6938.7999999999993</v>
      </c>
      <c r="K10" s="25">
        <f>'04_Planting_Design'!$D$24</f>
        <v>6938.7999999999993</v>
      </c>
    </row>
    <row r="11" spans="1:11">
      <c r="A11" s="17" t="s">
        <v>1257</v>
      </c>
      <c r="B11" s="25">
        <f>'02_Assumptions'!$B$125</f>
        <v>0</v>
      </c>
      <c r="C11" s="25">
        <f>'02_Assumptions'!$C$125</f>
        <v>0</v>
      </c>
      <c r="D11" s="25">
        <f>'02_Assumptions'!$D$125</f>
        <v>15</v>
      </c>
      <c r="E11" s="25">
        <f>'02_Assumptions'!$E$125</f>
        <v>35</v>
      </c>
      <c r="F11" s="25">
        <f>'02_Assumptions'!$F$125</f>
        <v>60</v>
      </c>
      <c r="G11" s="25">
        <f>'02_Assumptions'!$G$125</f>
        <v>80</v>
      </c>
      <c r="H11" s="25">
        <f>'02_Assumptions'!$H$125</f>
        <v>100</v>
      </c>
      <c r="I11" s="25">
        <f>'02_Assumptions'!$I$125</f>
        <v>110</v>
      </c>
      <c r="J11" s="25">
        <f>'02_Assumptions'!$J$125</f>
        <v>110</v>
      </c>
      <c r="K11" s="25">
        <f>'02_Assumptions'!$K$125</f>
        <v>110</v>
      </c>
    </row>
    <row r="12" spans="1:11">
      <c r="A12" s="17" t="s">
        <v>1258</v>
      </c>
      <c r="B12" s="25">
        <f>B10*B11*'02_Assumptions'!$C$43</f>
        <v>0</v>
      </c>
      <c r="C12" s="25">
        <f>C10*C11*'02_Assumptions'!$C$43</f>
        <v>0</v>
      </c>
      <c r="D12" s="25">
        <f>D10*D11*'02_Assumptions'!$C$43</f>
        <v>93673.799999999988</v>
      </c>
      <c r="E12" s="25">
        <f>E10*E11*'02_Assumptions'!$C$43</f>
        <v>218572.19999999998</v>
      </c>
      <c r="F12" s="25">
        <f>F10*F11*'02_Assumptions'!$C$43</f>
        <v>374695.19999999995</v>
      </c>
      <c r="G12" s="25">
        <f>G10*G11*'02_Assumptions'!$C$43</f>
        <v>499593.60000000003</v>
      </c>
      <c r="H12" s="25">
        <f>H10*H11*'02_Assumptions'!$C$43</f>
        <v>624491.99999999988</v>
      </c>
      <c r="I12" s="25">
        <f>I10*I11*'02_Assumptions'!$C$43</f>
        <v>686941.2</v>
      </c>
      <c r="J12" s="25">
        <f>J10*J11*'02_Assumptions'!$C$43</f>
        <v>686941.2</v>
      </c>
      <c r="K12" s="25">
        <f>K10*K11*'02_Assumptions'!$C$43</f>
        <v>686941.2</v>
      </c>
    </row>
    <row r="13" spans="1:11">
      <c r="A13" s="17" t="s">
        <v>1259</v>
      </c>
      <c r="B13" s="23">
        <f>'02_Assumptions'!$C$46*(1+'02_Assumptions'!$C$12)^0*(1+IF(1&gt;='02_Assumptions'!$C$17+'02_Assumptions'!$C$18+1,'02_Assumptions'!$C$19,0))</f>
        <v>3000</v>
      </c>
      <c r="C13" s="23">
        <f>'02_Assumptions'!$C$46*(1+'02_Assumptions'!$C$12)^1*(1+IF(2&gt;='02_Assumptions'!$C$17+'02_Assumptions'!$C$18+1,'02_Assumptions'!$C$19,0))</f>
        <v>3090</v>
      </c>
      <c r="D13" s="23">
        <f>'02_Assumptions'!$C$46*(1+'02_Assumptions'!$C$12)^2*(1+IF(3&gt;='02_Assumptions'!$C$17+'02_Assumptions'!$C$18+1,'02_Assumptions'!$C$19,0))</f>
        <v>3182.7</v>
      </c>
      <c r="E13" s="23">
        <f>'02_Assumptions'!$C$46*(1+'02_Assumptions'!$C$12)^3*(1+IF(4&gt;='02_Assumptions'!$C$17+'02_Assumptions'!$C$18+1,'02_Assumptions'!$C$19,0))</f>
        <v>3278.181</v>
      </c>
      <c r="F13" s="23">
        <f>'02_Assumptions'!$C$46*(1+'02_Assumptions'!$C$12)^4*(1+IF(5&gt;='02_Assumptions'!$C$17+'02_Assumptions'!$C$18+1,'02_Assumptions'!$C$19,0))</f>
        <v>3376.5264299999999</v>
      </c>
      <c r="G13" s="23">
        <f>'02_Assumptions'!$C$46*(1+'02_Assumptions'!$C$12)^5*(1+IF(6&gt;='02_Assumptions'!$C$17+'02_Assumptions'!$C$18+1,'02_Assumptions'!$C$19,0))</f>
        <v>3477.8222228999994</v>
      </c>
      <c r="H13" s="23">
        <f>'02_Assumptions'!$C$46*(1+'02_Assumptions'!$C$12)^6*(1+IF(7&gt;='02_Assumptions'!$C$17+'02_Assumptions'!$C$18+1,'02_Assumptions'!$C$19,0))</f>
        <v>3582.1568895869996</v>
      </c>
      <c r="I13" s="23">
        <f>'02_Assumptions'!$C$46*(1+'02_Assumptions'!$C$12)^7*(1+IF(8&gt;='02_Assumptions'!$C$17+'02_Assumptions'!$C$18+1,'02_Assumptions'!$C$19,0))</f>
        <v>3689.6215962746101</v>
      </c>
      <c r="J13" s="23">
        <f>'02_Assumptions'!$C$46*(1+'02_Assumptions'!$C$12)^8*(1+IF(9&gt;='02_Assumptions'!$C$17+'02_Assumptions'!$C$18+1,'02_Assumptions'!$C$19,0))</f>
        <v>3800.310244162848</v>
      </c>
      <c r="K13" s="23">
        <f>'02_Assumptions'!$C$46*(1+'02_Assumptions'!$C$12)^9*(1+IF(10&gt;='02_Assumptions'!$C$17+'02_Assumptions'!$C$18+1,'02_Assumptions'!$C$19,0))</f>
        <v>3914.3195514877334</v>
      </c>
    </row>
    <row r="14" spans="1:11">
      <c r="A14" s="36" t="s">
        <v>1260</v>
      </c>
      <c r="B14" s="36">
        <f t="shared" ref="B14:K14" si="1">B12*B13</f>
        <v>0</v>
      </c>
      <c r="C14" s="36">
        <f t="shared" si="1"/>
        <v>0</v>
      </c>
      <c r="D14" s="36">
        <f t="shared" si="1"/>
        <v>298135603.25999993</v>
      </c>
      <c r="E14" s="36">
        <f t="shared" si="1"/>
        <v>716519233.1681999</v>
      </c>
      <c r="F14" s="36">
        <f t="shared" si="1"/>
        <v>1265168245.9941359</v>
      </c>
      <c r="G14" s="36">
        <f t="shared" si="1"/>
        <v>1737497724.4986134</v>
      </c>
      <c r="H14" s="36">
        <f t="shared" si="1"/>
        <v>2237028320.2919641</v>
      </c>
      <c r="I14" s="36">
        <f t="shared" si="1"/>
        <v>2534553086.8907962</v>
      </c>
      <c r="J14" s="36">
        <f t="shared" si="1"/>
        <v>2610589679.4975195</v>
      </c>
      <c r="K14" s="36">
        <f t="shared" si="1"/>
        <v>2688907369.8824453</v>
      </c>
    </row>
    <row r="15" spans="1:11">
      <c r="A15" s="17" t="s">
        <v>1261</v>
      </c>
      <c r="B15" s="25">
        <f>'04_Planting_Design'!$D$25</f>
        <v>2376</v>
      </c>
      <c r="C15" s="25">
        <f>'04_Planting_Design'!$D$25</f>
        <v>2376</v>
      </c>
      <c r="D15" s="25">
        <f>'04_Planting_Design'!$D$25</f>
        <v>2376</v>
      </c>
      <c r="E15" s="25">
        <f>'04_Planting_Design'!$D$25</f>
        <v>2376</v>
      </c>
      <c r="F15" s="25">
        <f>'04_Planting_Design'!$D$25</f>
        <v>2376</v>
      </c>
      <c r="G15" s="25">
        <f>'04_Planting_Design'!$D$25</f>
        <v>2376</v>
      </c>
      <c r="H15" s="25">
        <f>'04_Planting_Design'!$D$25</f>
        <v>2376</v>
      </c>
      <c r="I15" s="25">
        <f>'04_Planting_Design'!$D$25</f>
        <v>2376</v>
      </c>
      <c r="J15" s="25">
        <f>'04_Planting_Design'!$D$25</f>
        <v>2376</v>
      </c>
      <c r="K15" s="25">
        <f>'04_Planting_Design'!$D$25</f>
        <v>2376</v>
      </c>
    </row>
    <row r="16" spans="1:11">
      <c r="A16" s="17" t="s">
        <v>1262</v>
      </c>
      <c r="B16" s="25">
        <f>'02_Assumptions'!$B$126</f>
        <v>0</v>
      </c>
      <c r="C16" s="25">
        <f>'02_Assumptions'!$C$126</f>
        <v>0</v>
      </c>
      <c r="D16" s="25">
        <f>'02_Assumptions'!$D$126</f>
        <v>0</v>
      </c>
      <c r="E16" s="25">
        <f>'02_Assumptions'!$E$126</f>
        <v>0</v>
      </c>
      <c r="F16" s="25">
        <f>'02_Assumptions'!$F$126</f>
        <v>10</v>
      </c>
      <c r="G16" s="25">
        <f>'02_Assumptions'!$G$126</f>
        <v>25</v>
      </c>
      <c r="H16" s="25">
        <f>'02_Assumptions'!$H$126</f>
        <v>45</v>
      </c>
      <c r="I16" s="25">
        <f>'02_Assumptions'!$I$126</f>
        <v>65</v>
      </c>
      <c r="J16" s="25">
        <f>'02_Assumptions'!$J$126</f>
        <v>85</v>
      </c>
      <c r="K16" s="25">
        <f>'02_Assumptions'!$K$126</f>
        <v>100</v>
      </c>
    </row>
    <row r="17" spans="1:11">
      <c r="A17" s="17" t="s">
        <v>1263</v>
      </c>
      <c r="B17" s="25">
        <f>B15*B16*'02_Assumptions'!$C$44</f>
        <v>0</v>
      </c>
      <c r="C17" s="25">
        <f>C15*C16*'02_Assumptions'!$C$44</f>
        <v>0</v>
      </c>
      <c r="D17" s="25">
        <f>D15*D16*'02_Assumptions'!$C$44</f>
        <v>0</v>
      </c>
      <c r="E17" s="25">
        <f>E15*E16*'02_Assumptions'!$C$44</f>
        <v>0</v>
      </c>
      <c r="F17" s="25">
        <f>F15*F16*'02_Assumptions'!$C$44</f>
        <v>20196</v>
      </c>
      <c r="G17" s="25">
        <f>G15*G16*'02_Assumptions'!$C$44</f>
        <v>50490</v>
      </c>
      <c r="H17" s="25">
        <f>H15*H16*'02_Assumptions'!$C$44</f>
        <v>90882</v>
      </c>
      <c r="I17" s="25">
        <f>I15*I16*'02_Assumptions'!$C$44</f>
        <v>131274</v>
      </c>
      <c r="J17" s="25">
        <f>J15*J16*'02_Assumptions'!$C$44</f>
        <v>171666</v>
      </c>
      <c r="K17" s="25">
        <f>K15*K16*'02_Assumptions'!$C$44</f>
        <v>201960</v>
      </c>
    </row>
    <row r="18" spans="1:11">
      <c r="A18" s="17" t="s">
        <v>1264</v>
      </c>
      <c r="B18" s="23">
        <f>'02_Assumptions'!$C$47*(1+'02_Assumptions'!$C$12)^0*(1+IF(1&gt;='02_Assumptions'!$C$17+'02_Assumptions'!$C$18+1,'02_Assumptions'!$C$19,0))</f>
        <v>35000</v>
      </c>
      <c r="C18" s="23">
        <f>'02_Assumptions'!$C$47*(1+'02_Assumptions'!$C$12)^1*(1+IF(2&gt;='02_Assumptions'!$C$17+'02_Assumptions'!$C$18+1,'02_Assumptions'!$C$19,0))</f>
        <v>36050</v>
      </c>
      <c r="D18" s="23">
        <f>'02_Assumptions'!$C$47*(1+'02_Assumptions'!$C$12)^2*(1+IF(3&gt;='02_Assumptions'!$C$17+'02_Assumptions'!$C$18+1,'02_Assumptions'!$C$19,0))</f>
        <v>37131.5</v>
      </c>
      <c r="E18" s="23">
        <f>'02_Assumptions'!$C$47*(1+'02_Assumptions'!$C$12)^3*(1+IF(4&gt;='02_Assumptions'!$C$17+'02_Assumptions'!$C$18+1,'02_Assumptions'!$C$19,0))</f>
        <v>38245.445</v>
      </c>
      <c r="F18" s="23">
        <f>'02_Assumptions'!$C$47*(1+'02_Assumptions'!$C$12)^4*(1+IF(5&gt;='02_Assumptions'!$C$17+'02_Assumptions'!$C$18+1,'02_Assumptions'!$C$19,0))</f>
        <v>39392.808349999999</v>
      </c>
      <c r="G18" s="23">
        <f>'02_Assumptions'!$C$47*(1+'02_Assumptions'!$C$12)^5*(1+IF(6&gt;='02_Assumptions'!$C$17+'02_Assumptions'!$C$18+1,'02_Assumptions'!$C$19,0))</f>
        <v>40574.592600499993</v>
      </c>
      <c r="H18" s="23">
        <f>'02_Assumptions'!$C$47*(1+'02_Assumptions'!$C$12)^6*(1+IF(7&gt;='02_Assumptions'!$C$17+'02_Assumptions'!$C$18+1,'02_Assumptions'!$C$19,0))</f>
        <v>41791.830378514998</v>
      </c>
      <c r="I18" s="23">
        <f>'02_Assumptions'!$C$47*(1+'02_Assumptions'!$C$12)^7*(1+IF(8&gt;='02_Assumptions'!$C$17+'02_Assumptions'!$C$18+1,'02_Assumptions'!$C$19,0))</f>
        <v>43045.585289870447</v>
      </c>
      <c r="J18" s="23">
        <f>'02_Assumptions'!$C$47*(1+'02_Assumptions'!$C$12)^8*(1+IF(9&gt;='02_Assumptions'!$C$17+'02_Assumptions'!$C$18+1,'02_Assumptions'!$C$19,0))</f>
        <v>44336.952848566558</v>
      </c>
      <c r="K18" s="23">
        <f>'02_Assumptions'!$C$47*(1+'02_Assumptions'!$C$12)^9*(1+IF(10&gt;='02_Assumptions'!$C$17+'02_Assumptions'!$C$18+1,'02_Assumptions'!$C$19,0))</f>
        <v>45667.061434023555</v>
      </c>
    </row>
    <row r="19" spans="1:11">
      <c r="A19" s="36" t="s">
        <v>1265</v>
      </c>
      <c r="B19" s="36">
        <f t="shared" ref="B19:K19" si="2">B17*B18</f>
        <v>0</v>
      </c>
      <c r="C19" s="36">
        <f t="shared" si="2"/>
        <v>0</v>
      </c>
      <c r="D19" s="36">
        <f t="shared" si="2"/>
        <v>0</v>
      </c>
      <c r="E19" s="36">
        <f t="shared" si="2"/>
        <v>0</v>
      </c>
      <c r="F19" s="36">
        <f t="shared" si="2"/>
        <v>795577157.43659997</v>
      </c>
      <c r="G19" s="36">
        <f t="shared" si="2"/>
        <v>2048611180.3992445</v>
      </c>
      <c r="H19" s="36">
        <f t="shared" si="2"/>
        <v>3798125128.4602003</v>
      </c>
      <c r="I19" s="36">
        <f t="shared" si="2"/>
        <v>5650766163.342453</v>
      </c>
      <c r="J19" s="36">
        <f t="shared" si="2"/>
        <v>7611147347.7020264</v>
      </c>
      <c r="K19" s="36">
        <f t="shared" si="2"/>
        <v>9222919727.2153969</v>
      </c>
    </row>
    <row r="20" spans="1:11">
      <c r="A20" s="17" t="s">
        <v>1266</v>
      </c>
      <c r="B20" s="23">
        <f>'17_Model_Fleksibel'!$P$34+'17_Model_Fleksibel'!$H$116</f>
        <v>1458600000</v>
      </c>
      <c r="C20" s="23">
        <f>'17_Model_Fleksibel'!$Q$34+'17_Model_Fleksibel'!$I$116</f>
        <v>924528000</v>
      </c>
      <c r="D20" s="23">
        <f>'17_Model_Fleksibel'!$R$34+'17_Model_Fleksibel'!$J$116</f>
        <v>0</v>
      </c>
      <c r="E20" s="23">
        <f>'17_Model_Fleksibel'!$S$34+'17_Model_Fleksibel'!$K$116</f>
        <v>0</v>
      </c>
      <c r="F20" s="23">
        <f>'17_Model_Fleksibel'!$T$34+'17_Model_Fleksibel'!$L$116</f>
        <v>0</v>
      </c>
      <c r="G20" s="23">
        <f>'17_Model_Fleksibel'!$U$34+'17_Model_Fleksibel'!$M$116</f>
        <v>0</v>
      </c>
      <c r="H20" s="23">
        <f>'17_Model_Fleksibel'!$V$34+'17_Model_Fleksibel'!$N$116</f>
        <v>0</v>
      </c>
      <c r="I20" s="23">
        <f>'17_Model_Fleksibel'!$W$34+'17_Model_Fleksibel'!$O$116</f>
        <v>0</v>
      </c>
      <c r="J20" s="23">
        <f>'17_Model_Fleksibel'!$X$34+'17_Model_Fleksibel'!$P$116</f>
        <v>0</v>
      </c>
      <c r="K20" s="23">
        <f>'17_Model_Fleksibel'!$Y$34+'17_Model_Fleksibel'!$Q$116</f>
        <v>0</v>
      </c>
    </row>
    <row r="21" spans="1:11">
      <c r="A21" s="36" t="s">
        <v>1267</v>
      </c>
      <c r="B21" s="36">
        <f t="shared" ref="B21:K21" si="3">SUM(B9,B14,B19,B20)</f>
        <v>5174664000</v>
      </c>
      <c r="C21" s="36">
        <f t="shared" si="3"/>
        <v>4752073920</v>
      </c>
      <c r="D21" s="36">
        <f t="shared" si="3"/>
        <v>3364425168.0599995</v>
      </c>
      <c r="E21" s="36">
        <f t="shared" si="3"/>
        <v>2645324879.7689996</v>
      </c>
      <c r="F21" s="36">
        <f t="shared" si="3"/>
        <v>3106361096.0616961</v>
      </c>
      <c r="G21" s="36">
        <f t="shared" si="3"/>
        <v>4432299402.9437914</v>
      </c>
      <c r="H21" s="36">
        <f t="shared" si="3"/>
        <v>6478870924.0770388</v>
      </c>
      <c r="I21" s="36">
        <f t="shared" si="3"/>
        <v>8642348249.8178692</v>
      </c>
      <c r="J21" s="36">
        <f t="shared" si="3"/>
        <v>10692476896.771706</v>
      </c>
      <c r="K21" s="36">
        <f t="shared" si="3"/>
        <v>12396689162.757166</v>
      </c>
    </row>
    <row r="22" spans="1:11">
      <c r="A22" s="17" t="s">
        <v>1268</v>
      </c>
      <c r="B22" s="23">
        <f>B7*'02_Assumptions'!$C$115*(1+'02_Assumptions'!$C$11)^0</f>
        <v>495475200</v>
      </c>
      <c r="C22" s="23">
        <f>C7*'02_Assumptions'!$C$115*(1+'02_Assumptions'!$C$11)^1</f>
        <v>515294208</v>
      </c>
      <c r="D22" s="23">
        <f>D7*'02_Assumptions'!$C$115*(1+'02_Assumptions'!$C$11)^2</f>
        <v>416815759.36000007</v>
      </c>
      <c r="E22" s="23">
        <f>E7*'02_Assumptions'!$C$115*(1+'02_Assumptions'!$C$11)^3</f>
        <v>264737552.30207998</v>
      </c>
      <c r="F22" s="23">
        <f>F7*'02_Assumptions'!$C$115*(1+'02_Assumptions'!$C$11)^4</f>
        <v>144908975.99692804</v>
      </c>
      <c r="G22" s="23">
        <f>G7*'02_Assumptions'!$C$115*(1+'02_Assumptions'!$C$11)^5</f>
        <v>90423201.022083104</v>
      </c>
      <c r="H22" s="23">
        <f>H7*'02_Assumptions'!$C$115*(1+'02_Assumptions'!$C$11)^6</f>
        <v>62693419.37531095</v>
      </c>
      <c r="I22" s="23">
        <f>I7*'02_Assumptions'!$C$115*(1+'02_Assumptions'!$C$11)^7</f>
        <v>65201156.150323384</v>
      </c>
      <c r="J22" s="23">
        <f>J7*'02_Assumptions'!$C$115*(1+'02_Assumptions'!$C$11)^8</f>
        <v>67809202.396336332</v>
      </c>
      <c r="K22" s="23">
        <f>K7*'02_Assumptions'!$C$115*(1+'02_Assumptions'!$C$11)^9</f>
        <v>70521570.49218978</v>
      </c>
    </row>
    <row r="23" spans="1:11">
      <c r="A23" s="17" t="s">
        <v>1269</v>
      </c>
      <c r="B23" s="23">
        <f>B12*'02_Assumptions'!$C$116*(1+'02_Assumptions'!$C$11)^0</f>
        <v>0</v>
      </c>
      <c r="C23" s="23">
        <f>C12*'02_Assumptions'!$C$116*(1+'02_Assumptions'!$C$11)^1</f>
        <v>0</v>
      </c>
      <c r="D23" s="23">
        <f>D12*'02_Assumptions'!$C$116*(1+'02_Assumptions'!$C$11)^2</f>
        <v>50658791.039999999</v>
      </c>
      <c r="E23" s="23">
        <f>E12*'02_Assumptions'!$C$116*(1+'02_Assumptions'!$C$11)^3</f>
        <v>122931999.5904</v>
      </c>
      <c r="F23" s="23">
        <f>F12*'02_Assumptions'!$C$116*(1+'02_Assumptions'!$C$11)^4</f>
        <v>219170193.55545601</v>
      </c>
      <c r="G23" s="23">
        <f>G12*'02_Assumptions'!$C$116*(1+'02_Assumptions'!$C$11)^5</f>
        <v>303916001.73023242</v>
      </c>
      <c r="H23" s="23">
        <f>H12*'02_Assumptions'!$C$116*(1+'02_Assumptions'!$C$11)^6</f>
        <v>395090802.24930203</v>
      </c>
      <c r="I23" s="23">
        <f>I12*'02_Assumptions'!$C$116*(1+'02_Assumptions'!$C$11)^7</f>
        <v>451983877.77320158</v>
      </c>
      <c r="J23" s="23">
        <f>J12*'02_Assumptions'!$C$116*(1+'02_Assumptions'!$C$11)^8</f>
        <v>470063232.88412976</v>
      </c>
      <c r="K23" s="23">
        <f>K12*'02_Assumptions'!$C$116*(1+'02_Assumptions'!$C$11)^9</f>
        <v>488865762.19949496</v>
      </c>
    </row>
    <row r="24" spans="1:11">
      <c r="A24" s="17" t="s">
        <v>1270</v>
      </c>
      <c r="B24" s="23">
        <f>B17*'02_Assumptions'!$C$117*(1+'02_Assumptions'!$C$11)^0</f>
        <v>0</v>
      </c>
      <c r="C24" s="23">
        <f>C17*'02_Assumptions'!$C$117*(1+'02_Assumptions'!$C$11)^1</f>
        <v>0</v>
      </c>
      <c r="D24" s="23">
        <f>D17*'02_Assumptions'!$C$117*(1+'02_Assumptions'!$C$11)^2</f>
        <v>0</v>
      </c>
      <c r="E24" s="23">
        <f>E17*'02_Assumptions'!$C$117*(1+'02_Assumptions'!$C$11)^3</f>
        <v>0</v>
      </c>
      <c r="F24" s="23">
        <f>F17*'02_Assumptions'!$C$117*(1+'02_Assumptions'!$C$11)^4</f>
        <v>35439695.216640003</v>
      </c>
      <c r="G24" s="23">
        <f>G17*'02_Assumptions'!$C$117*(1+'02_Assumptions'!$C$11)^5</f>
        <v>92143207.563264027</v>
      </c>
      <c r="H24" s="23">
        <f>H17*'02_Assumptions'!$C$117*(1+'02_Assumptions'!$C$11)^6</f>
        <v>172492084.55843025</v>
      </c>
      <c r="I24" s="23">
        <f>I17*'02_Assumptions'!$C$117*(1+'02_Assumptions'!$C$11)^7</f>
        <v>259121442.58110854</v>
      </c>
      <c r="J24" s="23">
        <f>J17*'02_Assumptions'!$C$117*(1+'02_Assumptions'!$C$11)^8</f>
        <v>352405161.91030771</v>
      </c>
      <c r="K24" s="23">
        <f>K17*'02_Assumptions'!$C$117*(1+'02_Assumptions'!$C$11)^9</f>
        <v>431178080.4549647</v>
      </c>
    </row>
    <row r="25" spans="1:11">
      <c r="A25" s="36" t="s">
        <v>1271</v>
      </c>
      <c r="B25" s="36">
        <f>SUM(B22:B24)+'17_Model_Fleksibel'!$Z$35</f>
        <v>738575200</v>
      </c>
      <c r="C25" s="36">
        <f>SUM(C22:C24)+'17_Model_Fleksibel'!$AA$35</f>
        <v>670878208</v>
      </c>
      <c r="D25" s="36">
        <f>SUM(D22:D24)+'17_Model_Fleksibel'!$AB$35</f>
        <v>467474550.4000001</v>
      </c>
      <c r="E25" s="36">
        <f>SUM(E22:E24)+'17_Model_Fleksibel'!$AC$35</f>
        <v>387669551.89247996</v>
      </c>
      <c r="F25" s="36">
        <f>SUM(F22:F24)+'17_Model_Fleksibel'!$AD$35</f>
        <v>399518864.76902401</v>
      </c>
      <c r="G25" s="36">
        <f>SUM(G22:G24)+'17_Model_Fleksibel'!$AE$35</f>
        <v>486482410.31557953</v>
      </c>
      <c r="H25" s="36">
        <f>SUM(H22:H24)+'17_Model_Fleksibel'!$AF$35</f>
        <v>630276306.18304324</v>
      </c>
      <c r="I25" s="36">
        <f>SUM(I22:I24)+'17_Model_Fleksibel'!$AG$35</f>
        <v>776306476.50463355</v>
      </c>
      <c r="J25" s="36">
        <f>SUM(J22:J24)+'17_Model_Fleksibel'!$AH$35</f>
        <v>890277597.19077373</v>
      </c>
      <c r="K25" s="36">
        <f>SUM(K22:K24)+'17_Model_Fleksibel'!$AI$35</f>
        <v>990565413.14664936</v>
      </c>
    </row>
  </sheetData>
  <mergeCells count="2">
    <mergeCell ref="A1:K1"/>
    <mergeCell ref="A2: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workbookViewId="0"/>
  </sheetViews>
  <sheetFormatPr defaultRowHeight="13.5"/>
  <cols>
    <col min="1" max="1" width="31" customWidth="1"/>
    <col min="2" max="12" width="17" customWidth="1"/>
  </cols>
  <sheetData>
    <row r="1" spans="1:12" ht="28.05" customHeight="1">
      <c r="A1" s="206" t="s">
        <v>1272</v>
      </c>
      <c r="B1" s="206"/>
      <c r="C1" s="206"/>
      <c r="D1" s="206"/>
      <c r="E1" s="206"/>
      <c r="F1" s="206"/>
      <c r="G1" s="206"/>
      <c r="H1" s="206"/>
      <c r="I1" s="206"/>
      <c r="J1" s="206"/>
      <c r="K1" s="206"/>
      <c r="L1" s="206"/>
    </row>
    <row r="2" spans="1:12" ht="38" customHeight="1">
      <c r="A2" s="207" t="s">
        <v>1273</v>
      </c>
      <c r="B2" s="207"/>
      <c r="C2" s="207"/>
      <c r="D2" s="207"/>
      <c r="E2" s="207"/>
      <c r="F2" s="207"/>
      <c r="G2" s="207"/>
      <c r="H2" s="207"/>
      <c r="I2" s="207"/>
      <c r="J2" s="207"/>
      <c r="K2" s="207"/>
      <c r="L2" s="207"/>
    </row>
    <row r="3" spans="1:12">
      <c r="A3" s="16"/>
      <c r="B3" s="16"/>
      <c r="C3" s="16"/>
      <c r="D3" s="16"/>
      <c r="E3" s="16"/>
      <c r="F3" s="16"/>
      <c r="G3" s="16"/>
      <c r="H3" s="16"/>
      <c r="I3" s="16"/>
      <c r="J3" s="16"/>
      <c r="K3" s="16"/>
      <c r="L3" s="16"/>
    </row>
    <row r="4" spans="1:12" ht="30" customHeight="1">
      <c r="A4" s="2" t="s">
        <v>82</v>
      </c>
      <c r="B4" s="3" t="s">
        <v>1274</v>
      </c>
      <c r="C4" s="3" t="s">
        <v>440</v>
      </c>
      <c r="D4" s="3" t="s">
        <v>441</v>
      </c>
      <c r="E4" s="3" t="s">
        <v>442</v>
      </c>
      <c r="F4" s="3" t="s">
        <v>443</v>
      </c>
      <c r="G4" s="3" t="s">
        <v>444</v>
      </c>
      <c r="H4" s="3" t="s">
        <v>445</v>
      </c>
      <c r="I4" s="3" t="s">
        <v>446</v>
      </c>
      <c r="J4" s="3" t="s">
        <v>447</v>
      </c>
      <c r="K4" s="3" t="s">
        <v>448</v>
      </c>
      <c r="L4" s="4" t="s">
        <v>449</v>
      </c>
    </row>
    <row r="5" spans="1:12">
      <c r="A5" s="17" t="s">
        <v>191</v>
      </c>
      <c r="B5" s="23">
        <v>0</v>
      </c>
      <c r="C5" s="23">
        <f>'10_Production_Revenue'!$B$21</f>
        <v>5174664000</v>
      </c>
      <c r="D5" s="23">
        <f>'10_Production_Revenue'!$C$21</f>
        <v>4752073920</v>
      </c>
      <c r="E5" s="23">
        <f>'10_Production_Revenue'!$D$21</f>
        <v>3364425168.0599995</v>
      </c>
      <c r="F5" s="23">
        <f>'10_Production_Revenue'!$E$21</f>
        <v>2645324879.7689996</v>
      </c>
      <c r="G5" s="23">
        <f>'10_Production_Revenue'!$F$21</f>
        <v>3106361096.0616961</v>
      </c>
      <c r="H5" s="23">
        <f>'10_Production_Revenue'!$G$21</f>
        <v>4432299402.9437914</v>
      </c>
      <c r="I5" s="23">
        <f>'10_Production_Revenue'!$H$21</f>
        <v>6478870924.0770388</v>
      </c>
      <c r="J5" s="23">
        <f>'10_Production_Revenue'!$I$21</f>
        <v>8642348249.8178692</v>
      </c>
      <c r="K5" s="23">
        <f>'10_Production_Revenue'!$J$21</f>
        <v>10692476896.771706</v>
      </c>
      <c r="L5" s="23">
        <f>'10_Production_Revenue'!$K$21</f>
        <v>12396689162.757166</v>
      </c>
    </row>
    <row r="6" spans="1:12">
      <c r="A6" s="17" t="s">
        <v>1275</v>
      </c>
      <c r="B6" s="23">
        <v>0</v>
      </c>
      <c r="C6" s="23">
        <f>-'09_OPEX_10Y'!$B$17</f>
        <v>-4886954100</v>
      </c>
      <c r="D6" s="23">
        <f>-'09_OPEX_10Y'!$C$17</f>
        <v>-4991601459.9359999</v>
      </c>
      <c r="E6" s="23">
        <f>-'09_OPEX_10Y'!$D$17</f>
        <v>-4420115621.3760014</v>
      </c>
      <c r="F6" s="23">
        <f>-'09_OPEX_10Y'!$E$17</f>
        <v>-4201095317.85216</v>
      </c>
      <c r="G6" s="23">
        <f>-'09_OPEX_10Y'!$F$17</f>
        <v>-4271826767.2520289</v>
      </c>
      <c r="H6" s="23">
        <f>-'09_OPEX_10Y'!$G$17</f>
        <v>-4575077847.0200586</v>
      </c>
      <c r="I6" s="23">
        <f>-'09_OPEX_10Y'!$H$17</f>
        <v>-4812866942.418786</v>
      </c>
      <c r="J6" s="23">
        <f>-'09_OPEX_10Y'!$I$17</f>
        <v>-5223435766.3945627</v>
      </c>
      <c r="K6" s="23">
        <f>-'09_OPEX_10Y'!$J$17</f>
        <v>-5424596166.5645132</v>
      </c>
      <c r="L6" s="23">
        <f>-'09_OPEX_10Y'!$K$17</f>
        <v>-5808126069.4995613</v>
      </c>
    </row>
    <row r="7" spans="1:12">
      <c r="A7" s="17" t="s">
        <v>1276</v>
      </c>
      <c r="B7" s="23">
        <f>-'08_CAPEX_RAB'!$J$43</f>
        <v>-15268150480</v>
      </c>
      <c r="C7" s="23">
        <f>0</f>
        <v>0</v>
      </c>
      <c r="D7" s="23">
        <f>0</f>
        <v>0</v>
      </c>
      <c r="E7" s="23">
        <f>0</f>
        <v>0</v>
      </c>
      <c r="F7" s="23">
        <f>0</f>
        <v>0</v>
      </c>
      <c r="G7" s="23">
        <f>-IF('02_Assumptions'!$C$8=4,'06_Equipment_Tools'!$J$39,'06_Equipment_Tools'!$I$39)*'02_Assumptions'!$C$183</f>
        <v>-457420000</v>
      </c>
      <c r="H7" s="23">
        <f>0</f>
        <v>0</v>
      </c>
      <c r="I7" s="23">
        <f>0</f>
        <v>0</v>
      </c>
      <c r="J7" s="23">
        <f>-IF('02_Assumptions'!$C$8=4,'06_Equipment_Tools'!$J$39,'06_Equipment_Tools'!$I$39)*'02_Assumptions'!$C$184</f>
        <v>-228710000</v>
      </c>
      <c r="K7" s="23">
        <f>0</f>
        <v>0</v>
      </c>
      <c r="L7" s="23">
        <f>0</f>
        <v>0</v>
      </c>
    </row>
    <row r="8" spans="1:12">
      <c r="A8" s="36" t="s">
        <v>1277</v>
      </c>
      <c r="B8" s="36">
        <f t="shared" ref="B8:L8" si="0">SUM(B5:B7)</f>
        <v>-15268150480</v>
      </c>
      <c r="C8" s="36">
        <f t="shared" si="0"/>
        <v>287709900</v>
      </c>
      <c r="D8" s="36">
        <f t="shared" si="0"/>
        <v>-239527539.93599987</v>
      </c>
      <c r="E8" s="36">
        <f t="shared" si="0"/>
        <v>-1055690453.3160019</v>
      </c>
      <c r="F8" s="36">
        <f t="shared" si="0"/>
        <v>-1555770438.0831604</v>
      </c>
      <c r="G8" s="36">
        <f t="shared" si="0"/>
        <v>-1622885671.1903329</v>
      </c>
      <c r="H8" s="36">
        <f t="shared" si="0"/>
        <v>-142778444.07626724</v>
      </c>
      <c r="I8" s="36">
        <f t="shared" si="0"/>
        <v>1666003981.6582527</v>
      </c>
      <c r="J8" s="36">
        <f t="shared" si="0"/>
        <v>3190202483.4233065</v>
      </c>
      <c r="K8" s="36">
        <f t="shared" si="0"/>
        <v>5267880730.2071924</v>
      </c>
      <c r="L8" s="36">
        <f t="shared" si="0"/>
        <v>6588563093.2576046</v>
      </c>
    </row>
    <row r="9" spans="1:12">
      <c r="A9" s="36" t="s">
        <v>70</v>
      </c>
      <c r="B9" s="36">
        <f>B8</f>
        <v>-15268150480</v>
      </c>
      <c r="C9" s="36">
        <f t="shared" ref="C9:L9" si="1">B9+C8</f>
        <v>-14980440580</v>
      </c>
      <c r="D9" s="36">
        <f t="shared" si="1"/>
        <v>-15219968119.936001</v>
      </c>
      <c r="E9" s="36">
        <f t="shared" si="1"/>
        <v>-16275658573.252003</v>
      </c>
      <c r="F9" s="36">
        <f t="shared" si="1"/>
        <v>-17831429011.335163</v>
      </c>
      <c r="G9" s="36">
        <f t="shared" si="1"/>
        <v>-19454314682.525497</v>
      </c>
      <c r="H9" s="36">
        <f t="shared" si="1"/>
        <v>-19597093126.601765</v>
      </c>
      <c r="I9" s="36">
        <f t="shared" si="1"/>
        <v>-17931089144.943512</v>
      </c>
      <c r="J9" s="36">
        <f t="shared" si="1"/>
        <v>-14740886661.520206</v>
      </c>
      <c r="K9" s="36">
        <f t="shared" si="1"/>
        <v>-9473005931.313015</v>
      </c>
      <c r="L9" s="36">
        <f t="shared" si="1"/>
        <v>-2884442838.0554104</v>
      </c>
    </row>
    <row r="10" spans="1:12">
      <c r="A10" s="17" t="s">
        <v>1278</v>
      </c>
      <c r="B10" s="51">
        <v>1</v>
      </c>
      <c r="C10" s="51">
        <f>1/(1+'02_Assumptions'!$C$13)^1</f>
        <v>0.89285714285714279</v>
      </c>
      <c r="D10" s="51">
        <f>1/(1+'02_Assumptions'!$C$13)^2</f>
        <v>0.79719387755102034</v>
      </c>
      <c r="E10" s="51">
        <f>1/(1+'02_Assumptions'!$C$13)^3</f>
        <v>0.71178024781341087</v>
      </c>
      <c r="F10" s="51">
        <f>1/(1+'02_Assumptions'!$C$13)^4</f>
        <v>0.63551807840483121</v>
      </c>
      <c r="G10" s="51">
        <f>1/(1+'02_Assumptions'!$C$13)^5</f>
        <v>0.56742685571859919</v>
      </c>
      <c r="H10" s="51">
        <f>1/(1+'02_Assumptions'!$C$13)^6</f>
        <v>0.50663112117732068</v>
      </c>
      <c r="I10" s="51">
        <f>1/(1+'02_Assumptions'!$C$13)^7</f>
        <v>0.45234921533689343</v>
      </c>
      <c r="J10" s="51">
        <f>1/(1+'02_Assumptions'!$C$13)^8</f>
        <v>0.4038832279793691</v>
      </c>
      <c r="K10" s="51">
        <f>1/(1+'02_Assumptions'!$C$13)^9</f>
        <v>0.36061002498157957</v>
      </c>
      <c r="L10" s="51">
        <f>1/(1+'02_Assumptions'!$C$13)^10</f>
        <v>0.32197323659069599</v>
      </c>
    </row>
    <row r="11" spans="1:12">
      <c r="A11" s="36" t="s">
        <v>1279</v>
      </c>
      <c r="B11" s="36">
        <f>B8</f>
        <v>-15268150480</v>
      </c>
      <c r="C11" s="36">
        <f t="shared" ref="C11:L11" si="2">C8*C10</f>
        <v>256883839.28571427</v>
      </c>
      <c r="D11" s="36">
        <f t="shared" si="2"/>
        <v>-190949888.3418366</v>
      </c>
      <c r="E11" s="36">
        <f t="shared" si="2"/>
        <v>-751419612.47551584</v>
      </c>
      <c r="F11" s="36">
        <f t="shared" si="2"/>
        <v>-988720239.2496525</v>
      </c>
      <c r="G11" s="36">
        <f t="shared" si="2"/>
        <v>-920868913.59429908</v>
      </c>
      <c r="H11" s="36">
        <f t="shared" si="2"/>
        <v>-72336003.202312648</v>
      </c>
      <c r="I11" s="36">
        <f t="shared" si="2"/>
        <v>753615593.85125077</v>
      </c>
      <c r="J11" s="36">
        <f t="shared" si="2"/>
        <v>1288469276.9128048</v>
      </c>
      <c r="K11" s="36">
        <f t="shared" si="2"/>
        <v>1899650601.7199972</v>
      </c>
      <c r="L11" s="36">
        <f t="shared" si="2"/>
        <v>2121340983.6181586</v>
      </c>
    </row>
    <row r="12" spans="1:12">
      <c r="A12" s="17" t="s">
        <v>1280</v>
      </c>
      <c r="B12" s="17">
        <f t="shared" ref="B12:L12" si="3">IF(B9&gt;=0,1,0)</f>
        <v>0</v>
      </c>
      <c r="C12" s="17">
        <f t="shared" si="3"/>
        <v>0</v>
      </c>
      <c r="D12" s="17">
        <f t="shared" si="3"/>
        <v>0</v>
      </c>
      <c r="E12" s="17">
        <f t="shared" si="3"/>
        <v>0</v>
      </c>
      <c r="F12" s="17">
        <f t="shared" si="3"/>
        <v>0</v>
      </c>
      <c r="G12" s="17">
        <f t="shared" si="3"/>
        <v>0</v>
      </c>
      <c r="H12" s="17">
        <f t="shared" si="3"/>
        <v>0</v>
      </c>
      <c r="I12" s="17">
        <f t="shared" si="3"/>
        <v>0</v>
      </c>
      <c r="J12" s="17">
        <f t="shared" si="3"/>
        <v>0</v>
      </c>
      <c r="K12" s="17">
        <f t="shared" si="3"/>
        <v>0</v>
      </c>
      <c r="L12" s="17">
        <f t="shared" si="3"/>
        <v>0</v>
      </c>
    </row>
    <row r="13" spans="1:12">
      <c r="A13" s="17"/>
      <c r="B13" s="17"/>
      <c r="C13" s="17"/>
      <c r="D13" s="17"/>
      <c r="E13" s="17"/>
      <c r="F13" s="17"/>
      <c r="G13" s="17"/>
      <c r="H13" s="17"/>
      <c r="I13" s="17"/>
      <c r="J13" s="17"/>
      <c r="K13" s="17"/>
      <c r="L13" s="17"/>
    </row>
    <row r="14" spans="1:12">
      <c r="A14" s="17"/>
      <c r="B14" s="17"/>
      <c r="C14" s="17"/>
      <c r="D14" s="17"/>
      <c r="E14" s="17"/>
      <c r="F14" s="17"/>
      <c r="G14" s="17"/>
      <c r="H14" s="17"/>
      <c r="I14" s="17"/>
      <c r="J14" s="17"/>
      <c r="K14" s="17"/>
      <c r="L14" s="17"/>
    </row>
    <row r="15" spans="1:12" ht="20" customHeight="1">
      <c r="A15" s="211" t="s">
        <v>1281</v>
      </c>
      <c r="B15" s="211"/>
      <c r="C15" s="211"/>
      <c r="D15" s="211"/>
      <c r="E15" s="17"/>
      <c r="F15" s="17"/>
      <c r="G15" s="17"/>
      <c r="H15" s="17"/>
      <c r="I15" s="17"/>
      <c r="J15" s="17"/>
      <c r="K15" s="17"/>
      <c r="L15" s="17"/>
    </row>
    <row r="16" spans="1:12">
      <c r="A16" s="52" t="s">
        <v>1282</v>
      </c>
      <c r="B16" s="49">
        <f>SUM(B11:L11)</f>
        <v>-11872484841.475689</v>
      </c>
      <c r="C16" s="17"/>
      <c r="D16" s="17"/>
      <c r="E16" s="17"/>
      <c r="F16" s="17"/>
      <c r="G16" s="17"/>
      <c r="H16" s="17"/>
      <c r="I16" s="17"/>
      <c r="J16" s="17"/>
      <c r="K16" s="17"/>
      <c r="L16" s="17"/>
    </row>
    <row r="17" spans="1:12">
      <c r="A17" s="53" t="s">
        <v>1283</v>
      </c>
      <c r="B17" s="54">
        <f>IRR(B8:L8)</f>
        <v>-1.9621503830022591E-2</v>
      </c>
      <c r="C17" s="17"/>
      <c r="D17" s="17"/>
      <c r="E17" s="17"/>
      <c r="F17" s="17"/>
      <c r="G17" s="17"/>
      <c r="H17" s="17"/>
      <c r="I17" s="17"/>
      <c r="J17" s="17"/>
      <c r="K17" s="17"/>
      <c r="L17" s="17"/>
    </row>
    <row r="18" spans="1:12">
      <c r="A18" s="53" t="s">
        <v>114</v>
      </c>
      <c r="B18" s="53" t="str">
        <f>IFERROR(MATCH(1,B12:L12,0)-1,"Beyond Y10")</f>
        <v>Beyond Y10</v>
      </c>
      <c r="C18" s="17"/>
      <c r="D18" s="17"/>
      <c r="E18" s="17"/>
      <c r="F18" s="17"/>
      <c r="G18" s="17"/>
      <c r="H18" s="17"/>
      <c r="I18" s="17"/>
      <c r="J18" s="17"/>
      <c r="K18" s="17"/>
      <c r="L18" s="17"/>
    </row>
    <row r="19" spans="1:12">
      <c r="A19" s="53" t="s">
        <v>1284</v>
      </c>
      <c r="B19" s="55">
        <f>-MIN(B9:L9)</f>
        <v>19597093126.601765</v>
      </c>
      <c r="C19" s="17"/>
      <c r="D19" s="17"/>
      <c r="E19" s="17"/>
      <c r="F19" s="17"/>
      <c r="G19" s="17"/>
      <c r="H19" s="17"/>
      <c r="I19" s="17"/>
      <c r="J19" s="17"/>
      <c r="K19" s="17"/>
      <c r="L19" s="17"/>
    </row>
    <row r="20" spans="1:12">
      <c r="A20" s="56" t="s">
        <v>1285</v>
      </c>
      <c r="B20" s="57">
        <f>SUMPRODUCT(C5:L5,C10:L10)/(SUMPRODUCT(-C6:L6,C10:L10)+SUMPRODUCT(-C7:L7,C10:L10)-B7)</f>
        <v>0.72152235726404135</v>
      </c>
      <c r="C20" s="17"/>
      <c r="D20" s="17"/>
      <c r="E20" s="17"/>
      <c r="F20" s="17"/>
      <c r="G20" s="17"/>
      <c r="H20" s="17"/>
      <c r="I20" s="17"/>
      <c r="J20" s="17"/>
      <c r="K20" s="17"/>
      <c r="L20" s="17"/>
    </row>
    <row r="21" spans="1:12">
      <c r="A21" s="17" t="s">
        <v>1286</v>
      </c>
      <c r="B21" s="17">
        <v>10</v>
      </c>
      <c r="C21" s="17"/>
      <c r="D21" s="17"/>
      <c r="E21" s="17"/>
      <c r="F21" s="17"/>
      <c r="G21" s="17"/>
      <c r="H21" s="17"/>
      <c r="I21" s="17"/>
      <c r="J21" s="17"/>
      <c r="K21" s="17"/>
      <c r="L21" s="17"/>
    </row>
    <row r="23" spans="1:12">
      <c r="A23" s="272" t="s">
        <v>1287</v>
      </c>
      <c r="B23" s="272"/>
      <c r="C23" s="272"/>
      <c r="D23" s="272"/>
      <c r="E23" s="272"/>
      <c r="F23" s="272"/>
      <c r="G23" s="272"/>
      <c r="H23" s="272"/>
      <c r="I23" s="272"/>
      <c r="J23" s="272"/>
      <c r="K23" s="272"/>
      <c r="L23" s="272"/>
    </row>
    <row r="24" spans="1:12">
      <c r="A24" s="272"/>
      <c r="B24" s="272"/>
      <c r="C24" s="272"/>
      <c r="D24" s="272"/>
      <c r="E24" s="272"/>
      <c r="F24" s="272"/>
      <c r="G24" s="272"/>
      <c r="H24" s="272"/>
      <c r="I24" s="272"/>
      <c r="J24" s="272"/>
      <c r="K24" s="272"/>
      <c r="L24" s="272"/>
    </row>
  </sheetData>
  <mergeCells count="4">
    <mergeCell ref="A1:L1"/>
    <mergeCell ref="A2:L2"/>
    <mergeCell ref="A15:D15"/>
    <mergeCell ref="A23:L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9"/>
  <sheetViews>
    <sheetView showGridLines="0" workbookViewId="0"/>
  </sheetViews>
  <sheetFormatPr defaultRowHeight="13.5"/>
  <cols>
    <col min="1" max="1" width="28" customWidth="1"/>
    <col min="2" max="4" width="18" customWidth="1"/>
    <col min="5" max="5" width="35" customWidth="1"/>
    <col min="6" max="12" width="18" customWidth="1"/>
  </cols>
  <sheetData>
    <row r="1" spans="1:12" ht="28.05" customHeight="1">
      <c r="A1" s="206" t="s">
        <v>1288</v>
      </c>
      <c r="B1" s="206"/>
      <c r="C1" s="206"/>
      <c r="D1" s="206"/>
      <c r="E1" s="206"/>
      <c r="F1" s="206"/>
      <c r="G1" s="206"/>
      <c r="H1" s="206"/>
      <c r="I1" s="206"/>
      <c r="J1" s="206"/>
      <c r="K1" s="206"/>
      <c r="L1" s="206"/>
    </row>
    <row r="2" spans="1:12" ht="38" customHeight="1">
      <c r="A2" s="207" t="s">
        <v>1289</v>
      </c>
      <c r="B2" s="207"/>
      <c r="C2" s="207"/>
      <c r="D2" s="207"/>
      <c r="E2" s="207"/>
      <c r="F2" s="207"/>
      <c r="G2" s="207"/>
      <c r="H2" s="207"/>
      <c r="I2" s="207"/>
      <c r="J2" s="207"/>
      <c r="K2" s="207"/>
      <c r="L2" s="207"/>
    </row>
    <row r="3" spans="1:12">
      <c r="A3" s="16"/>
      <c r="B3" s="16"/>
      <c r="C3" s="16"/>
      <c r="D3" s="16"/>
      <c r="E3" s="16"/>
      <c r="F3" s="16"/>
      <c r="G3" s="16"/>
      <c r="H3" s="16"/>
      <c r="I3" s="16"/>
      <c r="J3" s="16"/>
      <c r="K3" s="16"/>
      <c r="L3" s="16"/>
    </row>
    <row r="4" spans="1:12" ht="30" customHeight="1">
      <c r="A4" s="2" t="s">
        <v>82</v>
      </c>
      <c r="B4" s="3" t="s">
        <v>1290</v>
      </c>
      <c r="C4" s="3" t="s">
        <v>1291</v>
      </c>
      <c r="D4" s="3" t="s">
        <v>85</v>
      </c>
      <c r="E4" s="4" t="s">
        <v>1292</v>
      </c>
      <c r="F4" s="18"/>
      <c r="G4" s="18"/>
      <c r="H4" s="18"/>
      <c r="I4" s="18"/>
      <c r="J4" s="18"/>
      <c r="K4" s="18"/>
      <c r="L4" s="18"/>
    </row>
    <row r="5" spans="1:12">
      <c r="A5" s="18" t="s">
        <v>87</v>
      </c>
      <c r="B5" s="37">
        <f>'08_CAPEX_RAB'!$H$43</f>
        <v>15268150480</v>
      </c>
      <c r="C5" s="37">
        <f>'08_CAPEX_RAB'!$I$43</f>
        <v>23875151170.992001</v>
      </c>
      <c r="D5" s="37">
        <f>C5-B5</f>
        <v>8607000690.9920006</v>
      </c>
      <c r="E5" s="18" t="s">
        <v>1293</v>
      </c>
      <c r="F5" s="18"/>
      <c r="G5" s="18"/>
      <c r="H5" s="18"/>
      <c r="I5" s="18"/>
      <c r="J5" s="18"/>
      <c r="K5" s="18"/>
      <c r="L5" s="18"/>
    </row>
    <row r="6" spans="1:12">
      <c r="A6" s="18" t="s">
        <v>1294</v>
      </c>
      <c r="B6" s="37">
        <f>SUM('10_Production_Revenue'!B21:K21)</f>
        <v>61685533700.258263</v>
      </c>
      <c r="C6" s="37">
        <f>B6</f>
        <v>61685533700.258263</v>
      </c>
      <c r="D6" s="37">
        <f>C6-B6</f>
        <v>0</v>
      </c>
      <c r="E6" s="18" t="s">
        <v>1295</v>
      </c>
      <c r="F6" s="18"/>
      <c r="G6" s="18"/>
      <c r="H6" s="18"/>
      <c r="I6" s="18"/>
      <c r="J6" s="18"/>
      <c r="K6" s="18"/>
      <c r="L6" s="18"/>
    </row>
    <row r="7" spans="1:12">
      <c r="A7" s="18" t="s">
        <v>1296</v>
      </c>
      <c r="B7" s="37">
        <f>SUM('09_OPEX_10Y'!B39:K39)</f>
        <v>48615696058.313675</v>
      </c>
      <c r="C7" s="37">
        <f>SUM('09_OPEX_10Y'!B40:K40)</f>
        <v>62902562924.451218</v>
      </c>
      <c r="D7" s="37">
        <f>C7-B7</f>
        <v>14286866866.137543</v>
      </c>
      <c r="E7" s="18" t="s">
        <v>90</v>
      </c>
      <c r="F7" s="18"/>
      <c r="G7" s="18"/>
      <c r="H7" s="18"/>
      <c r="I7" s="18"/>
      <c r="J7" s="18"/>
      <c r="K7" s="18"/>
      <c r="L7" s="18"/>
    </row>
    <row r="8" spans="1:12">
      <c r="A8" s="18" t="s">
        <v>1282</v>
      </c>
      <c r="B8" s="37">
        <f>B16+C16/(1+'02_Assumptions'!$C$13)^1+D16/(1+'02_Assumptions'!$C$13)^2+E16/(1+'02_Assumptions'!$C$13)^3+F16/(1+'02_Assumptions'!$C$13)^4+G16/(1+'02_Assumptions'!$C$13)^5+H16/(1+'02_Assumptions'!$C$13)^6+I16/(1+'02_Assumptions'!$C$13)^7+J16/(1+'02_Assumptions'!$C$13)^8+K16/(1+'02_Assumptions'!$C$13)^9+L16/(1+'02_Assumptions'!$C$13)^10</f>
        <v>-11872484841.475691</v>
      </c>
      <c r="C8" s="37">
        <f>B18+C18/(1+'02_Assumptions'!$C$13)^1+D18/(1+'02_Assumptions'!$C$13)^2+E18/(1+'02_Assumptions'!$C$13)^3+F18/(1+'02_Assumptions'!$C$13)^4+G18/(1+'02_Assumptions'!$C$13)^5+H18/(1+'02_Assumptions'!$C$13)^6+I18/(1+'02_Assumptions'!$C$13)^7+J18/(1+'02_Assumptions'!$C$13)^8+K18/(1+'02_Assumptions'!$C$13)^9+L18/(1+'02_Assumptions'!$C$13)^10</f>
        <v>-28601004678.911129</v>
      </c>
      <c r="D8" s="37">
        <f>C8-B8</f>
        <v>-16728519837.435438</v>
      </c>
      <c r="E8" s="18" t="s">
        <v>1297</v>
      </c>
      <c r="F8" s="18"/>
      <c r="G8" s="18"/>
      <c r="H8" s="18"/>
      <c r="I8" s="18"/>
      <c r="J8" s="18"/>
      <c r="K8" s="18"/>
      <c r="L8" s="18"/>
    </row>
    <row r="9" spans="1:12">
      <c r="A9" s="18" t="s">
        <v>111</v>
      </c>
      <c r="B9" s="31">
        <f>IFERROR(IRR(B16:L16),"Tidak terhitung")</f>
        <v>-1.9621503830022369E-2</v>
      </c>
      <c r="C9" s="31">
        <f>IFERROR(IRR(B18:L18),"Tidak terhitung")</f>
        <v>-0.15473585069873841</v>
      </c>
      <c r="D9" s="31">
        <f>IFERROR(C9-B9,"Tidak terhitung")</f>
        <v>-0.13511434686871604</v>
      </c>
      <c r="E9" s="18" t="s">
        <v>1298</v>
      </c>
      <c r="F9" s="18"/>
      <c r="G9" s="18"/>
      <c r="H9" s="18"/>
      <c r="I9" s="18"/>
      <c r="J9" s="18"/>
      <c r="K9" s="18"/>
      <c r="L9" s="18"/>
    </row>
    <row r="10" spans="1:12">
      <c r="A10" s="18" t="s">
        <v>114</v>
      </c>
      <c r="B10" s="18" t="str">
        <f>IF(B17&gt;=0,0,IF(C17&gt;=0,1,IF(D17&gt;=0,2,IF(E17&gt;=0,3,IF(F17&gt;=0,4,IF(G17&gt;=0,5,IF(H17&gt;=0,6,IF(I17&gt;=0,7,IF(J17&gt;=0,8,IF(K17&gt;=0,9,IF(L17&gt;=0,10,"Lewat T10")))))))))))</f>
        <v>Lewat T10</v>
      </c>
      <c r="C10" s="18" t="str">
        <f>IF(B19&gt;=0,0,IF(C19&gt;=0,1,IF(D19&gt;=0,2,IF(E19&gt;=0,3,IF(F19&gt;=0,4,IF(G19&gt;=0,5,IF(H19&gt;=0,6,IF(I19&gt;=0,7,IF(J19&gt;=0,8,IF(K19&gt;=0,9,IF(L19&gt;=0,10,"Lewat T10")))))))))))</f>
        <v>Lewat T10</v>
      </c>
      <c r="D10" s="18" t="str">
        <f>IFERROR(C10-B10,"Tidak terhitung")</f>
        <v>Tidak terhitung</v>
      </c>
      <c r="E10" s="18" t="s">
        <v>1299</v>
      </c>
      <c r="F10" s="18"/>
      <c r="G10" s="18"/>
      <c r="H10" s="18"/>
      <c r="I10" s="18"/>
      <c r="J10" s="18"/>
      <c r="K10" s="18"/>
      <c r="L10" s="18"/>
    </row>
    <row r="11" spans="1:12">
      <c r="A11" s="18" t="s">
        <v>93</v>
      </c>
      <c r="B11" s="37">
        <f>-MIN(B17:L17)</f>
        <v>19597093126.601765</v>
      </c>
      <c r="C11" s="37">
        <f>-MIN(B19:L19)</f>
        <v>36542781084.694626</v>
      </c>
      <c r="D11" s="37">
        <f>C11-B11</f>
        <v>16945687958.092861</v>
      </c>
      <c r="E11" s="18" t="s">
        <v>94</v>
      </c>
      <c r="F11" s="18"/>
      <c r="G11" s="18"/>
      <c r="H11" s="18"/>
      <c r="I11" s="18"/>
      <c r="J11" s="18"/>
      <c r="K11" s="18"/>
      <c r="L11" s="18"/>
    </row>
    <row r="12" spans="1:12">
      <c r="A12" s="18"/>
      <c r="B12" s="18"/>
      <c r="C12" s="18"/>
      <c r="D12" s="18"/>
      <c r="E12" s="18"/>
      <c r="F12" s="18"/>
      <c r="G12" s="18"/>
      <c r="H12" s="18"/>
      <c r="I12" s="18"/>
      <c r="J12" s="18"/>
      <c r="K12" s="18"/>
      <c r="L12" s="18"/>
    </row>
    <row r="13" spans="1:12">
      <c r="A13" s="18"/>
      <c r="B13" s="18"/>
      <c r="C13" s="18"/>
      <c r="D13" s="18"/>
      <c r="E13" s="18"/>
      <c r="F13" s="18"/>
      <c r="G13" s="18"/>
      <c r="H13" s="18"/>
      <c r="I13" s="18"/>
      <c r="J13" s="18"/>
      <c r="K13" s="18"/>
      <c r="L13" s="18"/>
    </row>
    <row r="14" spans="1:12" ht="20" customHeight="1">
      <c r="A14" s="258" t="s">
        <v>1300</v>
      </c>
      <c r="B14" s="258"/>
      <c r="C14" s="258"/>
      <c r="D14" s="258"/>
      <c r="E14" s="258"/>
      <c r="F14" s="258"/>
      <c r="G14" s="258"/>
      <c r="H14" s="258"/>
      <c r="I14" s="258"/>
      <c r="J14" s="258"/>
      <c r="K14" s="258"/>
      <c r="L14" s="258"/>
    </row>
    <row r="15" spans="1:12" ht="30" customHeight="1">
      <c r="A15" s="2" t="s">
        <v>1301</v>
      </c>
      <c r="B15" s="3" t="s">
        <v>1302</v>
      </c>
      <c r="C15" s="3" t="s">
        <v>71</v>
      </c>
      <c r="D15" s="3" t="s">
        <v>72</v>
      </c>
      <c r="E15" s="3" t="s">
        <v>73</v>
      </c>
      <c r="F15" s="3" t="s">
        <v>74</v>
      </c>
      <c r="G15" s="3" t="s">
        <v>75</v>
      </c>
      <c r="H15" s="3" t="s">
        <v>76</v>
      </c>
      <c r="I15" s="3" t="s">
        <v>77</v>
      </c>
      <c r="J15" s="3" t="s">
        <v>78</v>
      </c>
      <c r="K15" s="3" t="s">
        <v>79</v>
      </c>
      <c r="L15" s="4" t="s">
        <v>80</v>
      </c>
    </row>
    <row r="16" spans="1:12">
      <c r="A16" s="46" t="s">
        <v>1303</v>
      </c>
      <c r="B16" s="46">
        <f>-'08_CAPEX_RAB'!$H$43</f>
        <v>-15268150480</v>
      </c>
      <c r="C16" s="46">
        <f>'10_Production_Revenue'!B21-'09_OPEX_10Y'!B39-0</f>
        <v>287709900</v>
      </c>
      <c r="D16" s="46">
        <f>'10_Production_Revenue'!C21-'09_OPEX_10Y'!C39-0</f>
        <v>-239527539.93599987</v>
      </c>
      <c r="E16" s="46">
        <f>'10_Production_Revenue'!D21-'09_OPEX_10Y'!D39-0</f>
        <v>-1055690453.3160019</v>
      </c>
      <c r="F16" s="46">
        <f>'10_Production_Revenue'!E21-'09_OPEX_10Y'!E39-0</f>
        <v>-1555770438.0831604</v>
      </c>
      <c r="G16" s="46">
        <f>'10_Production_Revenue'!F21-'09_OPEX_10Y'!F39-'06_Equipment_Tools'!$I$39*'02_Assumptions'!$C$183</f>
        <v>-1622885671.1903334</v>
      </c>
      <c r="H16" s="46">
        <f>'10_Production_Revenue'!G21-'09_OPEX_10Y'!G39-0</f>
        <v>-142778444.07626724</v>
      </c>
      <c r="I16" s="46">
        <f>'10_Production_Revenue'!H21-'09_OPEX_10Y'!H39-0</f>
        <v>1666003981.6582518</v>
      </c>
      <c r="J16" s="46">
        <f>'10_Production_Revenue'!I21-'09_OPEX_10Y'!I39-'06_Equipment_Tools'!$I$39*'02_Assumptions'!$C$184</f>
        <v>3190202483.4233055</v>
      </c>
      <c r="K16" s="46">
        <f>'10_Production_Revenue'!J21-'09_OPEX_10Y'!J39-0</f>
        <v>5267880730.2071924</v>
      </c>
      <c r="L16" s="46">
        <f>'10_Production_Revenue'!K21-'09_OPEX_10Y'!K39-0</f>
        <v>6588563093.2576046</v>
      </c>
    </row>
    <row r="17" spans="1:12">
      <c r="A17" s="47" t="s">
        <v>1304</v>
      </c>
      <c r="B17" s="47">
        <f>B16</f>
        <v>-15268150480</v>
      </c>
      <c r="C17" s="47">
        <f t="shared" ref="C17:L17" si="0">B17+C16</f>
        <v>-14980440580</v>
      </c>
      <c r="D17" s="47">
        <f t="shared" si="0"/>
        <v>-15219968119.936001</v>
      </c>
      <c r="E17" s="47">
        <f t="shared" si="0"/>
        <v>-16275658573.252003</v>
      </c>
      <c r="F17" s="47">
        <f t="shared" si="0"/>
        <v>-17831429011.335163</v>
      </c>
      <c r="G17" s="47">
        <f t="shared" si="0"/>
        <v>-19454314682.525497</v>
      </c>
      <c r="H17" s="47">
        <f t="shared" si="0"/>
        <v>-19597093126.601765</v>
      </c>
      <c r="I17" s="47">
        <f t="shared" si="0"/>
        <v>-17931089144.943512</v>
      </c>
      <c r="J17" s="47">
        <f t="shared" si="0"/>
        <v>-14740886661.520206</v>
      </c>
      <c r="K17" s="47">
        <f t="shared" si="0"/>
        <v>-9473005931.313015</v>
      </c>
      <c r="L17" s="47">
        <f t="shared" si="0"/>
        <v>-2884442838.0554104</v>
      </c>
    </row>
    <row r="18" spans="1:12">
      <c r="A18" s="47" t="s">
        <v>1305</v>
      </c>
      <c r="B18" s="47">
        <f>-'08_CAPEX_RAB'!$I$43</f>
        <v>-23875151170.992001</v>
      </c>
      <c r="C18" s="47">
        <f>'10_Production_Revenue'!B21-'09_OPEX_10Y'!B40-0</f>
        <v>-919548391.66918087</v>
      </c>
      <c r="D18" s="47">
        <f>'10_Production_Revenue'!C21-'09_OPEX_10Y'!C40-0</f>
        <v>-1493231120.0350475</v>
      </c>
      <c r="E18" s="47">
        <f>'10_Production_Revenue'!D21-'09_OPEX_10Y'!D40-0</f>
        <v>-2350697500.6021166</v>
      </c>
      <c r="F18" s="47">
        <f>'10_Production_Revenue'!E21-'09_OPEX_10Y'!E40-0</f>
        <v>-2893223398.0496325</v>
      </c>
      <c r="G18" s="47">
        <f>'10_Production_Revenue'!F21-'09_OPEX_10Y'!F40-'06_Equipment_Tools'!$J$39*'02_Assumptions'!$C$183</f>
        <v>-3426553329.401742</v>
      </c>
      <c r="H18" s="47">
        <f>'10_Production_Revenue'!G21-'09_OPEX_10Y'!G40-0</f>
        <v>-1584376173.9449072</v>
      </c>
      <c r="I18" s="47">
        <f>'10_Production_Revenue'!H21-'09_OPEX_10Y'!H40-0</f>
        <v>167373686.18496418</v>
      </c>
      <c r="J18" s="47">
        <f>'10_Production_Revenue'!I21-'09_OPEX_10Y'!I40-'06_Equipment_Tools'!$J$39*'02_Assumptions'!$C$184</f>
        <v>1423776976.1310835</v>
      </c>
      <c r="K18" s="47">
        <f>'10_Production_Revenue'!J21-'09_OPEX_10Y'!J40-0</f>
        <v>3646962202.6232824</v>
      </c>
      <c r="L18" s="47">
        <f>'10_Production_Revenue'!K21-'09_OPEX_10Y'!K40-0</f>
        <v>4902807824.5703382</v>
      </c>
    </row>
    <row r="19" spans="1:12">
      <c r="A19" s="48" t="s">
        <v>1306</v>
      </c>
      <c r="B19" s="48">
        <f>B18</f>
        <v>-23875151170.992001</v>
      </c>
      <c r="C19" s="48">
        <f t="shared" ref="C19:L19" si="1">B19+C18</f>
        <v>-24794699562.661182</v>
      </c>
      <c r="D19" s="48">
        <f t="shared" si="1"/>
        <v>-26287930682.696228</v>
      </c>
      <c r="E19" s="48">
        <f t="shared" si="1"/>
        <v>-28638628183.298344</v>
      </c>
      <c r="F19" s="48">
        <f t="shared" si="1"/>
        <v>-31531851581.347977</v>
      </c>
      <c r="G19" s="48">
        <f t="shared" si="1"/>
        <v>-34958404910.749718</v>
      </c>
      <c r="H19" s="48">
        <f t="shared" si="1"/>
        <v>-36542781084.694626</v>
      </c>
      <c r="I19" s="48">
        <f t="shared" si="1"/>
        <v>-36375407398.509659</v>
      </c>
      <c r="J19" s="48">
        <f t="shared" si="1"/>
        <v>-34951630422.378578</v>
      </c>
      <c r="K19" s="48">
        <f t="shared" si="1"/>
        <v>-31304668219.755295</v>
      </c>
      <c r="L19" s="48">
        <f t="shared" si="1"/>
        <v>-26401860395.184956</v>
      </c>
    </row>
  </sheetData>
  <mergeCells count="3">
    <mergeCell ref="A1:L1"/>
    <mergeCell ref="A2:L2"/>
    <mergeCell ref="A14:L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7"/>
  <sheetViews>
    <sheetView showGridLines="0" workbookViewId="0"/>
  </sheetViews>
  <sheetFormatPr defaultRowHeight="13.5"/>
  <cols>
    <col min="1" max="7" width="18" customWidth="1"/>
    <col min="8" max="8" width="36" customWidth="1"/>
  </cols>
  <sheetData>
    <row r="1" spans="1:8" ht="28.05" customHeight="1">
      <c r="A1" s="206" t="s">
        <v>1307</v>
      </c>
      <c r="B1" s="206"/>
      <c r="C1" s="206"/>
      <c r="D1" s="206"/>
      <c r="E1" s="206"/>
      <c r="F1" s="206"/>
      <c r="G1" s="206"/>
      <c r="H1" s="206"/>
    </row>
    <row r="2" spans="1:8" ht="38" customHeight="1">
      <c r="A2" s="207" t="s">
        <v>1308</v>
      </c>
      <c r="B2" s="207"/>
      <c r="C2" s="207"/>
      <c r="D2" s="207"/>
      <c r="E2" s="207"/>
      <c r="F2" s="207"/>
      <c r="G2" s="207"/>
      <c r="H2" s="207"/>
    </row>
    <row r="3" spans="1:8">
      <c r="A3" s="16"/>
      <c r="B3" s="16"/>
      <c r="C3" s="16"/>
      <c r="D3" s="16"/>
      <c r="E3" s="16"/>
      <c r="F3" s="16"/>
      <c r="G3" s="16"/>
      <c r="H3" s="16"/>
    </row>
    <row r="4" spans="1:8" ht="20" customHeight="1">
      <c r="A4" s="254" t="s">
        <v>1309</v>
      </c>
      <c r="B4" s="254"/>
      <c r="C4" s="254"/>
      <c r="D4" s="254"/>
      <c r="E4" s="254"/>
      <c r="F4" s="254"/>
      <c r="G4" s="16"/>
      <c r="H4" s="16"/>
    </row>
    <row r="5" spans="1:8">
      <c r="A5" s="58" t="s">
        <v>1310</v>
      </c>
      <c r="B5" s="59">
        <v>0.7</v>
      </c>
      <c r="C5" s="59">
        <v>0.85</v>
      </c>
      <c r="D5" s="59">
        <v>1</v>
      </c>
      <c r="E5" s="59">
        <v>1.1499999999999999</v>
      </c>
      <c r="F5" s="59">
        <v>1.3</v>
      </c>
      <c r="G5" s="17"/>
      <c r="H5" s="17"/>
    </row>
    <row r="6" spans="1:8">
      <c r="A6" s="59">
        <v>0.7</v>
      </c>
      <c r="B6" s="23">
        <f>-'08_CAPEX_RAB'!$H$43+('10_Production_Revenue'!B21*$A6*B$5-('09_OPEX_10Y'!B39-'10_Production_Revenue'!B25)-'10_Production_Revenue'!B25*$A6-0)/(1+'02_Assumptions'!$C$13)^1+('10_Production_Revenue'!C21*$A6*B$5-('09_OPEX_10Y'!C39-'10_Production_Revenue'!C25)-'10_Production_Revenue'!C25*$A6-0)/(1+'02_Assumptions'!$C$13)^2+('10_Production_Revenue'!D21*$A6*B$5-('09_OPEX_10Y'!D39-'10_Production_Revenue'!D25)-'10_Production_Revenue'!D25*$A6-0)/(1+'02_Assumptions'!$C$13)^3+('10_Production_Revenue'!E21*$A6*B$5-('09_OPEX_10Y'!E39-'10_Production_Revenue'!E25)-'10_Production_Revenue'!E25*$A6-0)/(1+'02_Assumptions'!$C$13)^4+('10_Production_Revenue'!F21*$A6*B$5-('09_OPEX_10Y'!F39-'10_Production_Revenue'!F25)-'10_Production_Revenue'!F25*$A6-'06_Equipment_Tools'!$I$39*0.2)/(1+'02_Assumptions'!$C$13)^5+('10_Production_Revenue'!G21*$A6*B$5-('09_OPEX_10Y'!G39-'10_Production_Revenue'!G25)-'10_Production_Revenue'!G25*$A6-0)/(1+'02_Assumptions'!$C$13)^6+('10_Production_Revenue'!H21*$A6*B$5-('09_OPEX_10Y'!H39-'10_Production_Revenue'!H25)-'10_Production_Revenue'!H25*$A6-0)/(1+'02_Assumptions'!$C$13)^7+('10_Production_Revenue'!I21*$A6*B$5-('09_OPEX_10Y'!I39-'10_Production_Revenue'!I25)-'10_Production_Revenue'!I25*$A6-'06_Equipment_Tools'!$I$39*0.1)/(1+'02_Assumptions'!$C$13)^8+('10_Production_Revenue'!J21*$A6*B$5-('09_OPEX_10Y'!J39-'10_Production_Revenue'!J25)-'10_Production_Revenue'!J25*$A6-0)/(1+'02_Assumptions'!$C$13)^9+('10_Production_Revenue'!K21*$A6*B$5-('09_OPEX_10Y'!K39-'10_Production_Revenue'!K25)-'10_Production_Revenue'!K25*$A6-0)/(1+'02_Assumptions'!$C$13)^10</f>
        <v>-26515070328.790993</v>
      </c>
      <c r="C6" s="23">
        <f>-'08_CAPEX_RAB'!$H$43+('10_Production_Revenue'!B21*$A6*C$5-('09_OPEX_10Y'!B39-'10_Production_Revenue'!B25)-'10_Production_Revenue'!B25*$A6-0)/(1+'02_Assumptions'!$C$13)^1+('10_Production_Revenue'!C21*$A6*C$5-('09_OPEX_10Y'!C39-'10_Production_Revenue'!C25)-'10_Production_Revenue'!C25*$A6-0)/(1+'02_Assumptions'!$C$13)^2+('10_Production_Revenue'!D21*$A6*C$5-('09_OPEX_10Y'!D39-'10_Production_Revenue'!D25)-'10_Production_Revenue'!D25*$A6-0)/(1+'02_Assumptions'!$C$13)^3+('10_Production_Revenue'!E21*$A6*C$5-('09_OPEX_10Y'!E39-'10_Production_Revenue'!E25)-'10_Production_Revenue'!E25*$A6-0)/(1+'02_Assumptions'!$C$13)^4+('10_Production_Revenue'!F21*$A6*C$5-('09_OPEX_10Y'!F39-'10_Production_Revenue'!F25)-'10_Production_Revenue'!F25*$A6-'06_Equipment_Tools'!$I$39*0.2)/(1+'02_Assumptions'!$C$13)^5+('10_Production_Revenue'!G21*$A6*C$5-('09_OPEX_10Y'!G39-'10_Production_Revenue'!G25)-'10_Production_Revenue'!G25*$A6-0)/(1+'02_Assumptions'!$C$13)^6+('10_Production_Revenue'!H21*$A6*C$5-('09_OPEX_10Y'!H39-'10_Production_Revenue'!H25)-'10_Production_Revenue'!H25*$A6-0)/(1+'02_Assumptions'!$C$13)^7+('10_Production_Revenue'!I21*$A6*C$5-('09_OPEX_10Y'!I39-'10_Production_Revenue'!I25)-'10_Production_Revenue'!I25*$A6-'06_Equipment_Tools'!$I$39*0.1)/(1+'02_Assumptions'!$C$13)^8+('10_Production_Revenue'!J21*$A6*C$5-('09_OPEX_10Y'!J39-'10_Production_Revenue'!J25)-'10_Production_Revenue'!J25*$A6-0)/(1+'02_Assumptions'!$C$13)^9+('10_Production_Revenue'!K21*$A6*C$5-('09_OPEX_10Y'!K39-'10_Production_Revenue'!K25)-'10_Production_Revenue'!K25*$A6-0)/(1+'02_Assumptions'!$C$13)^10</f>
        <v>-23285160622.753441</v>
      </c>
      <c r="D6" s="23">
        <f>-'08_CAPEX_RAB'!$H$43+('10_Production_Revenue'!B21*$A6*D$5-('09_OPEX_10Y'!B39-'10_Production_Revenue'!B25)-'10_Production_Revenue'!B25*$A6-0)/(1+'02_Assumptions'!$C$13)^1+('10_Production_Revenue'!C21*$A6*D$5-('09_OPEX_10Y'!C39-'10_Production_Revenue'!C25)-'10_Production_Revenue'!C25*$A6-0)/(1+'02_Assumptions'!$C$13)^2+('10_Production_Revenue'!D21*$A6*D$5-('09_OPEX_10Y'!D39-'10_Production_Revenue'!D25)-'10_Production_Revenue'!D25*$A6-0)/(1+'02_Assumptions'!$C$13)^3+('10_Production_Revenue'!E21*$A6*D$5-('09_OPEX_10Y'!E39-'10_Production_Revenue'!E25)-'10_Production_Revenue'!E25*$A6-0)/(1+'02_Assumptions'!$C$13)^4+('10_Production_Revenue'!F21*$A6*D$5-('09_OPEX_10Y'!F39-'10_Production_Revenue'!F25)-'10_Production_Revenue'!F25*$A6-'06_Equipment_Tools'!$I$39*0.2)/(1+'02_Assumptions'!$C$13)^5+('10_Production_Revenue'!G21*$A6*D$5-('09_OPEX_10Y'!G39-'10_Production_Revenue'!G25)-'10_Production_Revenue'!G25*$A6-0)/(1+'02_Assumptions'!$C$13)^6+('10_Production_Revenue'!H21*$A6*D$5-('09_OPEX_10Y'!H39-'10_Production_Revenue'!H25)-'10_Production_Revenue'!H25*$A6-0)/(1+'02_Assumptions'!$C$13)^7+('10_Production_Revenue'!I21*$A6*D$5-('09_OPEX_10Y'!I39-'10_Production_Revenue'!I25)-'10_Production_Revenue'!I25*$A6-'06_Equipment_Tools'!$I$39*0.1)/(1+'02_Assumptions'!$C$13)^8+('10_Production_Revenue'!J21*$A6*D$5-('09_OPEX_10Y'!J39-'10_Production_Revenue'!J25)-'10_Production_Revenue'!J25*$A6-0)/(1+'02_Assumptions'!$C$13)^9+('10_Production_Revenue'!K21*$A6*D$5-('09_OPEX_10Y'!K39-'10_Production_Revenue'!K25)-'10_Production_Revenue'!K25*$A6-0)/(1+'02_Assumptions'!$C$13)^10</f>
        <v>-20055250916.715893</v>
      </c>
      <c r="E6" s="23">
        <f>-'08_CAPEX_RAB'!$H$43+('10_Production_Revenue'!B21*$A6*E$5-('09_OPEX_10Y'!B39-'10_Production_Revenue'!B25)-'10_Production_Revenue'!B25*$A6-0)/(1+'02_Assumptions'!$C$13)^1+('10_Production_Revenue'!C21*$A6*E$5-('09_OPEX_10Y'!C39-'10_Production_Revenue'!C25)-'10_Production_Revenue'!C25*$A6-0)/(1+'02_Assumptions'!$C$13)^2+('10_Production_Revenue'!D21*$A6*E$5-('09_OPEX_10Y'!D39-'10_Production_Revenue'!D25)-'10_Production_Revenue'!D25*$A6-0)/(1+'02_Assumptions'!$C$13)^3+('10_Production_Revenue'!E21*$A6*E$5-('09_OPEX_10Y'!E39-'10_Production_Revenue'!E25)-'10_Production_Revenue'!E25*$A6-0)/(1+'02_Assumptions'!$C$13)^4+('10_Production_Revenue'!F21*$A6*E$5-('09_OPEX_10Y'!F39-'10_Production_Revenue'!F25)-'10_Production_Revenue'!F25*$A6-'06_Equipment_Tools'!$I$39*0.2)/(1+'02_Assumptions'!$C$13)^5+('10_Production_Revenue'!G21*$A6*E$5-('09_OPEX_10Y'!G39-'10_Production_Revenue'!G25)-'10_Production_Revenue'!G25*$A6-0)/(1+'02_Assumptions'!$C$13)^6+('10_Production_Revenue'!H21*$A6*E$5-('09_OPEX_10Y'!H39-'10_Production_Revenue'!H25)-'10_Production_Revenue'!H25*$A6-0)/(1+'02_Assumptions'!$C$13)^7+('10_Production_Revenue'!I21*$A6*E$5-('09_OPEX_10Y'!I39-'10_Production_Revenue'!I25)-'10_Production_Revenue'!I25*$A6-'06_Equipment_Tools'!$I$39*0.1)/(1+'02_Assumptions'!$C$13)^8+('10_Production_Revenue'!J21*$A6*E$5-('09_OPEX_10Y'!J39-'10_Production_Revenue'!J25)-'10_Production_Revenue'!J25*$A6-0)/(1+'02_Assumptions'!$C$13)^9+('10_Production_Revenue'!K21*$A6*E$5-('09_OPEX_10Y'!K39-'10_Production_Revenue'!K25)-'10_Production_Revenue'!K25*$A6-0)/(1+'02_Assumptions'!$C$13)^10</f>
        <v>-16825341210.678337</v>
      </c>
      <c r="F6" s="23">
        <f>-'08_CAPEX_RAB'!$H$43+('10_Production_Revenue'!B21*$A6*F$5-('09_OPEX_10Y'!B39-'10_Production_Revenue'!B25)-'10_Production_Revenue'!B25*$A6-0)/(1+'02_Assumptions'!$C$13)^1+('10_Production_Revenue'!C21*$A6*F$5-('09_OPEX_10Y'!C39-'10_Production_Revenue'!C25)-'10_Production_Revenue'!C25*$A6-0)/(1+'02_Assumptions'!$C$13)^2+('10_Production_Revenue'!D21*$A6*F$5-('09_OPEX_10Y'!D39-'10_Production_Revenue'!D25)-'10_Production_Revenue'!D25*$A6-0)/(1+'02_Assumptions'!$C$13)^3+('10_Production_Revenue'!E21*$A6*F$5-('09_OPEX_10Y'!E39-'10_Production_Revenue'!E25)-'10_Production_Revenue'!E25*$A6-0)/(1+'02_Assumptions'!$C$13)^4+('10_Production_Revenue'!F21*$A6*F$5-('09_OPEX_10Y'!F39-'10_Production_Revenue'!F25)-'10_Production_Revenue'!F25*$A6-'06_Equipment_Tools'!$I$39*0.2)/(1+'02_Assumptions'!$C$13)^5+('10_Production_Revenue'!G21*$A6*F$5-('09_OPEX_10Y'!G39-'10_Production_Revenue'!G25)-'10_Production_Revenue'!G25*$A6-0)/(1+'02_Assumptions'!$C$13)^6+('10_Production_Revenue'!H21*$A6*F$5-('09_OPEX_10Y'!H39-'10_Production_Revenue'!H25)-'10_Production_Revenue'!H25*$A6-0)/(1+'02_Assumptions'!$C$13)^7+('10_Production_Revenue'!I21*$A6*F$5-('09_OPEX_10Y'!I39-'10_Production_Revenue'!I25)-'10_Production_Revenue'!I25*$A6-'06_Equipment_Tools'!$I$39*0.1)/(1+'02_Assumptions'!$C$13)^8+('10_Production_Revenue'!J21*$A6*F$5-('09_OPEX_10Y'!J39-'10_Production_Revenue'!J25)-'10_Production_Revenue'!J25*$A6-0)/(1+'02_Assumptions'!$C$13)^9+('10_Production_Revenue'!K21*$A6*F$5-('09_OPEX_10Y'!K39-'10_Production_Revenue'!K25)-'10_Production_Revenue'!K25*$A6-0)/(1+'02_Assumptions'!$C$13)^10</f>
        <v>-13595431504.640793</v>
      </c>
      <c r="G6" s="17"/>
      <c r="H6" s="17"/>
    </row>
    <row r="7" spans="1:8">
      <c r="A7" s="59">
        <v>0.85</v>
      </c>
      <c r="B7" s="23">
        <f>-'08_CAPEX_RAB'!$H$43+('10_Production_Revenue'!B21*$A7*B$5-('09_OPEX_10Y'!B39-'10_Production_Revenue'!B25)-'10_Production_Revenue'!B25*$A7-0)/(1+'02_Assumptions'!$C$13)^1+('10_Production_Revenue'!C21*$A7*B$5-('09_OPEX_10Y'!C39-'10_Production_Revenue'!C25)-'10_Production_Revenue'!C25*$A7-0)/(1+'02_Assumptions'!$C$13)^2+('10_Production_Revenue'!D21*$A7*B$5-('09_OPEX_10Y'!D39-'10_Production_Revenue'!D25)-'10_Production_Revenue'!D25*$A7-0)/(1+'02_Assumptions'!$C$13)^3+('10_Production_Revenue'!E21*$A7*B$5-('09_OPEX_10Y'!E39-'10_Production_Revenue'!E25)-'10_Production_Revenue'!E25*$A7-0)/(1+'02_Assumptions'!$C$13)^4+('10_Production_Revenue'!F21*$A7*B$5-('09_OPEX_10Y'!F39-'10_Production_Revenue'!F25)-'10_Production_Revenue'!F25*$A7-'06_Equipment_Tools'!$I$39*0.2)/(1+'02_Assumptions'!$C$13)^5+('10_Production_Revenue'!G21*$A7*B$5-('09_OPEX_10Y'!G39-'10_Production_Revenue'!G25)-'10_Production_Revenue'!G25*$A7-0)/(1+'02_Assumptions'!$C$13)^6+('10_Production_Revenue'!H21*$A7*B$5-('09_OPEX_10Y'!H39-'10_Production_Revenue'!H25)-'10_Production_Revenue'!H25*$A7-0)/(1+'02_Assumptions'!$C$13)^7+('10_Production_Revenue'!I21*$A7*B$5-('09_OPEX_10Y'!I39-'10_Production_Revenue'!I25)-'10_Production_Revenue'!I25*$A7-'06_Equipment_Tools'!$I$39*0.1)/(1+'02_Assumptions'!$C$13)^8+('10_Production_Revenue'!J21*$A7*B$5-('09_OPEX_10Y'!J39-'10_Production_Revenue'!J25)-'10_Production_Revenue'!J25*$A7-0)/(1+'02_Assumptions'!$C$13)^9+('10_Production_Revenue'!K21*$A7*B$5-('09_OPEX_10Y'!K39-'10_Production_Revenue'!K25)-'10_Production_Revenue'!K25*$A7-0)/(1+'02_Assumptions'!$C$13)^10</f>
        <v>-23807934308.044136</v>
      </c>
      <c r="C7" s="23">
        <f>-'08_CAPEX_RAB'!$H$43+('10_Production_Revenue'!B21*$A7*C$5-('09_OPEX_10Y'!B39-'10_Production_Revenue'!B25)-'10_Production_Revenue'!B25*$A7-0)/(1+'02_Assumptions'!$C$13)^1+('10_Production_Revenue'!C21*$A7*C$5-('09_OPEX_10Y'!C39-'10_Production_Revenue'!C25)-'10_Production_Revenue'!C25*$A7-0)/(1+'02_Assumptions'!$C$13)^2+('10_Production_Revenue'!D21*$A7*C$5-('09_OPEX_10Y'!D39-'10_Production_Revenue'!D25)-'10_Production_Revenue'!D25*$A7-0)/(1+'02_Assumptions'!$C$13)^3+('10_Production_Revenue'!E21*$A7*C$5-('09_OPEX_10Y'!E39-'10_Production_Revenue'!E25)-'10_Production_Revenue'!E25*$A7-0)/(1+'02_Assumptions'!$C$13)^4+('10_Production_Revenue'!F21*$A7*C$5-('09_OPEX_10Y'!F39-'10_Production_Revenue'!F25)-'10_Production_Revenue'!F25*$A7-'06_Equipment_Tools'!$I$39*0.2)/(1+'02_Assumptions'!$C$13)^5+('10_Production_Revenue'!G21*$A7*C$5-('09_OPEX_10Y'!G39-'10_Production_Revenue'!G25)-'10_Production_Revenue'!G25*$A7-0)/(1+'02_Assumptions'!$C$13)^6+('10_Production_Revenue'!H21*$A7*C$5-('09_OPEX_10Y'!H39-'10_Production_Revenue'!H25)-'10_Production_Revenue'!H25*$A7-0)/(1+'02_Assumptions'!$C$13)^7+('10_Production_Revenue'!I21*$A7*C$5-('09_OPEX_10Y'!I39-'10_Production_Revenue'!I25)-'10_Production_Revenue'!I25*$A7-'06_Equipment_Tools'!$I$39*0.1)/(1+'02_Assumptions'!$C$13)^8+('10_Production_Revenue'!J21*$A7*C$5-('09_OPEX_10Y'!J39-'10_Production_Revenue'!J25)-'10_Production_Revenue'!J25*$A7-0)/(1+'02_Assumptions'!$C$13)^9+('10_Production_Revenue'!K21*$A7*C$5-('09_OPEX_10Y'!K39-'10_Production_Revenue'!K25)-'10_Production_Revenue'!K25*$A7-0)/(1+'02_Assumptions'!$C$13)^10</f>
        <v>-19885901093.569962</v>
      </c>
      <c r="D7" s="23">
        <f>-'08_CAPEX_RAB'!$H$43+('10_Production_Revenue'!B21*$A7*D$5-('09_OPEX_10Y'!B39-'10_Production_Revenue'!B25)-'10_Production_Revenue'!B25*$A7-0)/(1+'02_Assumptions'!$C$13)^1+('10_Production_Revenue'!C21*$A7*D$5-('09_OPEX_10Y'!C39-'10_Production_Revenue'!C25)-'10_Production_Revenue'!C25*$A7-0)/(1+'02_Assumptions'!$C$13)^2+('10_Production_Revenue'!D21*$A7*D$5-('09_OPEX_10Y'!D39-'10_Production_Revenue'!D25)-'10_Production_Revenue'!D25*$A7-0)/(1+'02_Assumptions'!$C$13)^3+('10_Production_Revenue'!E21*$A7*D$5-('09_OPEX_10Y'!E39-'10_Production_Revenue'!E25)-'10_Production_Revenue'!E25*$A7-0)/(1+'02_Assumptions'!$C$13)^4+('10_Production_Revenue'!F21*$A7*D$5-('09_OPEX_10Y'!F39-'10_Production_Revenue'!F25)-'10_Production_Revenue'!F25*$A7-'06_Equipment_Tools'!$I$39*0.2)/(1+'02_Assumptions'!$C$13)^5+('10_Production_Revenue'!G21*$A7*D$5-('09_OPEX_10Y'!G39-'10_Production_Revenue'!G25)-'10_Production_Revenue'!G25*$A7-0)/(1+'02_Assumptions'!$C$13)^6+('10_Production_Revenue'!H21*$A7*D$5-('09_OPEX_10Y'!H39-'10_Production_Revenue'!H25)-'10_Production_Revenue'!H25*$A7-0)/(1+'02_Assumptions'!$C$13)^7+('10_Production_Revenue'!I21*$A7*D$5-('09_OPEX_10Y'!I39-'10_Production_Revenue'!I25)-'10_Production_Revenue'!I25*$A7-'06_Equipment_Tools'!$I$39*0.1)/(1+'02_Assumptions'!$C$13)^8+('10_Production_Revenue'!J21*$A7*D$5-('09_OPEX_10Y'!J39-'10_Production_Revenue'!J25)-'10_Production_Revenue'!J25*$A7-0)/(1+'02_Assumptions'!$C$13)^9+('10_Production_Revenue'!K21*$A7*D$5-('09_OPEX_10Y'!K39-'10_Production_Revenue'!K25)-'10_Production_Revenue'!K25*$A7-0)/(1+'02_Assumptions'!$C$13)^10</f>
        <v>-15963867879.095793</v>
      </c>
      <c r="E7" s="23">
        <f>-'08_CAPEX_RAB'!$H$43+('10_Production_Revenue'!B21*$A7*E$5-('09_OPEX_10Y'!B39-'10_Production_Revenue'!B25)-'10_Production_Revenue'!B25*$A7-0)/(1+'02_Assumptions'!$C$13)^1+('10_Production_Revenue'!C21*$A7*E$5-('09_OPEX_10Y'!C39-'10_Production_Revenue'!C25)-'10_Production_Revenue'!C25*$A7-0)/(1+'02_Assumptions'!$C$13)^2+('10_Production_Revenue'!D21*$A7*E$5-('09_OPEX_10Y'!D39-'10_Production_Revenue'!D25)-'10_Production_Revenue'!D25*$A7-0)/(1+'02_Assumptions'!$C$13)^3+('10_Production_Revenue'!E21*$A7*E$5-('09_OPEX_10Y'!E39-'10_Production_Revenue'!E25)-'10_Production_Revenue'!E25*$A7-0)/(1+'02_Assumptions'!$C$13)^4+('10_Production_Revenue'!F21*$A7*E$5-('09_OPEX_10Y'!F39-'10_Production_Revenue'!F25)-'10_Production_Revenue'!F25*$A7-'06_Equipment_Tools'!$I$39*0.2)/(1+'02_Assumptions'!$C$13)^5+('10_Production_Revenue'!G21*$A7*E$5-('09_OPEX_10Y'!G39-'10_Production_Revenue'!G25)-'10_Production_Revenue'!G25*$A7-0)/(1+'02_Assumptions'!$C$13)^6+('10_Production_Revenue'!H21*$A7*E$5-('09_OPEX_10Y'!H39-'10_Production_Revenue'!H25)-'10_Production_Revenue'!H25*$A7-0)/(1+'02_Assumptions'!$C$13)^7+('10_Production_Revenue'!I21*$A7*E$5-('09_OPEX_10Y'!I39-'10_Production_Revenue'!I25)-'10_Production_Revenue'!I25*$A7-'06_Equipment_Tools'!$I$39*0.1)/(1+'02_Assumptions'!$C$13)^8+('10_Production_Revenue'!J21*$A7*E$5-('09_OPEX_10Y'!J39-'10_Production_Revenue'!J25)-'10_Production_Revenue'!J25*$A7-0)/(1+'02_Assumptions'!$C$13)^9+('10_Production_Revenue'!K21*$A7*E$5-('09_OPEX_10Y'!K39-'10_Production_Revenue'!K25)-'10_Production_Revenue'!K25*$A7-0)/(1+'02_Assumptions'!$C$13)^10</f>
        <v>-12041834664.621624</v>
      </c>
      <c r="F7" s="23">
        <f>-'08_CAPEX_RAB'!$H$43+('10_Production_Revenue'!B21*$A7*F$5-('09_OPEX_10Y'!B39-'10_Production_Revenue'!B25)-'10_Production_Revenue'!B25*$A7-0)/(1+'02_Assumptions'!$C$13)^1+('10_Production_Revenue'!C21*$A7*F$5-('09_OPEX_10Y'!C39-'10_Production_Revenue'!C25)-'10_Production_Revenue'!C25*$A7-0)/(1+'02_Assumptions'!$C$13)^2+('10_Production_Revenue'!D21*$A7*F$5-('09_OPEX_10Y'!D39-'10_Production_Revenue'!D25)-'10_Production_Revenue'!D25*$A7-0)/(1+'02_Assumptions'!$C$13)^3+('10_Production_Revenue'!E21*$A7*F$5-('09_OPEX_10Y'!E39-'10_Production_Revenue'!E25)-'10_Production_Revenue'!E25*$A7-0)/(1+'02_Assumptions'!$C$13)^4+('10_Production_Revenue'!F21*$A7*F$5-('09_OPEX_10Y'!F39-'10_Production_Revenue'!F25)-'10_Production_Revenue'!F25*$A7-'06_Equipment_Tools'!$I$39*0.2)/(1+'02_Assumptions'!$C$13)^5+('10_Production_Revenue'!G21*$A7*F$5-('09_OPEX_10Y'!G39-'10_Production_Revenue'!G25)-'10_Production_Revenue'!G25*$A7-0)/(1+'02_Assumptions'!$C$13)^6+('10_Production_Revenue'!H21*$A7*F$5-('09_OPEX_10Y'!H39-'10_Production_Revenue'!H25)-'10_Production_Revenue'!H25*$A7-0)/(1+'02_Assumptions'!$C$13)^7+('10_Production_Revenue'!I21*$A7*F$5-('09_OPEX_10Y'!I39-'10_Production_Revenue'!I25)-'10_Production_Revenue'!I25*$A7-'06_Equipment_Tools'!$I$39*0.1)/(1+'02_Assumptions'!$C$13)^8+('10_Production_Revenue'!J21*$A7*F$5-('09_OPEX_10Y'!J39-'10_Production_Revenue'!J25)-'10_Production_Revenue'!J25*$A7-0)/(1+'02_Assumptions'!$C$13)^9+('10_Production_Revenue'!K21*$A7*F$5-('09_OPEX_10Y'!K39-'10_Production_Revenue'!K25)-'10_Production_Revenue'!K25*$A7-0)/(1+'02_Assumptions'!$C$13)^10</f>
        <v>-8119801450.1474533</v>
      </c>
      <c r="G7" s="17"/>
      <c r="H7" s="17"/>
    </row>
    <row r="8" spans="1:8">
      <c r="A8" s="59">
        <v>1</v>
      </c>
      <c r="B8" s="23">
        <f>-'08_CAPEX_RAB'!$H$43+('10_Production_Revenue'!B21*$A8*B$5-('09_OPEX_10Y'!B39-'10_Production_Revenue'!B25)-'10_Production_Revenue'!B25*$A8-0)/(1+'02_Assumptions'!$C$13)^1+('10_Production_Revenue'!C21*$A8*B$5-('09_OPEX_10Y'!C39-'10_Production_Revenue'!C25)-'10_Production_Revenue'!C25*$A8-0)/(1+'02_Assumptions'!$C$13)^2+('10_Production_Revenue'!D21*$A8*B$5-('09_OPEX_10Y'!D39-'10_Production_Revenue'!D25)-'10_Production_Revenue'!D25*$A8-0)/(1+'02_Assumptions'!$C$13)^3+('10_Production_Revenue'!E21*$A8*B$5-('09_OPEX_10Y'!E39-'10_Production_Revenue'!E25)-'10_Production_Revenue'!E25*$A8-0)/(1+'02_Assumptions'!$C$13)^4+('10_Production_Revenue'!F21*$A8*B$5-('09_OPEX_10Y'!F39-'10_Production_Revenue'!F25)-'10_Production_Revenue'!F25*$A8-'06_Equipment_Tools'!$I$39*0.2)/(1+'02_Assumptions'!$C$13)^5+('10_Production_Revenue'!G21*$A8*B$5-('09_OPEX_10Y'!G39-'10_Production_Revenue'!G25)-'10_Production_Revenue'!G25*$A8-0)/(1+'02_Assumptions'!$C$13)^6+('10_Production_Revenue'!H21*$A8*B$5-('09_OPEX_10Y'!H39-'10_Production_Revenue'!H25)-'10_Production_Revenue'!H25*$A8-0)/(1+'02_Assumptions'!$C$13)^7+('10_Production_Revenue'!I21*$A8*B$5-('09_OPEX_10Y'!I39-'10_Production_Revenue'!I25)-'10_Production_Revenue'!I25*$A8-'06_Equipment_Tools'!$I$39*0.1)/(1+'02_Assumptions'!$C$13)^8+('10_Production_Revenue'!J21*$A8*B$5-('09_OPEX_10Y'!J39-'10_Production_Revenue'!J25)-'10_Production_Revenue'!J25*$A8-0)/(1+'02_Assumptions'!$C$13)^9+('10_Production_Revenue'!K21*$A8*B$5-('09_OPEX_10Y'!K39-'10_Production_Revenue'!K25)-'10_Production_Revenue'!K25*$A8-0)/(1+'02_Assumptions'!$C$13)^10</f>
        <v>-21100798287.297268</v>
      </c>
      <c r="C8" s="23">
        <f>-'08_CAPEX_RAB'!$H$43+('10_Production_Revenue'!B21*$A8*C$5-('09_OPEX_10Y'!B39-'10_Production_Revenue'!B25)-'10_Production_Revenue'!B25*$A8-0)/(1+'02_Assumptions'!$C$13)^1+('10_Production_Revenue'!C21*$A8*C$5-('09_OPEX_10Y'!C39-'10_Production_Revenue'!C25)-'10_Production_Revenue'!C25*$A8-0)/(1+'02_Assumptions'!$C$13)^2+('10_Production_Revenue'!D21*$A8*C$5-('09_OPEX_10Y'!D39-'10_Production_Revenue'!D25)-'10_Production_Revenue'!D25*$A8-0)/(1+'02_Assumptions'!$C$13)^3+('10_Production_Revenue'!E21*$A8*C$5-('09_OPEX_10Y'!E39-'10_Production_Revenue'!E25)-'10_Production_Revenue'!E25*$A8-0)/(1+'02_Assumptions'!$C$13)^4+('10_Production_Revenue'!F21*$A8*C$5-('09_OPEX_10Y'!F39-'10_Production_Revenue'!F25)-'10_Production_Revenue'!F25*$A8-'06_Equipment_Tools'!$I$39*0.2)/(1+'02_Assumptions'!$C$13)^5+('10_Production_Revenue'!G21*$A8*C$5-('09_OPEX_10Y'!G39-'10_Production_Revenue'!G25)-'10_Production_Revenue'!G25*$A8-0)/(1+'02_Assumptions'!$C$13)^6+('10_Production_Revenue'!H21*$A8*C$5-('09_OPEX_10Y'!H39-'10_Production_Revenue'!H25)-'10_Production_Revenue'!H25*$A8-0)/(1+'02_Assumptions'!$C$13)^7+('10_Production_Revenue'!I21*$A8*C$5-('09_OPEX_10Y'!I39-'10_Production_Revenue'!I25)-'10_Production_Revenue'!I25*$A8-'06_Equipment_Tools'!$I$39*0.1)/(1+'02_Assumptions'!$C$13)^8+('10_Production_Revenue'!J21*$A8*C$5-('09_OPEX_10Y'!J39-'10_Production_Revenue'!J25)-'10_Production_Revenue'!J25*$A8-0)/(1+'02_Assumptions'!$C$13)^9+('10_Production_Revenue'!K21*$A8*C$5-('09_OPEX_10Y'!K39-'10_Production_Revenue'!K25)-'10_Production_Revenue'!K25*$A8-0)/(1+'02_Assumptions'!$C$13)^10</f>
        <v>-16486641564.386477</v>
      </c>
      <c r="D8" s="23">
        <f>-'08_CAPEX_RAB'!$H$43+('10_Production_Revenue'!B21*$A8*D$5-('09_OPEX_10Y'!B39-'10_Production_Revenue'!B25)-'10_Production_Revenue'!B25*$A8-0)/(1+'02_Assumptions'!$C$13)^1+('10_Production_Revenue'!C21*$A8*D$5-('09_OPEX_10Y'!C39-'10_Production_Revenue'!C25)-'10_Production_Revenue'!C25*$A8-0)/(1+'02_Assumptions'!$C$13)^2+('10_Production_Revenue'!D21*$A8*D$5-('09_OPEX_10Y'!D39-'10_Production_Revenue'!D25)-'10_Production_Revenue'!D25*$A8-0)/(1+'02_Assumptions'!$C$13)^3+('10_Production_Revenue'!E21*$A8*D$5-('09_OPEX_10Y'!E39-'10_Production_Revenue'!E25)-'10_Production_Revenue'!E25*$A8-0)/(1+'02_Assumptions'!$C$13)^4+('10_Production_Revenue'!F21*$A8*D$5-('09_OPEX_10Y'!F39-'10_Production_Revenue'!F25)-'10_Production_Revenue'!F25*$A8-'06_Equipment_Tools'!$I$39*0.2)/(1+'02_Assumptions'!$C$13)^5+('10_Production_Revenue'!G21*$A8*D$5-('09_OPEX_10Y'!G39-'10_Production_Revenue'!G25)-'10_Production_Revenue'!G25*$A8-0)/(1+'02_Assumptions'!$C$13)^6+('10_Production_Revenue'!H21*$A8*D$5-('09_OPEX_10Y'!H39-'10_Production_Revenue'!H25)-'10_Production_Revenue'!H25*$A8-0)/(1+'02_Assumptions'!$C$13)^7+('10_Production_Revenue'!I21*$A8*D$5-('09_OPEX_10Y'!I39-'10_Production_Revenue'!I25)-'10_Production_Revenue'!I25*$A8-'06_Equipment_Tools'!$I$39*0.1)/(1+'02_Assumptions'!$C$13)^8+('10_Production_Revenue'!J21*$A8*D$5-('09_OPEX_10Y'!J39-'10_Production_Revenue'!J25)-'10_Production_Revenue'!J25*$A8-0)/(1+'02_Assumptions'!$C$13)^9+('10_Production_Revenue'!K21*$A8*D$5-('09_OPEX_10Y'!K39-'10_Production_Revenue'!K25)-'10_Production_Revenue'!K25*$A8-0)/(1+'02_Assumptions'!$C$13)^10</f>
        <v>-11872484841.475691</v>
      </c>
      <c r="E8" s="23">
        <f>-'08_CAPEX_RAB'!$H$43+('10_Production_Revenue'!B21*$A8*E$5-('09_OPEX_10Y'!B39-'10_Production_Revenue'!B25)-'10_Production_Revenue'!B25*$A8-0)/(1+'02_Assumptions'!$C$13)^1+('10_Production_Revenue'!C21*$A8*E$5-('09_OPEX_10Y'!C39-'10_Production_Revenue'!C25)-'10_Production_Revenue'!C25*$A8-0)/(1+'02_Assumptions'!$C$13)^2+('10_Production_Revenue'!D21*$A8*E$5-('09_OPEX_10Y'!D39-'10_Production_Revenue'!D25)-'10_Production_Revenue'!D25*$A8-0)/(1+'02_Assumptions'!$C$13)^3+('10_Production_Revenue'!E21*$A8*E$5-('09_OPEX_10Y'!E39-'10_Production_Revenue'!E25)-'10_Production_Revenue'!E25*$A8-0)/(1+'02_Assumptions'!$C$13)^4+('10_Production_Revenue'!F21*$A8*E$5-('09_OPEX_10Y'!F39-'10_Production_Revenue'!F25)-'10_Production_Revenue'!F25*$A8-'06_Equipment_Tools'!$I$39*0.2)/(1+'02_Assumptions'!$C$13)^5+('10_Production_Revenue'!G21*$A8*E$5-('09_OPEX_10Y'!G39-'10_Production_Revenue'!G25)-'10_Production_Revenue'!G25*$A8-0)/(1+'02_Assumptions'!$C$13)^6+('10_Production_Revenue'!H21*$A8*E$5-('09_OPEX_10Y'!H39-'10_Production_Revenue'!H25)-'10_Production_Revenue'!H25*$A8-0)/(1+'02_Assumptions'!$C$13)^7+('10_Production_Revenue'!I21*$A8*E$5-('09_OPEX_10Y'!I39-'10_Production_Revenue'!I25)-'10_Production_Revenue'!I25*$A8-'06_Equipment_Tools'!$I$39*0.1)/(1+'02_Assumptions'!$C$13)^8+('10_Production_Revenue'!J21*$A8*E$5-('09_OPEX_10Y'!J39-'10_Production_Revenue'!J25)-'10_Production_Revenue'!J25*$A8-0)/(1+'02_Assumptions'!$C$13)^9+('10_Production_Revenue'!K21*$A8*E$5-('09_OPEX_10Y'!K39-'10_Production_Revenue'!K25)-'10_Production_Revenue'!K25*$A8-0)/(1+'02_Assumptions'!$C$13)^10</f>
        <v>-7258328118.5649033</v>
      </c>
      <c r="F8" s="23">
        <f>-'08_CAPEX_RAB'!$H$43+('10_Production_Revenue'!B21*$A8*F$5-('09_OPEX_10Y'!B39-'10_Production_Revenue'!B25)-'10_Production_Revenue'!B25*$A8-0)/(1+'02_Assumptions'!$C$13)^1+('10_Production_Revenue'!C21*$A8*F$5-('09_OPEX_10Y'!C39-'10_Production_Revenue'!C25)-'10_Production_Revenue'!C25*$A8-0)/(1+'02_Assumptions'!$C$13)^2+('10_Production_Revenue'!D21*$A8*F$5-('09_OPEX_10Y'!D39-'10_Production_Revenue'!D25)-'10_Production_Revenue'!D25*$A8-0)/(1+'02_Assumptions'!$C$13)^3+('10_Production_Revenue'!E21*$A8*F$5-('09_OPEX_10Y'!E39-'10_Production_Revenue'!E25)-'10_Production_Revenue'!E25*$A8-0)/(1+'02_Assumptions'!$C$13)^4+('10_Production_Revenue'!F21*$A8*F$5-('09_OPEX_10Y'!F39-'10_Production_Revenue'!F25)-'10_Production_Revenue'!F25*$A8-'06_Equipment_Tools'!$I$39*0.2)/(1+'02_Assumptions'!$C$13)^5+('10_Production_Revenue'!G21*$A8*F$5-('09_OPEX_10Y'!G39-'10_Production_Revenue'!G25)-'10_Production_Revenue'!G25*$A8-0)/(1+'02_Assumptions'!$C$13)^6+('10_Production_Revenue'!H21*$A8*F$5-('09_OPEX_10Y'!H39-'10_Production_Revenue'!H25)-'10_Production_Revenue'!H25*$A8-0)/(1+'02_Assumptions'!$C$13)^7+('10_Production_Revenue'!I21*$A8*F$5-('09_OPEX_10Y'!I39-'10_Production_Revenue'!I25)-'10_Production_Revenue'!I25*$A8-'06_Equipment_Tools'!$I$39*0.1)/(1+'02_Assumptions'!$C$13)^8+('10_Production_Revenue'!J21*$A8*F$5-('09_OPEX_10Y'!J39-'10_Production_Revenue'!J25)-'10_Production_Revenue'!J25*$A8-0)/(1+'02_Assumptions'!$C$13)^9+('10_Production_Revenue'!K21*$A8*F$5-('09_OPEX_10Y'!K39-'10_Production_Revenue'!K25)-'10_Production_Revenue'!K25*$A8-0)/(1+'02_Assumptions'!$C$13)^10</f>
        <v>-2644171395.6541195</v>
      </c>
      <c r="G8" s="17"/>
      <c r="H8" s="17"/>
    </row>
    <row r="9" spans="1:8">
      <c r="A9" s="59">
        <v>1.1499999999999999</v>
      </c>
      <c r="B9" s="23">
        <f>-'08_CAPEX_RAB'!$H$43+('10_Production_Revenue'!B21*$A9*B$5-('09_OPEX_10Y'!B39-'10_Production_Revenue'!B25)-'10_Production_Revenue'!B25*$A9-0)/(1+'02_Assumptions'!$C$13)^1+('10_Production_Revenue'!C21*$A9*B$5-('09_OPEX_10Y'!C39-'10_Production_Revenue'!C25)-'10_Production_Revenue'!C25*$A9-0)/(1+'02_Assumptions'!$C$13)^2+('10_Production_Revenue'!D21*$A9*B$5-('09_OPEX_10Y'!D39-'10_Production_Revenue'!D25)-'10_Production_Revenue'!D25*$A9-0)/(1+'02_Assumptions'!$C$13)^3+('10_Production_Revenue'!E21*$A9*B$5-('09_OPEX_10Y'!E39-'10_Production_Revenue'!E25)-'10_Production_Revenue'!E25*$A9-0)/(1+'02_Assumptions'!$C$13)^4+('10_Production_Revenue'!F21*$A9*B$5-('09_OPEX_10Y'!F39-'10_Production_Revenue'!F25)-'10_Production_Revenue'!F25*$A9-'06_Equipment_Tools'!$I$39*0.2)/(1+'02_Assumptions'!$C$13)^5+('10_Production_Revenue'!G21*$A9*B$5-('09_OPEX_10Y'!G39-'10_Production_Revenue'!G25)-'10_Production_Revenue'!G25*$A9-0)/(1+'02_Assumptions'!$C$13)^6+('10_Production_Revenue'!H21*$A9*B$5-('09_OPEX_10Y'!H39-'10_Production_Revenue'!H25)-'10_Production_Revenue'!H25*$A9-0)/(1+'02_Assumptions'!$C$13)^7+('10_Production_Revenue'!I21*$A9*B$5-('09_OPEX_10Y'!I39-'10_Production_Revenue'!I25)-'10_Production_Revenue'!I25*$A9-'06_Equipment_Tools'!$I$39*0.1)/(1+'02_Assumptions'!$C$13)^8+('10_Production_Revenue'!J21*$A9*B$5-('09_OPEX_10Y'!J39-'10_Production_Revenue'!J25)-'10_Production_Revenue'!J25*$A9-0)/(1+'02_Assumptions'!$C$13)^9+('10_Production_Revenue'!K21*$A9*B$5-('09_OPEX_10Y'!K39-'10_Production_Revenue'!K25)-'10_Production_Revenue'!K25*$A9-0)/(1+'02_Assumptions'!$C$13)^10</f>
        <v>-18393662266.550407</v>
      </c>
      <c r="C9" s="23">
        <f>-'08_CAPEX_RAB'!$H$43+('10_Production_Revenue'!B21*$A9*C$5-('09_OPEX_10Y'!B39-'10_Production_Revenue'!B25)-'10_Production_Revenue'!B25*$A9-0)/(1+'02_Assumptions'!$C$13)^1+('10_Production_Revenue'!C21*$A9*C$5-('09_OPEX_10Y'!C39-'10_Production_Revenue'!C25)-'10_Production_Revenue'!C25*$A9-0)/(1+'02_Assumptions'!$C$13)^2+('10_Production_Revenue'!D21*$A9*C$5-('09_OPEX_10Y'!D39-'10_Production_Revenue'!D25)-'10_Production_Revenue'!D25*$A9-0)/(1+'02_Assumptions'!$C$13)^3+('10_Production_Revenue'!E21*$A9*C$5-('09_OPEX_10Y'!E39-'10_Production_Revenue'!E25)-'10_Production_Revenue'!E25*$A9-0)/(1+'02_Assumptions'!$C$13)^4+('10_Production_Revenue'!F21*$A9*C$5-('09_OPEX_10Y'!F39-'10_Production_Revenue'!F25)-'10_Production_Revenue'!F25*$A9-'06_Equipment_Tools'!$I$39*0.2)/(1+'02_Assumptions'!$C$13)^5+('10_Production_Revenue'!G21*$A9*C$5-('09_OPEX_10Y'!G39-'10_Production_Revenue'!G25)-'10_Production_Revenue'!G25*$A9-0)/(1+'02_Assumptions'!$C$13)^6+('10_Production_Revenue'!H21*$A9*C$5-('09_OPEX_10Y'!H39-'10_Production_Revenue'!H25)-'10_Production_Revenue'!H25*$A9-0)/(1+'02_Assumptions'!$C$13)^7+('10_Production_Revenue'!I21*$A9*C$5-('09_OPEX_10Y'!I39-'10_Production_Revenue'!I25)-'10_Production_Revenue'!I25*$A9-'06_Equipment_Tools'!$I$39*0.1)/(1+'02_Assumptions'!$C$13)^8+('10_Production_Revenue'!J21*$A9*C$5-('09_OPEX_10Y'!J39-'10_Production_Revenue'!J25)-'10_Production_Revenue'!J25*$A9-0)/(1+'02_Assumptions'!$C$13)^9+('10_Production_Revenue'!K21*$A9*C$5-('09_OPEX_10Y'!K39-'10_Production_Revenue'!K25)-'10_Production_Revenue'!K25*$A9-0)/(1+'02_Assumptions'!$C$13)^10</f>
        <v>-13087382035.202999</v>
      </c>
      <c r="D9" s="23">
        <f>-'08_CAPEX_RAB'!$H$43+('10_Production_Revenue'!B21*$A9*D$5-('09_OPEX_10Y'!B39-'10_Production_Revenue'!B25)-'10_Production_Revenue'!B25*$A9-0)/(1+'02_Assumptions'!$C$13)^1+('10_Production_Revenue'!C21*$A9*D$5-('09_OPEX_10Y'!C39-'10_Production_Revenue'!C25)-'10_Production_Revenue'!C25*$A9-0)/(1+'02_Assumptions'!$C$13)^2+('10_Production_Revenue'!D21*$A9*D$5-('09_OPEX_10Y'!D39-'10_Production_Revenue'!D25)-'10_Production_Revenue'!D25*$A9-0)/(1+'02_Assumptions'!$C$13)^3+('10_Production_Revenue'!E21*$A9*D$5-('09_OPEX_10Y'!E39-'10_Production_Revenue'!E25)-'10_Production_Revenue'!E25*$A9-0)/(1+'02_Assumptions'!$C$13)^4+('10_Production_Revenue'!F21*$A9*D$5-('09_OPEX_10Y'!F39-'10_Production_Revenue'!F25)-'10_Production_Revenue'!F25*$A9-'06_Equipment_Tools'!$I$39*0.2)/(1+'02_Assumptions'!$C$13)^5+('10_Production_Revenue'!G21*$A9*D$5-('09_OPEX_10Y'!G39-'10_Production_Revenue'!G25)-'10_Production_Revenue'!G25*$A9-0)/(1+'02_Assumptions'!$C$13)^6+('10_Production_Revenue'!H21*$A9*D$5-('09_OPEX_10Y'!H39-'10_Production_Revenue'!H25)-'10_Production_Revenue'!H25*$A9-0)/(1+'02_Assumptions'!$C$13)^7+('10_Production_Revenue'!I21*$A9*D$5-('09_OPEX_10Y'!I39-'10_Production_Revenue'!I25)-'10_Production_Revenue'!I25*$A9-'06_Equipment_Tools'!$I$39*0.1)/(1+'02_Assumptions'!$C$13)^8+('10_Production_Revenue'!J21*$A9*D$5-('09_OPEX_10Y'!J39-'10_Production_Revenue'!J25)-'10_Production_Revenue'!J25*$A9-0)/(1+'02_Assumptions'!$C$13)^9+('10_Production_Revenue'!K21*$A9*D$5-('09_OPEX_10Y'!K39-'10_Production_Revenue'!K25)-'10_Production_Revenue'!K25*$A9-0)/(1+'02_Assumptions'!$C$13)^10</f>
        <v>-7781101803.8555956</v>
      </c>
      <c r="E9" s="23">
        <f>-'08_CAPEX_RAB'!$H$43+('10_Production_Revenue'!B21*$A9*E$5-('09_OPEX_10Y'!B39-'10_Production_Revenue'!B25)-'10_Production_Revenue'!B25*$A9-0)/(1+'02_Assumptions'!$C$13)^1+('10_Production_Revenue'!C21*$A9*E$5-('09_OPEX_10Y'!C39-'10_Production_Revenue'!C25)-'10_Production_Revenue'!C25*$A9-0)/(1+'02_Assumptions'!$C$13)^2+('10_Production_Revenue'!D21*$A9*E$5-('09_OPEX_10Y'!D39-'10_Production_Revenue'!D25)-'10_Production_Revenue'!D25*$A9-0)/(1+'02_Assumptions'!$C$13)^3+('10_Production_Revenue'!E21*$A9*E$5-('09_OPEX_10Y'!E39-'10_Production_Revenue'!E25)-'10_Production_Revenue'!E25*$A9-0)/(1+'02_Assumptions'!$C$13)^4+('10_Production_Revenue'!F21*$A9*E$5-('09_OPEX_10Y'!F39-'10_Production_Revenue'!F25)-'10_Production_Revenue'!F25*$A9-'06_Equipment_Tools'!$I$39*0.2)/(1+'02_Assumptions'!$C$13)^5+('10_Production_Revenue'!G21*$A9*E$5-('09_OPEX_10Y'!G39-'10_Production_Revenue'!G25)-'10_Production_Revenue'!G25*$A9-0)/(1+'02_Assumptions'!$C$13)^6+('10_Production_Revenue'!H21*$A9*E$5-('09_OPEX_10Y'!H39-'10_Production_Revenue'!H25)-'10_Production_Revenue'!H25*$A9-0)/(1+'02_Assumptions'!$C$13)^7+('10_Production_Revenue'!I21*$A9*E$5-('09_OPEX_10Y'!I39-'10_Production_Revenue'!I25)-'10_Production_Revenue'!I25*$A9-'06_Equipment_Tools'!$I$39*0.1)/(1+'02_Assumptions'!$C$13)^8+('10_Production_Revenue'!J21*$A9*E$5-('09_OPEX_10Y'!J39-'10_Production_Revenue'!J25)-'10_Production_Revenue'!J25*$A9-0)/(1+'02_Assumptions'!$C$13)^9+('10_Production_Revenue'!K21*$A9*E$5-('09_OPEX_10Y'!K39-'10_Production_Revenue'!K25)-'10_Production_Revenue'!K25*$A9-0)/(1+'02_Assumptions'!$C$13)^10</f>
        <v>-2474821572.508193</v>
      </c>
      <c r="F9" s="23">
        <f>-'08_CAPEX_RAB'!$H$43+('10_Production_Revenue'!B21*$A9*F$5-('09_OPEX_10Y'!B39-'10_Production_Revenue'!B25)-'10_Production_Revenue'!B25*$A9-0)/(1+'02_Assumptions'!$C$13)^1+('10_Production_Revenue'!C21*$A9*F$5-('09_OPEX_10Y'!C39-'10_Production_Revenue'!C25)-'10_Production_Revenue'!C25*$A9-0)/(1+'02_Assumptions'!$C$13)^2+('10_Production_Revenue'!D21*$A9*F$5-('09_OPEX_10Y'!D39-'10_Production_Revenue'!D25)-'10_Production_Revenue'!D25*$A9-0)/(1+'02_Assumptions'!$C$13)^3+('10_Production_Revenue'!E21*$A9*F$5-('09_OPEX_10Y'!E39-'10_Production_Revenue'!E25)-'10_Production_Revenue'!E25*$A9-0)/(1+'02_Assumptions'!$C$13)^4+('10_Production_Revenue'!F21*$A9*F$5-('09_OPEX_10Y'!F39-'10_Production_Revenue'!F25)-'10_Production_Revenue'!F25*$A9-'06_Equipment_Tools'!$I$39*0.2)/(1+'02_Assumptions'!$C$13)^5+('10_Production_Revenue'!G21*$A9*F$5-('09_OPEX_10Y'!G39-'10_Production_Revenue'!G25)-'10_Production_Revenue'!G25*$A9-0)/(1+'02_Assumptions'!$C$13)^6+('10_Production_Revenue'!H21*$A9*F$5-('09_OPEX_10Y'!H39-'10_Production_Revenue'!H25)-'10_Production_Revenue'!H25*$A9-0)/(1+'02_Assumptions'!$C$13)^7+('10_Production_Revenue'!I21*$A9*F$5-('09_OPEX_10Y'!I39-'10_Production_Revenue'!I25)-'10_Production_Revenue'!I25*$A9-'06_Equipment_Tools'!$I$39*0.1)/(1+'02_Assumptions'!$C$13)^8+('10_Production_Revenue'!J21*$A9*F$5-('09_OPEX_10Y'!J39-'10_Production_Revenue'!J25)-'10_Production_Revenue'!J25*$A9-0)/(1+'02_Assumptions'!$C$13)^9+('10_Production_Revenue'!K21*$A9*F$5-('09_OPEX_10Y'!K39-'10_Production_Revenue'!K25)-'10_Production_Revenue'!K25*$A9-0)/(1+'02_Assumptions'!$C$13)^10</f>
        <v>2831458658.8392148</v>
      </c>
      <c r="G9" s="17"/>
      <c r="H9" s="17"/>
    </row>
    <row r="10" spans="1:8">
      <c r="A10" s="59">
        <v>1.3</v>
      </c>
      <c r="B10" s="23">
        <f>-'08_CAPEX_RAB'!$H$43+('10_Production_Revenue'!B21*$A10*B$5-('09_OPEX_10Y'!B39-'10_Production_Revenue'!B25)-'10_Production_Revenue'!B25*$A10-0)/(1+'02_Assumptions'!$C$13)^1+('10_Production_Revenue'!C21*$A10*B$5-('09_OPEX_10Y'!C39-'10_Production_Revenue'!C25)-'10_Production_Revenue'!C25*$A10-0)/(1+'02_Assumptions'!$C$13)^2+('10_Production_Revenue'!D21*$A10*B$5-('09_OPEX_10Y'!D39-'10_Production_Revenue'!D25)-'10_Production_Revenue'!D25*$A10-0)/(1+'02_Assumptions'!$C$13)^3+('10_Production_Revenue'!E21*$A10*B$5-('09_OPEX_10Y'!E39-'10_Production_Revenue'!E25)-'10_Production_Revenue'!E25*$A10-0)/(1+'02_Assumptions'!$C$13)^4+('10_Production_Revenue'!F21*$A10*B$5-('09_OPEX_10Y'!F39-'10_Production_Revenue'!F25)-'10_Production_Revenue'!F25*$A10-'06_Equipment_Tools'!$I$39*0.2)/(1+'02_Assumptions'!$C$13)^5+('10_Production_Revenue'!G21*$A10*B$5-('09_OPEX_10Y'!G39-'10_Production_Revenue'!G25)-'10_Production_Revenue'!G25*$A10-0)/(1+'02_Assumptions'!$C$13)^6+('10_Production_Revenue'!H21*$A10*B$5-('09_OPEX_10Y'!H39-'10_Production_Revenue'!H25)-'10_Production_Revenue'!H25*$A10-0)/(1+'02_Assumptions'!$C$13)^7+('10_Production_Revenue'!I21*$A10*B$5-('09_OPEX_10Y'!I39-'10_Production_Revenue'!I25)-'10_Production_Revenue'!I25*$A10-'06_Equipment_Tools'!$I$39*0.1)/(1+'02_Assumptions'!$C$13)^8+('10_Production_Revenue'!J21*$A10*B$5-('09_OPEX_10Y'!J39-'10_Production_Revenue'!J25)-'10_Production_Revenue'!J25*$A10-0)/(1+'02_Assumptions'!$C$13)^9+('10_Production_Revenue'!K21*$A10*B$5-('09_OPEX_10Y'!K39-'10_Production_Revenue'!K25)-'10_Production_Revenue'!K25*$A10-0)/(1+'02_Assumptions'!$C$13)^10</f>
        <v>-15686526245.803543</v>
      </c>
      <c r="C10" s="23">
        <f>-'08_CAPEX_RAB'!$H$43+('10_Production_Revenue'!B21*$A10*C$5-('09_OPEX_10Y'!B39-'10_Production_Revenue'!B25)-'10_Production_Revenue'!B25*$A10-0)/(1+'02_Assumptions'!$C$13)^1+('10_Production_Revenue'!C21*$A10*C$5-('09_OPEX_10Y'!C39-'10_Production_Revenue'!C25)-'10_Production_Revenue'!C25*$A10-0)/(1+'02_Assumptions'!$C$13)^2+('10_Production_Revenue'!D21*$A10*C$5-('09_OPEX_10Y'!D39-'10_Production_Revenue'!D25)-'10_Production_Revenue'!D25*$A10-0)/(1+'02_Assumptions'!$C$13)^3+('10_Production_Revenue'!E21*$A10*C$5-('09_OPEX_10Y'!E39-'10_Production_Revenue'!E25)-'10_Production_Revenue'!E25*$A10-0)/(1+'02_Assumptions'!$C$13)^4+('10_Production_Revenue'!F21*$A10*C$5-('09_OPEX_10Y'!F39-'10_Production_Revenue'!F25)-'10_Production_Revenue'!F25*$A10-'06_Equipment_Tools'!$I$39*0.2)/(1+'02_Assumptions'!$C$13)^5+('10_Production_Revenue'!G21*$A10*C$5-('09_OPEX_10Y'!G39-'10_Production_Revenue'!G25)-'10_Production_Revenue'!G25*$A10-0)/(1+'02_Assumptions'!$C$13)^6+('10_Production_Revenue'!H21*$A10*C$5-('09_OPEX_10Y'!H39-'10_Production_Revenue'!H25)-'10_Production_Revenue'!H25*$A10-0)/(1+'02_Assumptions'!$C$13)^7+('10_Production_Revenue'!I21*$A10*C$5-('09_OPEX_10Y'!I39-'10_Production_Revenue'!I25)-'10_Production_Revenue'!I25*$A10-'06_Equipment_Tools'!$I$39*0.1)/(1+'02_Assumptions'!$C$13)^8+('10_Production_Revenue'!J21*$A10*C$5-('09_OPEX_10Y'!J39-'10_Production_Revenue'!J25)-'10_Production_Revenue'!J25*$A10-0)/(1+'02_Assumptions'!$C$13)^9+('10_Production_Revenue'!K21*$A10*C$5-('09_OPEX_10Y'!K39-'10_Production_Revenue'!K25)-'10_Production_Revenue'!K25*$A10-0)/(1+'02_Assumptions'!$C$13)^10</f>
        <v>-9688122506.019516</v>
      </c>
      <c r="D10" s="23">
        <f>-'08_CAPEX_RAB'!$H$43+('10_Production_Revenue'!B21*$A10*D$5-('09_OPEX_10Y'!B39-'10_Production_Revenue'!B25)-'10_Production_Revenue'!B25*$A10-0)/(1+'02_Assumptions'!$C$13)^1+('10_Production_Revenue'!C21*$A10*D$5-('09_OPEX_10Y'!C39-'10_Production_Revenue'!C25)-'10_Production_Revenue'!C25*$A10-0)/(1+'02_Assumptions'!$C$13)^2+('10_Production_Revenue'!D21*$A10*D$5-('09_OPEX_10Y'!D39-'10_Production_Revenue'!D25)-'10_Production_Revenue'!D25*$A10-0)/(1+'02_Assumptions'!$C$13)^3+('10_Production_Revenue'!E21*$A10*D$5-('09_OPEX_10Y'!E39-'10_Production_Revenue'!E25)-'10_Production_Revenue'!E25*$A10-0)/(1+'02_Assumptions'!$C$13)^4+('10_Production_Revenue'!F21*$A10*D$5-('09_OPEX_10Y'!F39-'10_Production_Revenue'!F25)-'10_Production_Revenue'!F25*$A10-'06_Equipment_Tools'!$I$39*0.2)/(1+'02_Assumptions'!$C$13)^5+('10_Production_Revenue'!G21*$A10*D$5-('09_OPEX_10Y'!G39-'10_Production_Revenue'!G25)-'10_Production_Revenue'!G25*$A10-0)/(1+'02_Assumptions'!$C$13)^6+('10_Production_Revenue'!H21*$A10*D$5-('09_OPEX_10Y'!H39-'10_Production_Revenue'!H25)-'10_Production_Revenue'!H25*$A10-0)/(1+'02_Assumptions'!$C$13)^7+('10_Production_Revenue'!I21*$A10*D$5-('09_OPEX_10Y'!I39-'10_Production_Revenue'!I25)-'10_Production_Revenue'!I25*$A10-'06_Equipment_Tools'!$I$39*0.1)/(1+'02_Assumptions'!$C$13)^8+('10_Production_Revenue'!J21*$A10*D$5-('09_OPEX_10Y'!J39-'10_Production_Revenue'!J25)-'10_Production_Revenue'!J25*$A10-0)/(1+'02_Assumptions'!$C$13)^9+('10_Production_Revenue'!K21*$A10*D$5-('09_OPEX_10Y'!K39-'10_Production_Revenue'!K25)-'10_Production_Revenue'!K25*$A10-0)/(1+'02_Assumptions'!$C$13)^10</f>
        <v>-3689718766.2354913</v>
      </c>
      <c r="E10" s="23">
        <f>-'08_CAPEX_RAB'!$H$43+('10_Production_Revenue'!B21*$A10*E$5-('09_OPEX_10Y'!B39-'10_Production_Revenue'!B25)-'10_Production_Revenue'!B25*$A10-0)/(1+'02_Assumptions'!$C$13)^1+('10_Production_Revenue'!C21*$A10*E$5-('09_OPEX_10Y'!C39-'10_Production_Revenue'!C25)-'10_Production_Revenue'!C25*$A10-0)/(1+'02_Assumptions'!$C$13)^2+('10_Production_Revenue'!D21*$A10*E$5-('09_OPEX_10Y'!D39-'10_Production_Revenue'!D25)-'10_Production_Revenue'!D25*$A10-0)/(1+'02_Assumptions'!$C$13)^3+('10_Production_Revenue'!E21*$A10*E$5-('09_OPEX_10Y'!E39-'10_Production_Revenue'!E25)-'10_Production_Revenue'!E25*$A10-0)/(1+'02_Assumptions'!$C$13)^4+('10_Production_Revenue'!F21*$A10*E$5-('09_OPEX_10Y'!F39-'10_Production_Revenue'!F25)-'10_Production_Revenue'!F25*$A10-'06_Equipment_Tools'!$I$39*0.2)/(1+'02_Assumptions'!$C$13)^5+('10_Production_Revenue'!G21*$A10*E$5-('09_OPEX_10Y'!G39-'10_Production_Revenue'!G25)-'10_Production_Revenue'!G25*$A10-0)/(1+'02_Assumptions'!$C$13)^6+('10_Production_Revenue'!H21*$A10*E$5-('09_OPEX_10Y'!H39-'10_Production_Revenue'!H25)-'10_Production_Revenue'!H25*$A10-0)/(1+'02_Assumptions'!$C$13)^7+('10_Production_Revenue'!I21*$A10*E$5-('09_OPEX_10Y'!I39-'10_Production_Revenue'!I25)-'10_Production_Revenue'!I25*$A10-'06_Equipment_Tools'!$I$39*0.1)/(1+'02_Assumptions'!$C$13)^8+('10_Production_Revenue'!J21*$A10*E$5-('09_OPEX_10Y'!J39-'10_Production_Revenue'!J25)-'10_Production_Revenue'!J25*$A10-0)/(1+'02_Assumptions'!$C$13)^9+('10_Production_Revenue'!K21*$A10*E$5-('09_OPEX_10Y'!K39-'10_Production_Revenue'!K25)-'10_Production_Revenue'!K25*$A10-0)/(1+'02_Assumptions'!$C$13)^10</f>
        <v>2308684973.5485277</v>
      </c>
      <c r="F10" s="23">
        <f>-'08_CAPEX_RAB'!$H$43+('10_Production_Revenue'!B21*$A10*F$5-('09_OPEX_10Y'!B39-'10_Production_Revenue'!B25)-'10_Production_Revenue'!B25*$A10-0)/(1+'02_Assumptions'!$C$13)^1+('10_Production_Revenue'!C21*$A10*F$5-('09_OPEX_10Y'!C39-'10_Production_Revenue'!C25)-'10_Production_Revenue'!C25*$A10-0)/(1+'02_Assumptions'!$C$13)^2+('10_Production_Revenue'!D21*$A10*F$5-('09_OPEX_10Y'!D39-'10_Production_Revenue'!D25)-'10_Production_Revenue'!D25*$A10-0)/(1+'02_Assumptions'!$C$13)^3+('10_Production_Revenue'!E21*$A10*F$5-('09_OPEX_10Y'!E39-'10_Production_Revenue'!E25)-'10_Production_Revenue'!E25*$A10-0)/(1+'02_Assumptions'!$C$13)^4+('10_Production_Revenue'!F21*$A10*F$5-('09_OPEX_10Y'!F39-'10_Production_Revenue'!F25)-'10_Production_Revenue'!F25*$A10-'06_Equipment_Tools'!$I$39*0.2)/(1+'02_Assumptions'!$C$13)^5+('10_Production_Revenue'!G21*$A10*F$5-('09_OPEX_10Y'!G39-'10_Production_Revenue'!G25)-'10_Production_Revenue'!G25*$A10-0)/(1+'02_Assumptions'!$C$13)^6+('10_Production_Revenue'!H21*$A10*F$5-('09_OPEX_10Y'!H39-'10_Production_Revenue'!H25)-'10_Production_Revenue'!H25*$A10-0)/(1+'02_Assumptions'!$C$13)^7+('10_Production_Revenue'!I21*$A10*F$5-('09_OPEX_10Y'!I39-'10_Production_Revenue'!I25)-'10_Production_Revenue'!I25*$A10-'06_Equipment_Tools'!$I$39*0.1)/(1+'02_Assumptions'!$C$13)^8+('10_Production_Revenue'!J21*$A10*F$5-('09_OPEX_10Y'!J39-'10_Production_Revenue'!J25)-'10_Production_Revenue'!J25*$A10-0)/(1+'02_Assumptions'!$C$13)^9+('10_Production_Revenue'!K21*$A10*F$5-('09_OPEX_10Y'!K39-'10_Production_Revenue'!K25)-'10_Production_Revenue'!K25*$A10-0)/(1+'02_Assumptions'!$C$13)^10</f>
        <v>8307088713.3325539</v>
      </c>
      <c r="G10" s="17"/>
      <c r="H10" s="17"/>
    </row>
    <row r="11" spans="1:8">
      <c r="A11" s="17"/>
      <c r="B11" s="17"/>
      <c r="C11" s="17"/>
      <c r="D11" s="17"/>
      <c r="E11" s="17"/>
      <c r="F11" s="17"/>
      <c r="G11" s="17"/>
      <c r="H11" s="17"/>
    </row>
    <row r="12" spans="1:8">
      <c r="A12" s="17"/>
      <c r="B12" s="17"/>
      <c r="C12" s="17"/>
      <c r="D12" s="17"/>
      <c r="E12" s="17"/>
      <c r="F12" s="17"/>
      <c r="G12" s="17"/>
      <c r="H12" s="17"/>
    </row>
    <row r="13" spans="1:8" ht="20" customHeight="1">
      <c r="A13" s="211" t="s">
        <v>1311</v>
      </c>
      <c r="B13" s="211"/>
      <c r="C13" s="211"/>
      <c r="D13" s="211"/>
      <c r="E13" s="211"/>
      <c r="F13" s="211"/>
      <c r="G13" s="211"/>
      <c r="H13" s="211"/>
    </row>
    <row r="14" spans="1:8" ht="28.05" customHeight="1">
      <c r="A14" s="209" t="s">
        <v>1312</v>
      </c>
      <c r="B14" s="209"/>
      <c r="C14" s="209"/>
      <c r="D14" s="209"/>
      <c r="E14" s="209"/>
      <c r="F14" s="209"/>
      <c r="G14" s="209"/>
      <c r="H14" s="209"/>
    </row>
    <row r="15" spans="1:8" ht="28.05" customHeight="1">
      <c r="A15" s="209" t="s">
        <v>1313</v>
      </c>
      <c r="B15" s="209"/>
      <c r="C15" s="209"/>
      <c r="D15" s="209"/>
      <c r="E15" s="209"/>
      <c r="F15" s="209"/>
      <c r="G15" s="209"/>
      <c r="H15" s="209"/>
    </row>
    <row r="16" spans="1:8" ht="28.05" customHeight="1">
      <c r="A16" s="209" t="s">
        <v>1314</v>
      </c>
      <c r="B16" s="209"/>
      <c r="C16" s="209"/>
      <c r="D16" s="209"/>
      <c r="E16" s="209"/>
      <c r="F16" s="209"/>
      <c r="G16" s="209"/>
      <c r="H16" s="209"/>
    </row>
    <row r="17" spans="1:8" ht="28.05" customHeight="1">
      <c r="A17" s="209" t="s">
        <v>1315</v>
      </c>
      <c r="B17" s="209"/>
      <c r="C17" s="209"/>
      <c r="D17" s="209"/>
      <c r="E17" s="209"/>
      <c r="F17" s="209"/>
      <c r="G17" s="209"/>
      <c r="H17" s="209"/>
    </row>
  </sheetData>
  <mergeCells count="8">
    <mergeCell ref="A15:H15"/>
    <mergeCell ref="A16:H16"/>
    <mergeCell ref="A17:H17"/>
    <mergeCell ref="A1:H1"/>
    <mergeCell ref="A2:H2"/>
    <mergeCell ref="A4:F4"/>
    <mergeCell ref="A13:H13"/>
    <mergeCell ref="A14:H14"/>
  </mergeCells>
  <conditionalFormatting sqref="B6:F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3"/>
  <sheetViews>
    <sheetView showGridLines="0" workbookViewId="0"/>
  </sheetViews>
  <sheetFormatPr defaultRowHeight="13.5"/>
  <cols>
    <col min="1" max="1" width="18" customWidth="1"/>
    <col min="2" max="2" width="40" customWidth="1"/>
    <col min="3" max="13" width="15" customWidth="1"/>
    <col min="14" max="14" width="42" customWidth="1"/>
  </cols>
  <sheetData>
    <row r="1" spans="1:15" ht="28.05" customHeight="1">
      <c r="A1" s="206" t="s">
        <v>1316</v>
      </c>
      <c r="B1" s="206"/>
      <c r="C1" s="206"/>
      <c r="D1" s="206"/>
      <c r="E1" s="206"/>
      <c r="F1" s="206"/>
      <c r="G1" s="206"/>
      <c r="H1" s="206"/>
      <c r="I1" s="206"/>
      <c r="J1" s="206"/>
      <c r="K1" s="206"/>
      <c r="L1" s="206"/>
      <c r="M1" s="61"/>
      <c r="N1" s="61"/>
      <c r="O1" s="61"/>
    </row>
    <row r="2" spans="1:15" ht="38" customHeight="1">
      <c r="A2" s="207" t="s">
        <v>1317</v>
      </c>
      <c r="B2" s="207"/>
      <c r="C2" s="207"/>
      <c r="D2" s="207"/>
      <c r="E2" s="207"/>
      <c r="F2" s="207"/>
      <c r="G2" s="207"/>
      <c r="H2" s="207"/>
      <c r="I2" s="207"/>
      <c r="J2" s="207"/>
      <c r="K2" s="207"/>
      <c r="L2" s="207"/>
      <c r="M2" s="1"/>
      <c r="N2" s="1"/>
      <c r="O2" s="1"/>
    </row>
    <row r="3" spans="1:15">
      <c r="A3" s="16"/>
      <c r="B3" s="16"/>
      <c r="C3" s="16"/>
      <c r="D3" s="16"/>
      <c r="E3" s="16"/>
      <c r="F3" s="16"/>
      <c r="G3" s="16"/>
      <c r="H3" s="16"/>
      <c r="I3" s="16"/>
      <c r="J3" s="16"/>
      <c r="K3" s="16"/>
      <c r="L3" s="16"/>
      <c r="M3" s="16"/>
      <c r="N3" s="16"/>
      <c r="O3" s="16"/>
    </row>
    <row r="4" spans="1:15" ht="30" customHeight="1">
      <c r="A4" s="2" t="s">
        <v>1318</v>
      </c>
      <c r="B4" s="3" t="s">
        <v>1319</v>
      </c>
      <c r="C4" s="3" t="s">
        <v>1274</v>
      </c>
      <c r="D4" s="3" t="s">
        <v>440</v>
      </c>
      <c r="E4" s="3" t="s">
        <v>441</v>
      </c>
      <c r="F4" s="3" t="s">
        <v>442</v>
      </c>
      <c r="G4" s="3" t="s">
        <v>443</v>
      </c>
      <c r="H4" s="3" t="s">
        <v>444</v>
      </c>
      <c r="I4" s="3" t="s">
        <v>445</v>
      </c>
      <c r="J4" s="3" t="s">
        <v>446</v>
      </c>
      <c r="K4" s="3" t="s">
        <v>447</v>
      </c>
      <c r="L4" s="3" t="s">
        <v>448</v>
      </c>
      <c r="M4" s="3" t="s">
        <v>449</v>
      </c>
      <c r="N4" s="4" t="s">
        <v>1320</v>
      </c>
      <c r="O4" s="16" t="s">
        <v>473</v>
      </c>
    </row>
    <row r="5" spans="1:15">
      <c r="A5" s="18" t="s">
        <v>1321</v>
      </c>
      <c r="B5" s="18" t="s">
        <v>1322</v>
      </c>
      <c r="C5" s="44">
        <v>50000000</v>
      </c>
      <c r="D5" s="37">
        <f>0*(1+'02_Assumptions'!$C$11)^0</f>
        <v>0</v>
      </c>
      <c r="E5" s="37">
        <f>0*(1+'02_Assumptions'!$C$11)^1</f>
        <v>0</v>
      </c>
      <c r="F5" s="37">
        <f>0*(1+'02_Assumptions'!$C$11)^2</f>
        <v>0</v>
      </c>
      <c r="G5" s="37">
        <f>0*(1+'02_Assumptions'!$C$11)^3</f>
        <v>0</v>
      </c>
      <c r="H5" s="37">
        <f>0*(1+'02_Assumptions'!$C$11)^4</f>
        <v>0</v>
      </c>
      <c r="I5" s="37">
        <f>0*(1+'02_Assumptions'!$C$11)^5</f>
        <v>0</v>
      </c>
      <c r="J5" s="37">
        <f>0*(1+'02_Assumptions'!$C$11)^6</f>
        <v>0</v>
      </c>
      <c r="K5" s="37">
        <f>0*(1+'02_Assumptions'!$C$11)^7</f>
        <v>0</v>
      </c>
      <c r="L5" s="37">
        <f>0*(1+'02_Assumptions'!$C$11)^8</f>
        <v>0</v>
      </c>
      <c r="M5" s="37">
        <f>0*(1+'02_Assumptions'!$C$11)^9</f>
        <v>0</v>
      </c>
      <c r="N5" s="18" t="s">
        <v>1323</v>
      </c>
      <c r="O5" s="67">
        <v>1</v>
      </c>
    </row>
    <row r="6" spans="1:15">
      <c r="A6" s="18" t="s">
        <v>1324</v>
      </c>
      <c r="B6" s="18" t="s">
        <v>1325</v>
      </c>
      <c r="C6" s="44">
        <v>100000000</v>
      </c>
      <c r="D6" s="37">
        <f>35000000*(1+'02_Assumptions'!$C$11)^0</f>
        <v>35000000</v>
      </c>
      <c r="E6" s="37">
        <f>35000000*(1+'02_Assumptions'!$C$11)^1</f>
        <v>36400000</v>
      </c>
      <c r="F6" s="37">
        <f>35000000*(1+'02_Assumptions'!$C$11)^2</f>
        <v>37856000.000000007</v>
      </c>
      <c r="G6" s="37">
        <f>35000000*(1+'02_Assumptions'!$C$11)^3</f>
        <v>39370240</v>
      </c>
      <c r="H6" s="37">
        <f>35000000*(1+'02_Assumptions'!$C$11)^4</f>
        <v>40945049.600000009</v>
      </c>
      <c r="I6" s="37">
        <f>35000000*(1+'02_Assumptions'!$C$11)^5</f>
        <v>42582851.584000014</v>
      </c>
      <c r="J6" s="37">
        <f>35000000*(1+'02_Assumptions'!$C$11)^6</f>
        <v>44286165.647360012</v>
      </c>
      <c r="K6" s="37">
        <f>35000000*(1+'02_Assumptions'!$C$11)^7</f>
        <v>46057612.273254409</v>
      </c>
      <c r="L6" s="37">
        <f>35000000*(1+'02_Assumptions'!$C$11)^8</f>
        <v>47899916.764184594</v>
      </c>
      <c r="M6" s="37">
        <f>35000000*(1+'02_Assumptions'!$C$11)^9</f>
        <v>49815913.43475198</v>
      </c>
      <c r="N6" s="18" t="s">
        <v>1326</v>
      </c>
      <c r="O6" s="67">
        <v>1</v>
      </c>
    </row>
    <row r="7" spans="1:15">
      <c r="A7" s="18" t="s">
        <v>1327</v>
      </c>
      <c r="B7" s="18" t="s">
        <v>1328</v>
      </c>
      <c r="C7" s="44">
        <v>150000000</v>
      </c>
      <c r="D7" s="37">
        <f>25000000*(1+'02_Assumptions'!$C$11)^0</f>
        <v>25000000</v>
      </c>
      <c r="E7" s="37">
        <f>25000000*(1+'02_Assumptions'!$C$11)^1</f>
        <v>26000000</v>
      </c>
      <c r="F7" s="37">
        <f>25000000*(1+'02_Assumptions'!$C$11)^2</f>
        <v>27040000.000000004</v>
      </c>
      <c r="G7" s="37">
        <f>25000000*(1+'02_Assumptions'!$C$11)^3</f>
        <v>28121600.000000004</v>
      </c>
      <c r="H7" s="37">
        <f>25000000*(1+'02_Assumptions'!$C$11)^4</f>
        <v>29246464.000000004</v>
      </c>
      <c r="I7" s="37">
        <f>25000000*(1+'02_Assumptions'!$C$11)^5</f>
        <v>30416322.56000001</v>
      </c>
      <c r="J7" s="37">
        <f>25000000*(1+'02_Assumptions'!$C$11)^6</f>
        <v>31632975.462400008</v>
      </c>
      <c r="K7" s="37">
        <f>25000000*(1+'02_Assumptions'!$C$11)^7</f>
        <v>32898294.480896007</v>
      </c>
      <c r="L7" s="37">
        <f>25000000*(1+'02_Assumptions'!$C$11)^8</f>
        <v>34214226.260131851</v>
      </c>
      <c r="M7" s="37">
        <f>25000000*(1+'02_Assumptions'!$C$11)^9</f>
        <v>35582795.31053713</v>
      </c>
      <c r="N7" s="18" t="s">
        <v>1329</v>
      </c>
      <c r="O7" s="67">
        <v>1</v>
      </c>
    </row>
    <row r="8" spans="1:15">
      <c r="A8" s="18" t="s">
        <v>1330</v>
      </c>
      <c r="B8" s="18" t="s">
        <v>1331</v>
      </c>
      <c r="C8" s="44">
        <v>40000000</v>
      </c>
      <c r="D8" s="37">
        <f>20000000*(1+'02_Assumptions'!$C$11)^0</f>
        <v>20000000</v>
      </c>
      <c r="E8" s="37">
        <f>20000000*(1+'02_Assumptions'!$C$11)^1</f>
        <v>20800000</v>
      </c>
      <c r="F8" s="37">
        <f>20000000*(1+'02_Assumptions'!$C$11)^2</f>
        <v>21632000.000000004</v>
      </c>
      <c r="G8" s="37">
        <f>20000000*(1+'02_Assumptions'!$C$11)^3</f>
        <v>22497280</v>
      </c>
      <c r="H8" s="37">
        <f>20000000*(1+'02_Assumptions'!$C$11)^4</f>
        <v>23397171.200000003</v>
      </c>
      <c r="I8" s="37">
        <f>20000000*(1+'02_Assumptions'!$C$11)^5</f>
        <v>24333058.048000008</v>
      </c>
      <c r="J8" s="37">
        <f>20000000*(1+'02_Assumptions'!$C$11)^6</f>
        <v>25306380.369920008</v>
      </c>
      <c r="K8" s="37">
        <f>20000000*(1+'02_Assumptions'!$C$11)^7</f>
        <v>26318635.584716804</v>
      </c>
      <c r="L8" s="37">
        <f>20000000*(1+'02_Assumptions'!$C$11)^8</f>
        <v>27371381.008105483</v>
      </c>
      <c r="M8" s="37">
        <f>20000000*(1+'02_Assumptions'!$C$11)^9</f>
        <v>28466236.248429704</v>
      </c>
      <c r="N8" s="18" t="s">
        <v>1332</v>
      </c>
      <c r="O8" s="67">
        <v>1</v>
      </c>
    </row>
    <row r="9" spans="1:15">
      <c r="A9" s="18" t="s">
        <v>1333</v>
      </c>
      <c r="B9" s="18" t="s">
        <v>1334</v>
      </c>
      <c r="C9" s="44">
        <v>0</v>
      </c>
      <c r="D9" s="37">
        <f>30000000*(1+'02_Assumptions'!$C$11)^0</f>
        <v>30000000</v>
      </c>
      <c r="E9" s="37">
        <f>30000000*(1+'02_Assumptions'!$C$11)^1</f>
        <v>31200000</v>
      </c>
      <c r="F9" s="37">
        <f>30000000*(1+'02_Assumptions'!$C$11)^2</f>
        <v>32448000.000000004</v>
      </c>
      <c r="G9" s="37">
        <f>30000000*(1+'02_Assumptions'!$C$11)^3</f>
        <v>33745920</v>
      </c>
      <c r="H9" s="37">
        <f>30000000*(1+'02_Assumptions'!$C$11)^4</f>
        <v>35095756.800000004</v>
      </c>
      <c r="I9" s="37">
        <f>30000000*(1+'02_Assumptions'!$C$11)^5</f>
        <v>36499587.072000012</v>
      </c>
      <c r="J9" s="37">
        <f>30000000*(1+'02_Assumptions'!$C$11)^6</f>
        <v>37959570.554880008</v>
      </c>
      <c r="K9" s="37">
        <f>30000000*(1+'02_Assumptions'!$C$11)^7</f>
        <v>39477953.37707521</v>
      </c>
      <c r="L9" s="37">
        <f>30000000*(1+'02_Assumptions'!$C$11)^8</f>
        <v>41057071.512158222</v>
      </c>
      <c r="M9" s="37">
        <f>30000000*(1+'02_Assumptions'!$C$11)^9</f>
        <v>42699354.372644559</v>
      </c>
      <c r="N9" s="18" t="s">
        <v>1335</v>
      </c>
      <c r="O9" s="67">
        <v>1</v>
      </c>
    </row>
    <row r="10" spans="1:15">
      <c r="A10" s="18" t="s">
        <v>1336</v>
      </c>
      <c r="B10" s="18" t="s">
        <v>1337</v>
      </c>
      <c r="C10" s="44">
        <v>40000000</v>
      </c>
      <c r="D10" s="37">
        <f>20000000*(1+'02_Assumptions'!$C$11)^0</f>
        <v>20000000</v>
      </c>
      <c r="E10" s="37">
        <f>20000000*(1+'02_Assumptions'!$C$11)^1</f>
        <v>20800000</v>
      </c>
      <c r="F10" s="37">
        <f>20000000*(1+'02_Assumptions'!$C$11)^2</f>
        <v>21632000.000000004</v>
      </c>
      <c r="G10" s="37">
        <f>20000000*(1+'02_Assumptions'!$C$11)^3</f>
        <v>22497280</v>
      </c>
      <c r="H10" s="37">
        <f>20000000*(1+'02_Assumptions'!$C$11)^4</f>
        <v>23397171.200000003</v>
      </c>
      <c r="I10" s="37">
        <f>20000000*(1+'02_Assumptions'!$C$11)^5</f>
        <v>24333058.048000008</v>
      </c>
      <c r="J10" s="37">
        <f>20000000*(1+'02_Assumptions'!$C$11)^6</f>
        <v>25306380.369920008</v>
      </c>
      <c r="K10" s="37">
        <f>20000000*(1+'02_Assumptions'!$C$11)^7</f>
        <v>26318635.584716804</v>
      </c>
      <c r="L10" s="37">
        <f>20000000*(1+'02_Assumptions'!$C$11)^8</f>
        <v>27371381.008105483</v>
      </c>
      <c r="M10" s="37">
        <f>20000000*(1+'02_Assumptions'!$C$11)^9</f>
        <v>28466236.248429704</v>
      </c>
      <c r="N10" s="18" t="s">
        <v>1338</v>
      </c>
      <c r="O10" s="67">
        <v>1</v>
      </c>
    </row>
    <row r="11" spans="1:15">
      <c r="A11" s="18" t="s">
        <v>1339</v>
      </c>
      <c r="B11" s="18" t="s">
        <v>1340</v>
      </c>
      <c r="C11" s="44">
        <v>0</v>
      </c>
      <c r="D11" s="37">
        <f>IF(1='02_Assumptions'!$C$17+'02_Assumptions'!$C$18,25000000*(1+'02_Assumptions'!$C$11)^0,0)</f>
        <v>0</v>
      </c>
      <c r="E11" s="37">
        <f>IF(2='02_Assumptions'!$C$17+'02_Assumptions'!$C$18,25000000*(1+'02_Assumptions'!$C$11)^1,0)</f>
        <v>0</v>
      </c>
      <c r="F11" s="37">
        <f>IF(3='02_Assumptions'!$C$17+'02_Assumptions'!$C$18,25000000*(1+'02_Assumptions'!$C$11)^2,0)</f>
        <v>0</v>
      </c>
      <c r="G11" s="37">
        <f>IF(4='02_Assumptions'!$C$17+'02_Assumptions'!$C$18,25000000*(1+'02_Assumptions'!$C$11)^3,0)</f>
        <v>0</v>
      </c>
      <c r="H11" s="37">
        <f>IF(5='02_Assumptions'!$C$17+'02_Assumptions'!$C$18,25000000*(1+'02_Assumptions'!$C$11)^4,0)</f>
        <v>29246464.000000004</v>
      </c>
      <c r="I11" s="37">
        <f>IF(6='02_Assumptions'!$C$17+'02_Assumptions'!$C$18,25000000*(1+'02_Assumptions'!$C$11)^5,0)</f>
        <v>0</v>
      </c>
      <c r="J11" s="37">
        <f>IF(7='02_Assumptions'!$C$17+'02_Assumptions'!$C$18,25000000*(1+'02_Assumptions'!$C$11)^6,0)</f>
        <v>0</v>
      </c>
      <c r="K11" s="37">
        <f>IF(8='02_Assumptions'!$C$17+'02_Assumptions'!$C$18,25000000*(1+'02_Assumptions'!$C$11)^7,0)</f>
        <v>0</v>
      </c>
      <c r="L11" s="37">
        <f>IF(9='02_Assumptions'!$C$17+'02_Assumptions'!$C$18,25000000*(1+'02_Assumptions'!$C$11)^8,0)</f>
        <v>0</v>
      </c>
      <c r="M11" s="37">
        <f>IF(10='02_Assumptions'!$C$17+'02_Assumptions'!$C$18,25000000*(1+'02_Assumptions'!$C$11)^9,0)</f>
        <v>0</v>
      </c>
      <c r="N11" s="18" t="s">
        <v>1341</v>
      </c>
      <c r="O11" s="67">
        <v>1</v>
      </c>
    </row>
    <row r="12" spans="1:15">
      <c r="A12" s="18" t="s">
        <v>1342</v>
      </c>
      <c r="B12" s="18" t="s">
        <v>1343</v>
      </c>
      <c r="C12" s="44">
        <v>0</v>
      </c>
      <c r="D12" s="37">
        <f>IF(1='02_Assumptions'!$C$17+'02_Assumptions'!$C$18+1,55000000*(1+'02_Assumptions'!$C$11)^0,0)</f>
        <v>0</v>
      </c>
      <c r="E12" s="37">
        <f>IF(2='02_Assumptions'!$C$17+'02_Assumptions'!$C$18+1,55000000*(1+'02_Assumptions'!$C$11)^1,0)</f>
        <v>0</v>
      </c>
      <c r="F12" s="37">
        <f>IF(3='02_Assumptions'!$C$17+'02_Assumptions'!$C$18+1,55000000*(1+'02_Assumptions'!$C$11)^2,0)</f>
        <v>0</v>
      </c>
      <c r="G12" s="37">
        <f>IF(4='02_Assumptions'!$C$17+'02_Assumptions'!$C$18+1,55000000*(1+'02_Assumptions'!$C$11)^3,0)</f>
        <v>0</v>
      </c>
      <c r="H12" s="37">
        <f>IF(5='02_Assumptions'!$C$17+'02_Assumptions'!$C$18+1,55000000*(1+'02_Assumptions'!$C$11)^4,0)</f>
        <v>0</v>
      </c>
      <c r="I12" s="37">
        <f>IF(6='02_Assumptions'!$C$17+'02_Assumptions'!$C$18+1,55000000*(1+'02_Assumptions'!$C$11)^5,0)</f>
        <v>66915909.632000022</v>
      </c>
      <c r="J12" s="37">
        <f>IF(7='02_Assumptions'!$C$17+'02_Assumptions'!$C$18+1,55000000*(1+'02_Assumptions'!$C$11)^6,0)</f>
        <v>0</v>
      </c>
      <c r="K12" s="37">
        <f>IF(8='02_Assumptions'!$C$17+'02_Assumptions'!$C$18+1,55000000*(1+'02_Assumptions'!$C$11)^7,0)</f>
        <v>0</v>
      </c>
      <c r="L12" s="37">
        <f>IF(9='02_Assumptions'!$C$17+'02_Assumptions'!$C$18+1,55000000*(1+'02_Assumptions'!$C$11)^8,0)</f>
        <v>0</v>
      </c>
      <c r="M12" s="37">
        <f>IF(10='02_Assumptions'!$C$17+'02_Assumptions'!$C$18+1,55000000*(1+'02_Assumptions'!$C$11)^9,0)</f>
        <v>0</v>
      </c>
      <c r="N12" s="18" t="s">
        <v>1344</v>
      </c>
      <c r="O12" s="67">
        <v>1</v>
      </c>
    </row>
    <row r="13" spans="1:15">
      <c r="A13" s="18" t="s">
        <v>1345</v>
      </c>
      <c r="B13" s="18" t="s">
        <v>1346</v>
      </c>
      <c r="C13" s="44">
        <v>0</v>
      </c>
      <c r="D13" s="37">
        <f>IF(1&gt;'02_Assumptions'!$C$17+'02_Assumptions'!$C$18+1,35000000*(1+'02_Assumptions'!$C$11)^0,0)</f>
        <v>0</v>
      </c>
      <c r="E13" s="37">
        <f>IF(2&gt;'02_Assumptions'!$C$17+'02_Assumptions'!$C$18+1,35000000*(1+'02_Assumptions'!$C$11)^1,0)</f>
        <v>0</v>
      </c>
      <c r="F13" s="37">
        <f>IF(3&gt;'02_Assumptions'!$C$17+'02_Assumptions'!$C$18+1,35000000*(1+'02_Assumptions'!$C$11)^2,0)</f>
        <v>0</v>
      </c>
      <c r="G13" s="37">
        <f>IF(4&gt;'02_Assumptions'!$C$17+'02_Assumptions'!$C$18+1,35000000*(1+'02_Assumptions'!$C$11)^3,0)</f>
        <v>0</v>
      </c>
      <c r="H13" s="37">
        <f>IF(5&gt;'02_Assumptions'!$C$17+'02_Assumptions'!$C$18+1,35000000*(1+'02_Assumptions'!$C$11)^4,0)</f>
        <v>0</v>
      </c>
      <c r="I13" s="37">
        <f>IF(6&gt;'02_Assumptions'!$C$17+'02_Assumptions'!$C$18+1,35000000*(1+'02_Assumptions'!$C$11)^5,0)</f>
        <v>0</v>
      </c>
      <c r="J13" s="37">
        <f>IF(7&gt;'02_Assumptions'!$C$17+'02_Assumptions'!$C$18+1,35000000*(1+'02_Assumptions'!$C$11)^6,0)</f>
        <v>44286165.647360012</v>
      </c>
      <c r="K13" s="37">
        <f>IF(8&gt;'02_Assumptions'!$C$17+'02_Assumptions'!$C$18+1,35000000*(1+'02_Assumptions'!$C$11)^7,0)</f>
        <v>46057612.273254409</v>
      </c>
      <c r="L13" s="37">
        <f>IF(9&gt;'02_Assumptions'!$C$17+'02_Assumptions'!$C$18+1,35000000*(1+'02_Assumptions'!$C$11)^8,0)</f>
        <v>47899916.764184594</v>
      </c>
      <c r="M13" s="37">
        <f>IF(10&gt;'02_Assumptions'!$C$17+'02_Assumptions'!$C$18+1,35000000*(1+'02_Assumptions'!$C$11)^9,0)</f>
        <v>49815913.43475198</v>
      </c>
      <c r="N13" s="18" t="s">
        <v>1347</v>
      </c>
      <c r="O13" s="67">
        <v>1</v>
      </c>
    </row>
    <row r="14" spans="1:15">
      <c r="A14" s="18" t="s">
        <v>1348</v>
      </c>
      <c r="B14" s="18" t="s">
        <v>1349</v>
      </c>
      <c r="C14" s="44">
        <v>0</v>
      </c>
      <c r="D14" s="37">
        <f>0</f>
        <v>0</v>
      </c>
      <c r="E14" s="37">
        <f>0</f>
        <v>0</v>
      </c>
      <c r="F14" s="37">
        <f>0</f>
        <v>0</v>
      </c>
      <c r="G14" s="37">
        <f>0</f>
        <v>0</v>
      </c>
      <c r="H14" s="37">
        <f>0</f>
        <v>0</v>
      </c>
      <c r="I14" s="37">
        <f>0</f>
        <v>0</v>
      </c>
      <c r="J14" s="37">
        <f>0</f>
        <v>0</v>
      </c>
      <c r="K14" s="37">
        <f>0</f>
        <v>0</v>
      </c>
      <c r="L14" s="37">
        <f>0</f>
        <v>0</v>
      </c>
      <c r="M14" s="37">
        <f>0</f>
        <v>0</v>
      </c>
      <c r="N14" s="18" t="s">
        <v>1350</v>
      </c>
      <c r="O14" s="67">
        <v>1</v>
      </c>
    </row>
    <row r="15" spans="1:15">
      <c r="A15" s="263" t="s">
        <v>1351</v>
      </c>
      <c r="B15" s="263"/>
      <c r="C15" s="80">
        <f t="shared" ref="C15:M15" si="0">SUMPRODUCT(C5:C14,$O$5:$O$14)</f>
        <v>380000000</v>
      </c>
      <c r="D15" s="80">
        <f t="shared" si="0"/>
        <v>130000000</v>
      </c>
      <c r="E15" s="80">
        <f t="shared" si="0"/>
        <v>135200000</v>
      </c>
      <c r="F15" s="80">
        <f t="shared" si="0"/>
        <v>140608000.00000003</v>
      </c>
      <c r="G15" s="80">
        <f t="shared" si="0"/>
        <v>146232320</v>
      </c>
      <c r="H15" s="80">
        <f t="shared" si="0"/>
        <v>181328076.80000001</v>
      </c>
      <c r="I15" s="80">
        <f t="shared" si="0"/>
        <v>225080786.94400007</v>
      </c>
      <c r="J15" s="80">
        <f t="shared" si="0"/>
        <v>208777638.05184007</v>
      </c>
      <c r="K15" s="80">
        <f t="shared" si="0"/>
        <v>217128743.57391363</v>
      </c>
      <c r="L15" s="80">
        <f t="shared" si="0"/>
        <v>225813893.31687024</v>
      </c>
      <c r="M15" s="80">
        <f t="shared" si="0"/>
        <v>234846449.04954508</v>
      </c>
      <c r="N15" s="80"/>
      <c r="O15" s="73"/>
    </row>
    <row r="16" spans="1:15">
      <c r="A16" s="16"/>
      <c r="B16" s="16"/>
      <c r="C16" s="16"/>
      <c r="D16" s="16"/>
      <c r="E16" s="16"/>
      <c r="F16" s="16"/>
      <c r="G16" s="16"/>
      <c r="H16" s="16"/>
      <c r="I16" s="16"/>
      <c r="J16" s="16"/>
      <c r="K16" s="16"/>
      <c r="L16" s="16"/>
      <c r="M16" s="16"/>
      <c r="N16" s="16"/>
      <c r="O16" s="16"/>
    </row>
    <row r="17" spans="1:15">
      <c r="A17" s="16"/>
      <c r="B17" s="16"/>
      <c r="C17" s="16"/>
      <c r="D17" s="16"/>
      <c r="E17" s="16"/>
      <c r="F17" s="16"/>
      <c r="G17" s="16"/>
      <c r="H17" s="16"/>
      <c r="I17" s="16"/>
      <c r="J17" s="16"/>
      <c r="K17" s="16"/>
      <c r="L17" s="16"/>
      <c r="M17" s="16"/>
      <c r="N17" s="16"/>
      <c r="O17" s="16"/>
    </row>
    <row r="18" spans="1:15" ht="20" customHeight="1">
      <c r="A18" s="254" t="s">
        <v>1352</v>
      </c>
      <c r="B18" s="254"/>
      <c r="C18" s="254"/>
      <c r="D18" s="254"/>
      <c r="E18" s="254"/>
      <c r="F18" s="254"/>
      <c r="G18" s="254"/>
      <c r="H18" s="254"/>
      <c r="I18" s="254"/>
      <c r="J18" s="254"/>
      <c r="K18" s="254"/>
      <c r="L18" s="254"/>
      <c r="M18" s="254"/>
      <c r="N18" s="254"/>
      <c r="O18" s="16"/>
    </row>
    <row r="19" spans="1:15" ht="28.05" customHeight="1">
      <c r="A19" s="273" t="s">
        <v>1353</v>
      </c>
      <c r="B19" s="273"/>
      <c r="C19" s="273"/>
      <c r="D19" s="273"/>
      <c r="E19" s="273"/>
      <c r="F19" s="273"/>
      <c r="G19" s="273"/>
      <c r="H19" s="273"/>
      <c r="I19" s="273"/>
      <c r="J19" s="273"/>
      <c r="K19" s="273"/>
      <c r="L19" s="273"/>
      <c r="M19" s="273"/>
      <c r="N19" s="273"/>
      <c r="O19" s="16"/>
    </row>
    <row r="20" spans="1:15" ht="28.05" customHeight="1">
      <c r="A20" s="273" t="s">
        <v>1354</v>
      </c>
      <c r="B20" s="273"/>
      <c r="C20" s="273"/>
      <c r="D20" s="273"/>
      <c r="E20" s="273"/>
      <c r="F20" s="273"/>
      <c r="G20" s="273"/>
      <c r="H20" s="273"/>
      <c r="I20" s="273"/>
      <c r="J20" s="273"/>
      <c r="K20" s="273"/>
      <c r="L20" s="273"/>
      <c r="M20" s="273"/>
      <c r="N20" s="273"/>
      <c r="O20" s="16"/>
    </row>
    <row r="22" spans="1:15">
      <c r="A22" s="272" t="s">
        <v>1355</v>
      </c>
      <c r="B22" s="272"/>
      <c r="C22" s="272"/>
      <c r="D22" s="272"/>
      <c r="E22" s="272"/>
      <c r="F22" s="272"/>
      <c r="G22" s="272"/>
      <c r="H22" s="272"/>
      <c r="I22" s="272"/>
      <c r="J22" s="272"/>
      <c r="K22" s="272"/>
      <c r="L22" s="272"/>
      <c r="M22" s="272"/>
      <c r="N22" s="272"/>
      <c r="O22" s="272"/>
    </row>
    <row r="23" spans="1:15">
      <c r="A23" s="272"/>
      <c r="B23" s="272"/>
      <c r="C23" s="272"/>
      <c r="D23" s="272"/>
      <c r="E23" s="272"/>
      <c r="F23" s="272"/>
      <c r="G23" s="272"/>
      <c r="H23" s="272"/>
      <c r="I23" s="272"/>
      <c r="J23" s="272"/>
      <c r="K23" s="272"/>
      <c r="L23" s="272"/>
      <c r="M23" s="272"/>
      <c r="N23" s="272"/>
      <c r="O23" s="272"/>
    </row>
  </sheetData>
  <mergeCells count="7">
    <mergeCell ref="A20:N20"/>
    <mergeCell ref="A22:O23"/>
    <mergeCell ref="A1:L1"/>
    <mergeCell ref="A2:L2"/>
    <mergeCell ref="A15:B15"/>
    <mergeCell ref="A18:N18"/>
    <mergeCell ref="A19:N19"/>
  </mergeCells>
  <dataValidations count="1">
    <dataValidation type="list" sqref="O5:O14" xr:uid="{00000000-0002-0000-0E00-000000000000}">
      <formula1>"0,1"</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2"/>
  <sheetViews>
    <sheetView showGridLines="0" workbookViewId="0"/>
  </sheetViews>
  <sheetFormatPr defaultRowHeight="13.5"/>
  <cols>
    <col min="1" max="1" width="42" customWidth="1"/>
    <col min="2" max="4" width="18" customWidth="1"/>
    <col min="5" max="6" width="12" customWidth="1"/>
    <col min="7" max="7" width="35" customWidth="1"/>
  </cols>
  <sheetData>
    <row r="1" spans="1:7" ht="28.05" customHeight="1">
      <c r="A1" s="206" t="s">
        <v>1356</v>
      </c>
      <c r="B1" s="206"/>
      <c r="C1" s="206"/>
      <c r="D1" s="206"/>
      <c r="E1" s="206"/>
      <c r="F1" s="206"/>
      <c r="G1" s="206"/>
    </row>
    <row r="2" spans="1:7" ht="38" customHeight="1">
      <c r="A2" s="207" t="s">
        <v>1357</v>
      </c>
      <c r="B2" s="207"/>
      <c r="C2" s="207"/>
      <c r="D2" s="207"/>
      <c r="E2" s="207"/>
      <c r="F2" s="207"/>
      <c r="G2" s="207"/>
    </row>
    <row r="3" spans="1:7">
      <c r="A3" s="16"/>
      <c r="B3" s="16"/>
      <c r="C3" s="16"/>
      <c r="D3" s="16"/>
      <c r="E3" s="16"/>
      <c r="F3" s="16"/>
      <c r="G3" s="16"/>
    </row>
    <row r="4" spans="1:7" ht="30" customHeight="1">
      <c r="A4" s="2" t="s">
        <v>1358</v>
      </c>
      <c r="B4" s="3" t="s">
        <v>1359</v>
      </c>
      <c r="C4" s="3" t="s">
        <v>1360</v>
      </c>
      <c r="D4" s="3" t="s">
        <v>85</v>
      </c>
      <c r="E4" s="3" t="s">
        <v>1361</v>
      </c>
      <c r="F4" s="3" t="s">
        <v>120</v>
      </c>
      <c r="G4" s="4" t="s">
        <v>1362</v>
      </c>
    </row>
    <row r="5" spans="1:7">
      <c r="A5" s="17" t="s">
        <v>1363</v>
      </c>
      <c r="B5" s="25">
        <f>'02_Assumptions'!$C$24+'02_Assumptions'!$C$25</f>
        <v>100</v>
      </c>
      <c r="C5" s="25">
        <f>'02_Assumptions'!$C$6</f>
        <v>100</v>
      </c>
      <c r="D5" s="25">
        <f>B5-C5</f>
        <v>0</v>
      </c>
      <c r="E5" s="25">
        <v>0.01</v>
      </c>
      <c r="F5" s="17" t="str">
        <f t="shared" ref="F5:F12" si="0">IF(ABS(D5)&lt;=E5,"OK","FAIL")</f>
        <v>OK</v>
      </c>
      <c r="G5" s="17" t="s">
        <v>1364</v>
      </c>
    </row>
    <row r="6" spans="1:7">
      <c r="A6" s="17" t="s">
        <v>1365</v>
      </c>
      <c r="B6" s="25">
        <f>MIN('04_Planting_Design'!$D$8,'04_Planting_Design'!$F$8,'04_Planting_Design'!$H$8)</f>
        <v>2640</v>
      </c>
      <c r="C6" s="25">
        <v>1</v>
      </c>
      <c r="D6" s="25">
        <f>MIN(0,B6-C6)</f>
        <v>0</v>
      </c>
      <c r="E6" s="25">
        <v>0</v>
      </c>
      <c r="F6" s="17" t="str">
        <f t="shared" si="0"/>
        <v>OK</v>
      </c>
      <c r="G6" s="17" t="s">
        <v>1366</v>
      </c>
    </row>
    <row r="7" spans="1:7">
      <c r="A7" s="17" t="s">
        <v>1367</v>
      </c>
      <c r="B7" s="25">
        <f>'08_CAPEX_RAB'!$J$43</f>
        <v>15268150480</v>
      </c>
      <c r="C7" s="25">
        <f>IF('02_Assumptions'!$C$8=4,'08_CAPEX_RAB'!$I$43,'08_CAPEX_RAB'!$H$43)</f>
        <v>15268150480</v>
      </c>
      <c r="D7" s="25">
        <f>B7-C7</f>
        <v>0</v>
      </c>
      <c r="E7" s="25">
        <v>1</v>
      </c>
      <c r="F7" s="17" t="str">
        <f t="shared" si="0"/>
        <v>OK</v>
      </c>
      <c r="G7" s="17" t="s">
        <v>1368</v>
      </c>
    </row>
    <row r="8" spans="1:7">
      <c r="A8" s="17" t="s">
        <v>1369</v>
      </c>
      <c r="B8" s="25">
        <f>SUM('11_Cash_Flow'!B8:L8)</f>
        <v>-2884442838.0554104</v>
      </c>
      <c r="C8" s="25">
        <f>SUM('11_Cash_Flow'!B5:L5)+SUM('11_Cash_Flow'!B6:L6)+SUM('11_Cash_Flow'!B7:L7)</f>
        <v>-2884442838.0554123</v>
      </c>
      <c r="D8" s="25">
        <f>B8-C8</f>
        <v>0</v>
      </c>
      <c r="E8" s="25">
        <v>1</v>
      </c>
      <c r="F8" s="17" t="str">
        <f t="shared" si="0"/>
        <v>OK</v>
      </c>
      <c r="G8" s="17" t="s">
        <v>1370</v>
      </c>
    </row>
    <row r="9" spans="1:7">
      <c r="A9" s="17" t="s">
        <v>1371</v>
      </c>
      <c r="B9" s="25">
        <f>'02_Assumptions'!$C$17</f>
        <v>2</v>
      </c>
      <c r="C9" s="25">
        <v>10</v>
      </c>
      <c r="D9" s="25">
        <f>MAX(0,B9-C9)</f>
        <v>0</v>
      </c>
      <c r="E9" s="25">
        <v>0</v>
      </c>
      <c r="F9" s="17" t="str">
        <f t="shared" si="0"/>
        <v>OK</v>
      </c>
      <c r="G9" s="17" t="s">
        <v>1372</v>
      </c>
    </row>
    <row r="10" spans="1:7">
      <c r="A10" s="17" t="s">
        <v>1373</v>
      </c>
      <c r="B10" s="25">
        <f>'02_Assumptions'!$C$17+'02_Assumptions'!$C$18+1</f>
        <v>6</v>
      </c>
      <c r="C10" s="25">
        <f>'02_Assumptions'!$C$17+'02_Assumptions'!$C$18+1</f>
        <v>6</v>
      </c>
      <c r="D10" s="25">
        <f>B10-C10</f>
        <v>0</v>
      </c>
      <c r="E10" s="25">
        <v>0</v>
      </c>
      <c r="F10" s="17" t="str">
        <f t="shared" si="0"/>
        <v>OK</v>
      </c>
      <c r="G10" s="17" t="s">
        <v>1374</v>
      </c>
    </row>
    <row r="11" spans="1:7">
      <c r="A11" s="17" t="s">
        <v>1375</v>
      </c>
      <c r="B11" s="25">
        <f>'02_Assumptions'!$C$16</f>
        <v>0</v>
      </c>
      <c r="C11" s="25">
        <v>0</v>
      </c>
      <c r="D11" s="25">
        <f>MIN(0,B11-C11)</f>
        <v>0</v>
      </c>
      <c r="E11" s="25">
        <v>0</v>
      </c>
      <c r="F11" s="17" t="str">
        <f t="shared" si="0"/>
        <v>OK</v>
      </c>
      <c r="G11" s="17" t="s">
        <v>1376</v>
      </c>
    </row>
    <row r="12" spans="1:7">
      <c r="A12" s="17" t="s">
        <v>1377</v>
      </c>
      <c r="B12" s="25">
        <f>COUNT('10_Production_Revenue'!B21:K21)+COUNT('09_OPEX_10Y'!B17:K17)</f>
        <v>20</v>
      </c>
      <c r="C12" s="25">
        <v>20</v>
      </c>
      <c r="D12" s="25">
        <f>B12-C12</f>
        <v>0</v>
      </c>
      <c r="E12" s="25">
        <v>0</v>
      </c>
      <c r="F12" s="17" t="str">
        <f t="shared" si="0"/>
        <v>OK</v>
      </c>
      <c r="G12" s="17" t="s">
        <v>1378</v>
      </c>
    </row>
    <row r="13" spans="1:7">
      <c r="A13" s="17"/>
      <c r="B13" s="17"/>
      <c r="C13" s="17"/>
      <c r="D13" s="17"/>
      <c r="E13" s="17"/>
      <c r="F13" s="17"/>
      <c r="G13" s="17"/>
    </row>
    <row r="14" spans="1:7">
      <c r="A14" s="274" t="s">
        <v>1379</v>
      </c>
      <c r="B14" s="274"/>
      <c r="C14" s="274"/>
      <c r="D14" s="274"/>
      <c r="E14" s="274"/>
      <c r="F14" s="60" t="str">
        <f>IF(AND(COUNTIF(F5:F12,"&lt;&gt;OK")=0,COUNTIF(F27:F30,"&lt;&gt;OK")=0,'23_Audit_Formula'!$F$27="PASS",'24_Audit_Tahunan'!$L$20="PASS"),"PASS","REVIEW")</f>
        <v>PASS</v>
      </c>
      <c r="G14" s="17"/>
    </row>
    <row r="15" spans="1:7">
      <c r="A15" s="17"/>
      <c r="B15" s="17"/>
      <c r="C15" s="17"/>
      <c r="D15" s="17"/>
      <c r="E15" s="17"/>
      <c r="F15" s="17"/>
      <c r="G15" s="17"/>
    </row>
    <row r="16" spans="1:7">
      <c r="A16" s="17"/>
      <c r="B16" s="17"/>
      <c r="C16" s="17"/>
      <c r="D16" s="17"/>
      <c r="E16" s="17"/>
      <c r="F16" s="17"/>
      <c r="G16" s="17"/>
    </row>
    <row r="17" spans="1:7" ht="20" customHeight="1">
      <c r="A17" s="211" t="s">
        <v>1380</v>
      </c>
      <c r="B17" s="211"/>
      <c r="C17" s="211"/>
      <c r="D17" s="211"/>
      <c r="E17" s="211"/>
      <c r="F17" s="211"/>
      <c r="G17" s="211"/>
    </row>
    <row r="18" spans="1:7" ht="26" customHeight="1">
      <c r="A18" s="210" t="s">
        <v>1381</v>
      </c>
      <c r="B18" s="210"/>
      <c r="C18" s="210"/>
      <c r="D18" s="210"/>
      <c r="E18" s="210"/>
      <c r="F18" s="210"/>
      <c r="G18" s="210"/>
    </row>
    <row r="19" spans="1:7" ht="26" customHeight="1">
      <c r="A19" s="210" t="s">
        <v>1382</v>
      </c>
      <c r="B19" s="210"/>
      <c r="C19" s="210"/>
      <c r="D19" s="210"/>
      <c r="E19" s="210"/>
      <c r="F19" s="210"/>
      <c r="G19" s="210"/>
    </row>
    <row r="20" spans="1:7" ht="26" customHeight="1">
      <c r="A20" s="210" t="s">
        <v>1383</v>
      </c>
      <c r="B20" s="210"/>
      <c r="C20" s="210"/>
      <c r="D20" s="210"/>
      <c r="E20" s="210"/>
      <c r="F20" s="210"/>
      <c r="G20" s="210"/>
    </row>
    <row r="21" spans="1:7" ht="26" customHeight="1">
      <c r="A21" s="210" t="s">
        <v>1384</v>
      </c>
      <c r="B21" s="210"/>
      <c r="C21" s="210"/>
      <c r="D21" s="210"/>
      <c r="E21" s="210"/>
      <c r="F21" s="210"/>
      <c r="G21" s="210"/>
    </row>
    <row r="22" spans="1:7" ht="26" customHeight="1">
      <c r="A22" s="210" t="s">
        <v>1385</v>
      </c>
      <c r="B22" s="210"/>
      <c r="C22" s="210"/>
      <c r="D22" s="210"/>
      <c r="E22" s="210"/>
      <c r="F22" s="210"/>
      <c r="G22" s="210"/>
    </row>
    <row r="23" spans="1:7" ht="26" customHeight="1">
      <c r="A23" s="210" t="s">
        <v>1386</v>
      </c>
      <c r="B23" s="210"/>
      <c r="C23" s="210"/>
      <c r="D23" s="210"/>
      <c r="E23" s="210"/>
      <c r="F23" s="210"/>
      <c r="G23" s="210"/>
    </row>
    <row r="25" spans="1:7" ht="20" customHeight="1">
      <c r="A25" s="249" t="s">
        <v>1387</v>
      </c>
      <c r="B25" s="249"/>
      <c r="C25" s="249"/>
      <c r="D25" s="249"/>
      <c r="E25" s="249"/>
      <c r="F25" s="249"/>
      <c r="G25" s="249"/>
    </row>
    <row r="26" spans="1:7" ht="32" customHeight="1">
      <c r="A26" s="130" t="s">
        <v>1358</v>
      </c>
      <c r="B26" s="131" t="s">
        <v>1388</v>
      </c>
      <c r="C26" s="131" t="s">
        <v>1389</v>
      </c>
      <c r="D26" s="131" t="s">
        <v>85</v>
      </c>
      <c r="E26" s="131" t="s">
        <v>99</v>
      </c>
      <c r="F26" s="131" t="s">
        <v>120</v>
      </c>
      <c r="G26" s="132" t="s">
        <v>1390</v>
      </c>
    </row>
    <row r="27" spans="1:7" ht="40.5">
      <c r="A27" s="15" t="s">
        <v>1391</v>
      </c>
      <c r="B27" s="147">
        <f>'19_Optimasi_10Tahun'!$C$10</f>
        <v>1337996750.5271311</v>
      </c>
      <c r="C27" s="147">
        <v>0</v>
      </c>
      <c r="D27" s="147">
        <f>B27-C27</f>
        <v>1337996750.5271311</v>
      </c>
      <c r="E27" s="15" t="s">
        <v>1392</v>
      </c>
      <c r="F27" s="15" t="str">
        <f>IF(B27&gt;0,"OK","REVIEW")</f>
        <v>OK</v>
      </c>
      <c r="G27" s="15" t="s">
        <v>1393</v>
      </c>
    </row>
    <row r="28" spans="1:7" ht="67.5">
      <c r="A28" s="15" t="s">
        <v>1394</v>
      </c>
      <c r="B28" s="146">
        <f>'21_Pendapatan_Tambahan'!$C$20</f>
        <v>0.6</v>
      </c>
      <c r="C28" s="146">
        <v>1</v>
      </c>
      <c r="D28" s="146">
        <f>C28-B28</f>
        <v>0.4</v>
      </c>
      <c r="E28" s="15" t="s">
        <v>1395</v>
      </c>
      <c r="F28" s="15" t="str">
        <f>IF(AND(B28&gt;=0,B28&lt;=C28),"OK","REVIEW")</f>
        <v>OK</v>
      </c>
      <c r="G28" s="15" t="s">
        <v>1396</v>
      </c>
    </row>
    <row r="29" spans="1:7" ht="40.5">
      <c r="A29" s="15" t="s">
        <v>1397</v>
      </c>
      <c r="B29" s="147">
        <f>'21_Pendapatan_Tambahan'!$A$14*'21_Pendapatan_Tambahan'!$C$14</f>
        <v>0</v>
      </c>
      <c r="C29" s="147">
        <v>0</v>
      </c>
      <c r="D29" s="147">
        <f>B29-C29</f>
        <v>0</v>
      </c>
      <c r="E29" s="15" t="s">
        <v>1398</v>
      </c>
      <c r="F29" s="15" t="str">
        <f>IF(B29=0,"OK","REVIEW")</f>
        <v>OK</v>
      </c>
      <c r="G29" s="15" t="s">
        <v>1399</v>
      </c>
    </row>
    <row r="30" spans="1:7" ht="81">
      <c r="A30" s="15" t="s">
        <v>1400</v>
      </c>
      <c r="B30" s="147">
        <f>'19_Optimasi_10Tahun'!$B$49</f>
        <v>1270818034.64519</v>
      </c>
      <c r="C30" s="147">
        <v>0</v>
      </c>
      <c r="D30" s="147">
        <f>B30-C30</f>
        <v>1270818034.64519</v>
      </c>
      <c r="E30" s="15" t="s">
        <v>1401</v>
      </c>
      <c r="F30" s="15" t="str">
        <f>IF(B30&gt;0,"OK","REVIEW")</f>
        <v>OK</v>
      </c>
      <c r="G30" s="15" t="s">
        <v>1402</v>
      </c>
    </row>
    <row r="32" spans="1:7" ht="30" customHeight="1">
      <c r="A32" s="275" t="s">
        <v>1403</v>
      </c>
      <c r="B32" s="275"/>
      <c r="C32" s="275"/>
      <c r="D32" s="275"/>
      <c r="E32" s="275"/>
      <c r="F32" s="275"/>
      <c r="G32" s="275"/>
    </row>
  </sheetData>
  <mergeCells count="12">
    <mergeCell ref="A25:G25"/>
    <mergeCell ref="A32:G32"/>
    <mergeCell ref="A19:G19"/>
    <mergeCell ref="A20:G20"/>
    <mergeCell ref="A21:G21"/>
    <mergeCell ref="A22:G22"/>
    <mergeCell ref="A23:G23"/>
    <mergeCell ref="A1:G1"/>
    <mergeCell ref="A2:G2"/>
    <mergeCell ref="A14:E14"/>
    <mergeCell ref="A17:G17"/>
    <mergeCell ref="A18:G18"/>
  </mergeCells>
  <conditionalFormatting sqref="F5:F12">
    <cfRule type="containsText" dxfId="1" priority="1" operator="containsText" text="OK"/>
    <cfRule type="containsText" dxfId="0" priority="2" operator="containsText" text="FAIL"/>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6"/>
  <sheetViews>
    <sheetView showGridLines="0" workbookViewId="0"/>
  </sheetViews>
  <sheetFormatPr defaultRowHeight="13.5"/>
  <cols>
    <col min="1" max="1" width="10" customWidth="1"/>
    <col min="2" max="2" width="19" customWidth="1"/>
    <col min="3" max="3" width="40" customWidth="1"/>
    <col min="4" max="4" width="37" customWidth="1"/>
    <col min="5" max="5" width="72" customWidth="1"/>
    <col min="6" max="7" width="16" customWidth="1"/>
    <col min="8" max="8" width="12" customWidth="1"/>
    <col min="9" max="9" width="40" customWidth="1"/>
  </cols>
  <sheetData>
    <row r="1" spans="1:9" ht="28.05" customHeight="1">
      <c r="A1" s="206" t="s">
        <v>1404</v>
      </c>
      <c r="B1" s="206"/>
      <c r="C1" s="206"/>
      <c r="D1" s="206"/>
      <c r="E1" s="206"/>
      <c r="F1" s="206"/>
      <c r="G1" s="206"/>
      <c r="H1" s="206"/>
      <c r="I1" s="206"/>
    </row>
    <row r="2" spans="1:9" ht="38" customHeight="1">
      <c r="A2" s="207" t="s">
        <v>1405</v>
      </c>
      <c r="B2" s="207"/>
      <c r="C2" s="207"/>
      <c r="D2" s="207"/>
      <c r="E2" s="207"/>
      <c r="F2" s="207"/>
      <c r="G2" s="207"/>
      <c r="H2" s="207"/>
      <c r="I2" s="207"/>
    </row>
    <row r="3" spans="1:9">
      <c r="A3" s="16"/>
      <c r="B3" s="16"/>
      <c r="C3" s="16"/>
      <c r="D3" s="16"/>
      <c r="E3" s="16"/>
      <c r="F3" s="16"/>
      <c r="G3" s="16"/>
      <c r="H3" s="16"/>
      <c r="I3" s="16"/>
    </row>
    <row r="4" spans="1:9" ht="30" customHeight="1">
      <c r="A4" s="2" t="s">
        <v>1406</v>
      </c>
      <c r="B4" s="3" t="s">
        <v>1407</v>
      </c>
      <c r="C4" s="3" t="s">
        <v>1408</v>
      </c>
      <c r="D4" s="3" t="s">
        <v>1409</v>
      </c>
      <c r="E4" s="3" t="s">
        <v>1410</v>
      </c>
      <c r="F4" s="3" t="s">
        <v>1411</v>
      </c>
      <c r="G4" s="3" t="s">
        <v>1412</v>
      </c>
      <c r="H4" s="3" t="s">
        <v>139</v>
      </c>
      <c r="I4" s="4" t="s">
        <v>140</v>
      </c>
    </row>
    <row r="5" spans="1:9">
      <c r="A5" s="18" t="s">
        <v>144</v>
      </c>
      <c r="B5" s="18" t="s">
        <v>1413</v>
      </c>
      <c r="C5" s="18" t="s">
        <v>1414</v>
      </c>
      <c r="D5" s="18" t="s">
        <v>1415</v>
      </c>
      <c r="E5" s="18" t="s">
        <v>1416</v>
      </c>
      <c r="F5" s="18" t="s">
        <v>1417</v>
      </c>
      <c r="G5" s="18" t="s">
        <v>1417</v>
      </c>
      <c r="H5" s="18" t="s">
        <v>145</v>
      </c>
      <c r="I5" s="18"/>
    </row>
    <row r="6" spans="1:9" ht="23.25">
      <c r="A6" s="18" t="s">
        <v>1418</v>
      </c>
      <c r="B6" s="18" t="s">
        <v>1419</v>
      </c>
      <c r="C6" s="18" t="s">
        <v>1420</v>
      </c>
      <c r="D6" s="18" t="s">
        <v>1421</v>
      </c>
      <c r="E6" s="18" t="s">
        <v>1422</v>
      </c>
      <c r="F6" s="18" t="s">
        <v>1423</v>
      </c>
      <c r="G6" s="18" t="s">
        <v>1417</v>
      </c>
      <c r="H6" s="18" t="s">
        <v>145</v>
      </c>
      <c r="I6" s="18" t="s">
        <v>1424</v>
      </c>
    </row>
    <row r="7" spans="1:9" ht="23.25">
      <c r="A7" s="18" t="s">
        <v>214</v>
      </c>
      <c r="B7" s="18" t="s">
        <v>1425</v>
      </c>
      <c r="C7" s="18" t="s">
        <v>1426</v>
      </c>
      <c r="D7" s="18" t="s">
        <v>1427</v>
      </c>
      <c r="E7" s="18" t="s">
        <v>1428</v>
      </c>
      <c r="F7" s="18" t="s">
        <v>1429</v>
      </c>
      <c r="G7" s="18" t="s">
        <v>1417</v>
      </c>
      <c r="H7" s="18" t="s">
        <v>145</v>
      </c>
      <c r="I7" s="18" t="s">
        <v>1430</v>
      </c>
    </row>
    <row r="8" spans="1:9" ht="23.25">
      <c r="A8" s="18" t="s">
        <v>413</v>
      </c>
      <c r="B8" s="18" t="s">
        <v>1431</v>
      </c>
      <c r="C8" s="18" t="s">
        <v>1432</v>
      </c>
      <c r="D8" s="18" t="s">
        <v>1433</v>
      </c>
      <c r="E8" s="18" t="s">
        <v>1434</v>
      </c>
      <c r="F8" s="18" t="s">
        <v>1435</v>
      </c>
      <c r="G8" s="18" t="s">
        <v>1417</v>
      </c>
      <c r="H8" s="18" t="s">
        <v>150</v>
      </c>
      <c r="I8" s="18" t="s">
        <v>1436</v>
      </c>
    </row>
    <row r="9" spans="1:9">
      <c r="A9" s="18" t="s">
        <v>262</v>
      </c>
      <c r="B9" s="18" t="s">
        <v>1437</v>
      </c>
      <c r="C9" s="18" t="s">
        <v>1438</v>
      </c>
      <c r="D9" s="18" t="s">
        <v>1439</v>
      </c>
      <c r="E9" s="18" t="s">
        <v>1440</v>
      </c>
      <c r="F9" s="18" t="s">
        <v>1441</v>
      </c>
      <c r="G9" s="18" t="s">
        <v>1417</v>
      </c>
      <c r="H9" s="18" t="s">
        <v>145</v>
      </c>
      <c r="I9" s="18" t="s">
        <v>1442</v>
      </c>
    </row>
    <row r="10" spans="1:9" ht="23.25">
      <c r="A10" s="18" t="s">
        <v>269</v>
      </c>
      <c r="B10" s="18" t="s">
        <v>1443</v>
      </c>
      <c r="C10" s="18" t="s">
        <v>1444</v>
      </c>
      <c r="D10" s="18" t="s">
        <v>1445</v>
      </c>
      <c r="E10" s="18" t="s">
        <v>1446</v>
      </c>
      <c r="F10" s="18" t="s">
        <v>1447</v>
      </c>
      <c r="G10" s="18" t="s">
        <v>1417</v>
      </c>
      <c r="H10" s="18" t="s">
        <v>150</v>
      </c>
      <c r="I10" s="18" t="s">
        <v>1448</v>
      </c>
    </row>
    <row r="11" spans="1:9" ht="23.25">
      <c r="A11" s="18" t="s">
        <v>266</v>
      </c>
      <c r="B11" s="18" t="s">
        <v>1449</v>
      </c>
      <c r="C11" s="18" t="s">
        <v>1450</v>
      </c>
      <c r="D11" s="18" t="s">
        <v>1451</v>
      </c>
      <c r="E11" s="18" t="s">
        <v>1452</v>
      </c>
      <c r="F11" s="18" t="s">
        <v>1453</v>
      </c>
      <c r="G11" s="18" t="s">
        <v>1417</v>
      </c>
      <c r="H11" s="18" t="s">
        <v>150</v>
      </c>
      <c r="I11" s="18" t="s">
        <v>1454</v>
      </c>
    </row>
    <row r="12" spans="1:9">
      <c r="A12" s="18" t="s">
        <v>296</v>
      </c>
      <c r="B12" s="18" t="s">
        <v>293</v>
      </c>
      <c r="C12" s="18" t="s">
        <v>1455</v>
      </c>
      <c r="D12" s="18" t="s">
        <v>1456</v>
      </c>
      <c r="E12" s="18" t="s">
        <v>1457</v>
      </c>
      <c r="F12" s="18" t="s">
        <v>1458</v>
      </c>
      <c r="G12" s="18" t="s">
        <v>1417</v>
      </c>
      <c r="H12" s="18" t="s">
        <v>145</v>
      </c>
      <c r="I12" s="18" t="s">
        <v>1459</v>
      </c>
    </row>
    <row r="13" spans="1:9" ht="23.25">
      <c r="A13" s="18" t="s">
        <v>365</v>
      </c>
      <c r="B13" s="18" t="s">
        <v>1460</v>
      </c>
      <c r="C13" s="18" t="s">
        <v>1461</v>
      </c>
      <c r="D13" s="18" t="s">
        <v>1462</v>
      </c>
      <c r="E13" s="18" t="s">
        <v>1463</v>
      </c>
      <c r="F13" s="18" t="s">
        <v>1464</v>
      </c>
      <c r="G13" s="18" t="s">
        <v>1417</v>
      </c>
      <c r="H13" s="18" t="s">
        <v>150</v>
      </c>
      <c r="I13" s="18" t="s">
        <v>1465</v>
      </c>
    </row>
    <row r="14" spans="1:9" ht="23.25">
      <c r="A14" s="18" t="s">
        <v>372</v>
      </c>
      <c r="B14" s="18" t="s">
        <v>1466</v>
      </c>
      <c r="C14" s="18" t="s">
        <v>1467</v>
      </c>
      <c r="D14" s="18" t="s">
        <v>1468</v>
      </c>
      <c r="E14" s="18" t="s">
        <v>1469</v>
      </c>
      <c r="F14" s="18" t="s">
        <v>1470</v>
      </c>
      <c r="G14" s="18" t="s">
        <v>1417</v>
      </c>
      <c r="H14" s="18" t="s">
        <v>145</v>
      </c>
      <c r="I14" s="18" t="s">
        <v>1471</v>
      </c>
    </row>
    <row r="15" spans="1:9">
      <c r="A15" s="18" t="s">
        <v>310</v>
      </c>
      <c r="B15" s="18" t="s">
        <v>1472</v>
      </c>
      <c r="C15" s="18" t="s">
        <v>1473</v>
      </c>
      <c r="D15" s="18" t="s">
        <v>1474</v>
      </c>
      <c r="E15" s="18" t="s">
        <v>1475</v>
      </c>
      <c r="F15" s="18" t="s">
        <v>1470</v>
      </c>
      <c r="G15" s="18" t="s">
        <v>1417</v>
      </c>
      <c r="H15" s="18" t="s">
        <v>170</v>
      </c>
      <c r="I15" s="18" t="s">
        <v>1476</v>
      </c>
    </row>
    <row r="16" spans="1:9" ht="23.25">
      <c r="A16" s="18" t="s">
        <v>321</v>
      </c>
      <c r="B16" s="18" t="s">
        <v>1477</v>
      </c>
      <c r="C16" s="18" t="s">
        <v>1478</v>
      </c>
      <c r="D16" s="18" t="s">
        <v>1479</v>
      </c>
      <c r="E16" s="18" t="s">
        <v>1480</v>
      </c>
      <c r="F16" s="18" t="s">
        <v>1470</v>
      </c>
      <c r="G16" s="18" t="s">
        <v>1417</v>
      </c>
      <c r="H16" s="18" t="s">
        <v>170</v>
      </c>
      <c r="I16" s="18" t="s">
        <v>1481</v>
      </c>
    </row>
    <row r="17" spans="1:9" ht="23.25">
      <c r="A17" s="18" t="s">
        <v>1482</v>
      </c>
      <c r="B17" s="18" t="s">
        <v>1483</v>
      </c>
      <c r="C17" s="18" t="s">
        <v>1484</v>
      </c>
      <c r="D17" s="18" t="s">
        <v>1485</v>
      </c>
      <c r="E17" s="18" t="s">
        <v>1486</v>
      </c>
      <c r="F17" s="18" t="s">
        <v>1470</v>
      </c>
      <c r="G17" s="18" t="s">
        <v>1417</v>
      </c>
      <c r="H17" s="18" t="s">
        <v>145</v>
      </c>
      <c r="I17" s="18" t="s">
        <v>1487</v>
      </c>
    </row>
    <row r="18" spans="1:9" ht="23.25">
      <c r="A18" s="18" t="s">
        <v>235</v>
      </c>
      <c r="B18" s="18" t="s">
        <v>1488</v>
      </c>
      <c r="C18" s="18" t="s">
        <v>1489</v>
      </c>
      <c r="D18" s="18" t="s">
        <v>1490</v>
      </c>
      <c r="E18" s="18" t="s">
        <v>1491</v>
      </c>
      <c r="F18" s="18" t="s">
        <v>1492</v>
      </c>
      <c r="G18" s="18" t="s">
        <v>1417</v>
      </c>
      <c r="H18" s="18" t="s">
        <v>150</v>
      </c>
      <c r="I18" s="18" t="s">
        <v>1493</v>
      </c>
    </row>
    <row r="19" spans="1:9">
      <c r="A19" s="18" t="s">
        <v>1494</v>
      </c>
      <c r="B19" s="18" t="s">
        <v>1495</v>
      </c>
      <c r="C19" s="18" t="s">
        <v>1496</v>
      </c>
      <c r="D19" s="18" t="s">
        <v>1497</v>
      </c>
      <c r="E19" s="18" t="s">
        <v>1498</v>
      </c>
      <c r="F19" s="18" t="s">
        <v>1499</v>
      </c>
      <c r="G19" s="18" t="s">
        <v>1417</v>
      </c>
      <c r="H19" s="18" t="s">
        <v>145</v>
      </c>
      <c r="I19" s="18" t="s">
        <v>1500</v>
      </c>
    </row>
    <row r="20" spans="1:9">
      <c r="A20" s="18" t="s">
        <v>278</v>
      </c>
      <c r="B20" s="18" t="s">
        <v>1501</v>
      </c>
      <c r="C20" s="18" t="s">
        <v>1502</v>
      </c>
      <c r="D20" s="18" t="s">
        <v>1503</v>
      </c>
      <c r="E20" s="18" t="s">
        <v>1504</v>
      </c>
      <c r="F20" s="18" t="s">
        <v>1470</v>
      </c>
      <c r="G20" s="18" t="s">
        <v>1417</v>
      </c>
      <c r="H20" s="18" t="s">
        <v>150</v>
      </c>
      <c r="I20" s="18" t="s">
        <v>1505</v>
      </c>
    </row>
    <row r="21" spans="1:9">
      <c r="A21" s="18" t="s">
        <v>281</v>
      </c>
      <c r="B21" s="18" t="s">
        <v>1506</v>
      </c>
      <c r="C21" s="18" t="s">
        <v>1507</v>
      </c>
      <c r="D21" s="18" t="s">
        <v>1508</v>
      </c>
      <c r="E21" s="18" t="s">
        <v>1509</v>
      </c>
      <c r="F21" s="18" t="s">
        <v>1510</v>
      </c>
      <c r="G21" s="18" t="s">
        <v>1417</v>
      </c>
      <c r="H21" s="18" t="s">
        <v>170</v>
      </c>
      <c r="I21" s="18" t="s">
        <v>1511</v>
      </c>
    </row>
    <row r="22" spans="1:9" ht="23.25">
      <c r="A22" s="18" t="s">
        <v>1512</v>
      </c>
      <c r="B22" s="18" t="s">
        <v>1513</v>
      </c>
      <c r="C22" s="18" t="s">
        <v>1514</v>
      </c>
      <c r="D22" s="18" t="s">
        <v>1515</v>
      </c>
      <c r="E22" s="18" t="s">
        <v>1516</v>
      </c>
      <c r="F22" s="18" t="s">
        <v>1517</v>
      </c>
      <c r="G22" s="18" t="s">
        <v>1417</v>
      </c>
      <c r="H22" s="18" t="s">
        <v>145</v>
      </c>
      <c r="I22" s="18" t="s">
        <v>1518</v>
      </c>
    </row>
    <row r="23" spans="1:9" ht="23.25">
      <c r="A23" s="18" t="s">
        <v>1519</v>
      </c>
      <c r="B23" s="18" t="s">
        <v>1520</v>
      </c>
      <c r="C23" s="18" t="s">
        <v>1521</v>
      </c>
      <c r="D23" s="18" t="s">
        <v>1522</v>
      </c>
      <c r="E23" s="18" t="s">
        <v>1523</v>
      </c>
      <c r="F23" s="18" t="s">
        <v>1524</v>
      </c>
      <c r="G23" s="18" t="s">
        <v>1417</v>
      </c>
      <c r="H23" s="18" t="s">
        <v>200</v>
      </c>
      <c r="I23" s="18" t="s">
        <v>1525</v>
      </c>
    </row>
    <row r="24" spans="1:9">
      <c r="A24" s="16" t="s">
        <v>1526</v>
      </c>
      <c r="B24" s="16" t="s">
        <v>1527</v>
      </c>
      <c r="C24" s="16" t="s">
        <v>1528</v>
      </c>
      <c r="D24" s="16" t="s">
        <v>1529</v>
      </c>
      <c r="E24" s="16" t="s">
        <v>1530</v>
      </c>
      <c r="F24" s="16" t="s">
        <v>1531</v>
      </c>
      <c r="G24" s="16" t="s">
        <v>1417</v>
      </c>
      <c r="H24" s="16" t="s">
        <v>200</v>
      </c>
      <c r="I24" s="16" t="s">
        <v>1532</v>
      </c>
    </row>
    <row r="25" spans="1:9">
      <c r="A25" s="16" t="s">
        <v>1533</v>
      </c>
      <c r="B25" s="16" t="s">
        <v>1534</v>
      </c>
      <c r="C25" s="16" t="s">
        <v>1535</v>
      </c>
      <c r="D25" s="16" t="s">
        <v>1529</v>
      </c>
      <c r="E25" s="16" t="s">
        <v>1530</v>
      </c>
      <c r="F25" s="16" t="s">
        <v>1531</v>
      </c>
      <c r="G25" s="16" t="s">
        <v>1417</v>
      </c>
      <c r="H25" s="16" t="s">
        <v>200</v>
      </c>
      <c r="I25" s="16" t="s">
        <v>1536</v>
      </c>
    </row>
    <row r="26" spans="1:9">
      <c r="A26" s="16" t="s">
        <v>1537</v>
      </c>
      <c r="B26" s="16" t="s">
        <v>1538</v>
      </c>
      <c r="C26" s="16" t="s">
        <v>1539</v>
      </c>
      <c r="D26" s="16" t="s">
        <v>1540</v>
      </c>
      <c r="E26" s="16" t="s">
        <v>1541</v>
      </c>
      <c r="F26" s="16" t="s">
        <v>1542</v>
      </c>
      <c r="G26" s="16" t="s">
        <v>1417</v>
      </c>
      <c r="H26" s="16" t="s">
        <v>208</v>
      </c>
      <c r="I26" s="16" t="s">
        <v>1543</v>
      </c>
    </row>
  </sheetData>
  <mergeCells count="2">
    <mergeCell ref="A1:I1"/>
    <mergeCell ref="A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127"/>
  <sheetViews>
    <sheetView showGridLines="0" workbookViewId="0"/>
  </sheetViews>
  <sheetFormatPr defaultRowHeight="13.5"/>
  <cols>
    <col min="1" max="1" width="10" customWidth="1"/>
    <col min="2" max="2" width="28" customWidth="1"/>
    <col min="3" max="3" width="25" customWidth="1"/>
    <col min="4" max="4" width="17" customWidth="1"/>
    <col min="5" max="5" width="16" customWidth="1"/>
    <col min="6" max="6" width="13" customWidth="1"/>
    <col min="7" max="11" width="16" customWidth="1"/>
    <col min="12" max="12" width="17" customWidth="1"/>
    <col min="13" max="17" width="18" customWidth="1"/>
    <col min="18" max="18" width="32" customWidth="1"/>
    <col min="19" max="35" width="16" customWidth="1"/>
    <col min="36" max="36" width="42" customWidth="1"/>
  </cols>
  <sheetData>
    <row r="1" spans="1:36" ht="28.05" customHeight="1">
      <c r="A1" s="276" t="s">
        <v>1544</v>
      </c>
      <c r="B1" s="276"/>
      <c r="C1" s="276"/>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row>
    <row r="2" spans="1:36" ht="38" customHeight="1">
      <c r="A2" s="277" t="s">
        <v>1545</v>
      </c>
      <c r="B2" s="277"/>
      <c r="C2" s="277"/>
      <c r="D2" s="277"/>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row>
    <row r="3" spans="1:36">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row>
    <row r="4" spans="1:36" ht="20" customHeight="1">
      <c r="A4" s="278" t="s">
        <v>1546</v>
      </c>
      <c r="B4" s="278"/>
      <c r="C4" s="278"/>
      <c r="D4" s="278"/>
      <c r="E4" s="278"/>
      <c r="F4" s="278"/>
      <c r="G4" s="278"/>
      <c r="H4" s="278"/>
      <c r="I4" s="278"/>
      <c r="J4" s="278"/>
      <c r="K4" s="278"/>
      <c r="L4" s="278"/>
      <c r="M4" s="278"/>
      <c r="N4" s="278"/>
      <c r="O4" s="18"/>
      <c r="P4" s="18"/>
      <c r="Q4" s="18"/>
      <c r="R4" s="18"/>
      <c r="S4" s="18"/>
      <c r="T4" s="18"/>
      <c r="U4" s="18"/>
      <c r="V4" s="18"/>
      <c r="W4" s="18"/>
      <c r="X4" s="18"/>
      <c r="Y4" s="18"/>
      <c r="Z4" s="18"/>
      <c r="AA4" s="18"/>
      <c r="AB4" s="18"/>
      <c r="AC4" s="18"/>
      <c r="AD4" s="18"/>
      <c r="AE4" s="18"/>
      <c r="AF4" s="18"/>
      <c r="AG4" s="18"/>
      <c r="AH4" s="18"/>
      <c r="AI4" s="18"/>
      <c r="AJ4" s="18"/>
    </row>
    <row r="5" spans="1:36" ht="32" customHeight="1">
      <c r="A5" s="71" t="s">
        <v>473</v>
      </c>
      <c r="B5" s="71" t="s">
        <v>706</v>
      </c>
      <c r="C5" s="71" t="s">
        <v>1547</v>
      </c>
      <c r="D5" s="71" t="s">
        <v>1548</v>
      </c>
      <c r="E5" s="71" t="s">
        <v>707</v>
      </c>
      <c r="F5" s="71" t="s">
        <v>1549</v>
      </c>
      <c r="G5" s="71" t="s">
        <v>691</v>
      </c>
      <c r="H5" s="71" t="s">
        <v>1550</v>
      </c>
      <c r="I5" s="71" t="s">
        <v>1551</v>
      </c>
      <c r="J5" s="71" t="s">
        <v>245</v>
      </c>
      <c r="K5" s="71" t="s">
        <v>708</v>
      </c>
      <c r="L5" s="71" t="s">
        <v>1552</v>
      </c>
      <c r="M5" s="71" t="s">
        <v>1553</v>
      </c>
      <c r="N5" s="71" t="s">
        <v>140</v>
      </c>
      <c r="O5" s="18"/>
      <c r="P5" s="18"/>
      <c r="Q5" s="18"/>
      <c r="R5" s="18"/>
      <c r="S5" s="18"/>
      <c r="T5" s="18"/>
      <c r="U5" s="18"/>
      <c r="V5" s="18"/>
      <c r="W5" s="18"/>
      <c r="X5" s="18"/>
      <c r="Y5" s="18"/>
      <c r="Z5" s="18"/>
      <c r="AA5" s="18"/>
      <c r="AB5" s="18"/>
      <c r="AC5" s="18"/>
      <c r="AD5" s="18"/>
      <c r="AE5" s="18"/>
      <c r="AF5" s="18"/>
      <c r="AG5" s="18"/>
      <c r="AH5" s="18"/>
      <c r="AI5" s="18"/>
      <c r="AJ5" s="18"/>
    </row>
    <row r="6" spans="1:36" ht="46.5">
      <c r="A6" s="74">
        <f>'02_Assumptions'!$C$156</f>
        <v>1</v>
      </c>
      <c r="B6" s="18" t="s">
        <v>486</v>
      </c>
      <c r="C6" s="18" t="s">
        <v>1554</v>
      </c>
      <c r="D6" s="18">
        <v>2500</v>
      </c>
      <c r="E6" s="75">
        <f>$A6*$D6*'02_Assumptions'!$C$24</f>
        <v>220000</v>
      </c>
      <c r="F6" s="76">
        <v>0.1</v>
      </c>
      <c r="G6" s="75">
        <f t="shared" ref="G6:G15" si="0">$E6*(1+$F6)</f>
        <v>242000.00000000003</v>
      </c>
      <c r="H6" s="127">
        <v>1800</v>
      </c>
      <c r="I6" s="37">
        <f t="shared" ref="I6:I15" si="1">$G6*$H6</f>
        <v>435600000.00000006</v>
      </c>
      <c r="J6" s="76">
        <v>0.85</v>
      </c>
      <c r="K6" s="75">
        <f t="shared" ref="K6:K15" si="2">$E6*$J6</f>
        <v>187000</v>
      </c>
      <c r="L6" s="128">
        <v>6.0000000000000001E-3</v>
      </c>
      <c r="M6" s="37">
        <f>$E6*$L6*'02_Assumptions'!$C$60</f>
        <v>158400000</v>
      </c>
      <c r="N6" s="18" t="s">
        <v>1555</v>
      </c>
      <c r="O6" s="18"/>
      <c r="P6" s="18"/>
      <c r="Q6" s="18"/>
      <c r="R6" s="18"/>
      <c r="S6" s="18"/>
      <c r="T6" s="18"/>
      <c r="U6" s="18"/>
      <c r="V6" s="18"/>
      <c r="W6" s="18"/>
      <c r="X6" s="18"/>
      <c r="Y6" s="18"/>
      <c r="Z6" s="18"/>
      <c r="AA6" s="18"/>
      <c r="AB6" s="18"/>
      <c r="AC6" s="18"/>
      <c r="AD6" s="18"/>
      <c r="AE6" s="18"/>
      <c r="AF6" s="18"/>
      <c r="AG6" s="18"/>
      <c r="AH6" s="18"/>
      <c r="AI6" s="18"/>
      <c r="AJ6" s="18"/>
    </row>
    <row r="7" spans="1:36" ht="69.75">
      <c r="A7" s="74">
        <f>'02_Assumptions'!$C$157</f>
        <v>1</v>
      </c>
      <c r="B7" s="18" t="s">
        <v>1556</v>
      </c>
      <c r="C7" s="18" t="s">
        <v>1557</v>
      </c>
      <c r="D7" s="18">
        <f>'02_Assumptions'!$C$32</f>
        <v>0.65</v>
      </c>
      <c r="E7" s="75">
        <f>$A7*$D7*'02_Assumptions'!$C$24</f>
        <v>57.2</v>
      </c>
      <c r="F7" s="76">
        <v>0</v>
      </c>
      <c r="G7" s="75">
        <f t="shared" si="0"/>
        <v>57.2</v>
      </c>
      <c r="H7" s="77">
        <f>'02_Assumptions'!$C$59</f>
        <v>1200000</v>
      </c>
      <c r="I7" s="37">
        <f t="shared" si="1"/>
        <v>68640000</v>
      </c>
      <c r="J7" s="76">
        <v>1</v>
      </c>
      <c r="K7" s="75">
        <f t="shared" si="2"/>
        <v>57.2</v>
      </c>
      <c r="L7" s="78">
        <v>3</v>
      </c>
      <c r="M7" s="37">
        <f>$E7*$L7*'02_Assumptions'!$C$60</f>
        <v>20592000.000000004</v>
      </c>
      <c r="N7" s="18" t="s">
        <v>1558</v>
      </c>
      <c r="O7" s="18"/>
      <c r="P7" s="18"/>
      <c r="Q7" s="18"/>
      <c r="R7" s="18"/>
      <c r="S7" s="18"/>
      <c r="T7" s="18"/>
      <c r="U7" s="18"/>
      <c r="V7" s="18"/>
      <c r="W7" s="18"/>
      <c r="X7" s="18"/>
      <c r="Y7" s="18"/>
      <c r="Z7" s="18"/>
      <c r="AA7" s="18"/>
      <c r="AB7" s="18"/>
      <c r="AC7" s="18"/>
      <c r="AD7" s="18"/>
      <c r="AE7" s="18"/>
      <c r="AF7" s="18"/>
      <c r="AG7" s="18"/>
      <c r="AH7" s="18"/>
      <c r="AI7" s="18"/>
      <c r="AJ7" s="18"/>
    </row>
    <row r="8" spans="1:36" ht="46.5">
      <c r="A8" s="79">
        <v>0</v>
      </c>
      <c r="B8" s="79" t="s">
        <v>1559</v>
      </c>
      <c r="C8" s="79" t="s">
        <v>1560</v>
      </c>
      <c r="D8" s="79">
        <v>0.02</v>
      </c>
      <c r="E8" s="75">
        <f>$A8*$D8*'02_Assumptions'!$C$24</f>
        <v>0</v>
      </c>
      <c r="F8" s="76">
        <v>0</v>
      </c>
      <c r="G8" s="75">
        <f t="shared" si="0"/>
        <v>0</v>
      </c>
      <c r="H8" s="77">
        <v>1200000</v>
      </c>
      <c r="I8" s="37">
        <f t="shared" si="1"/>
        <v>0</v>
      </c>
      <c r="J8" s="76">
        <v>1</v>
      </c>
      <c r="K8" s="75">
        <f t="shared" si="2"/>
        <v>0</v>
      </c>
      <c r="L8" s="78">
        <v>3</v>
      </c>
      <c r="M8" s="37">
        <f>$E8*$L8*'02_Assumptions'!$C$60</f>
        <v>0</v>
      </c>
      <c r="N8" s="18" t="s">
        <v>1561</v>
      </c>
      <c r="O8" s="18"/>
      <c r="P8" s="18"/>
      <c r="Q8" s="18"/>
      <c r="R8" s="18"/>
      <c r="S8" s="18"/>
      <c r="T8" s="18"/>
      <c r="U8" s="18"/>
      <c r="V8" s="18"/>
      <c r="W8" s="18"/>
      <c r="X8" s="18"/>
      <c r="Y8" s="18"/>
      <c r="Z8" s="18"/>
      <c r="AA8" s="18"/>
      <c r="AB8" s="18"/>
      <c r="AC8" s="18"/>
      <c r="AD8" s="18"/>
      <c r="AE8" s="18"/>
      <c r="AF8" s="18"/>
      <c r="AG8" s="18"/>
      <c r="AH8" s="18"/>
      <c r="AI8" s="18"/>
      <c r="AJ8" s="18"/>
    </row>
    <row r="9" spans="1:36" ht="34.9">
      <c r="A9" s="79">
        <v>0</v>
      </c>
      <c r="B9" s="79" t="s">
        <v>1534</v>
      </c>
      <c r="C9" s="79" t="s">
        <v>1562</v>
      </c>
      <c r="D9" s="79">
        <v>0.1</v>
      </c>
      <c r="E9" s="75">
        <f>$A9*$D9*'02_Assumptions'!$C$24</f>
        <v>0</v>
      </c>
      <c r="F9" s="76">
        <v>0</v>
      </c>
      <c r="G9" s="75">
        <f t="shared" si="0"/>
        <v>0</v>
      </c>
      <c r="H9" s="77">
        <v>1000000</v>
      </c>
      <c r="I9" s="37">
        <f t="shared" si="1"/>
        <v>0</v>
      </c>
      <c r="J9" s="76">
        <v>1</v>
      </c>
      <c r="K9" s="75">
        <f t="shared" si="2"/>
        <v>0</v>
      </c>
      <c r="L9" s="78">
        <v>2</v>
      </c>
      <c r="M9" s="37">
        <f>$E9*$L9*'02_Assumptions'!$C$60</f>
        <v>0</v>
      </c>
      <c r="N9" s="18" t="s">
        <v>1563</v>
      </c>
      <c r="O9" s="18"/>
      <c r="P9" s="18"/>
      <c r="Q9" s="18"/>
      <c r="R9" s="18"/>
      <c r="S9" s="18"/>
      <c r="T9" s="18"/>
      <c r="U9" s="18"/>
      <c r="V9" s="18"/>
      <c r="W9" s="18"/>
      <c r="X9" s="18"/>
      <c r="Y9" s="18"/>
      <c r="Z9" s="18"/>
      <c r="AA9" s="18"/>
      <c r="AB9" s="18"/>
      <c r="AC9" s="18"/>
      <c r="AD9" s="18"/>
      <c r="AE9" s="18"/>
      <c r="AF9" s="18"/>
      <c r="AG9" s="18"/>
      <c r="AH9" s="18"/>
      <c r="AI9" s="18"/>
      <c r="AJ9" s="18"/>
    </row>
    <row r="10" spans="1:36" ht="46.5">
      <c r="A10" s="79">
        <v>0</v>
      </c>
      <c r="B10" s="79" t="s">
        <v>1564</v>
      </c>
      <c r="C10" s="79" t="s">
        <v>1565</v>
      </c>
      <c r="D10" s="79">
        <v>200</v>
      </c>
      <c r="E10" s="75">
        <f>$A10*$D10*'02_Assumptions'!$C$24</f>
        <v>0</v>
      </c>
      <c r="F10" s="76">
        <v>0.1</v>
      </c>
      <c r="G10" s="75">
        <f t="shared" si="0"/>
        <v>0</v>
      </c>
      <c r="H10" s="77">
        <v>1500</v>
      </c>
      <c r="I10" s="37">
        <f t="shared" si="1"/>
        <v>0</v>
      </c>
      <c r="J10" s="76">
        <v>0.9</v>
      </c>
      <c r="K10" s="75">
        <f t="shared" si="2"/>
        <v>0</v>
      </c>
      <c r="L10" s="78">
        <v>0.01</v>
      </c>
      <c r="M10" s="37">
        <f>$E10*$L10*'02_Assumptions'!$C$60</f>
        <v>0</v>
      </c>
      <c r="N10" s="18" t="s">
        <v>1566</v>
      </c>
      <c r="O10" s="18"/>
      <c r="P10" s="18"/>
      <c r="Q10" s="18"/>
      <c r="R10" s="18"/>
      <c r="S10" s="18"/>
      <c r="T10" s="18"/>
      <c r="U10" s="18"/>
      <c r="V10" s="18"/>
      <c r="W10" s="18"/>
      <c r="X10" s="18"/>
      <c r="Y10" s="18"/>
      <c r="Z10" s="18"/>
      <c r="AA10" s="18"/>
      <c r="AB10" s="18"/>
      <c r="AC10" s="18"/>
      <c r="AD10" s="18"/>
      <c r="AE10" s="18"/>
      <c r="AF10" s="18"/>
      <c r="AG10" s="18"/>
      <c r="AH10" s="18"/>
      <c r="AI10" s="18"/>
      <c r="AJ10" s="18"/>
    </row>
    <row r="11" spans="1:36" ht="46.5">
      <c r="A11" s="79">
        <v>0</v>
      </c>
      <c r="B11" s="79" t="s">
        <v>1567</v>
      </c>
      <c r="C11" s="79" t="s">
        <v>1568</v>
      </c>
      <c r="D11" s="79">
        <v>50</v>
      </c>
      <c r="E11" s="75">
        <f>$A11*$D11*'02_Assumptions'!$C$24</f>
        <v>0</v>
      </c>
      <c r="F11" s="76">
        <v>0.1</v>
      </c>
      <c r="G11" s="75">
        <f t="shared" si="0"/>
        <v>0</v>
      </c>
      <c r="H11" s="77">
        <v>2000</v>
      </c>
      <c r="I11" s="37">
        <f t="shared" si="1"/>
        <v>0</v>
      </c>
      <c r="J11" s="76">
        <v>0.9</v>
      </c>
      <c r="K11" s="75">
        <f t="shared" si="2"/>
        <v>0</v>
      </c>
      <c r="L11" s="78">
        <v>0.02</v>
      </c>
      <c r="M11" s="37">
        <f>$E11*$L11*'02_Assumptions'!$C$60</f>
        <v>0</v>
      </c>
      <c r="N11" s="18" t="s">
        <v>1569</v>
      </c>
      <c r="O11" s="18"/>
      <c r="P11" s="18"/>
      <c r="Q11" s="18"/>
      <c r="R11" s="18"/>
      <c r="S11" s="18"/>
      <c r="T11" s="18"/>
      <c r="U11" s="18"/>
      <c r="V11" s="18"/>
      <c r="W11" s="18"/>
      <c r="X11" s="18"/>
      <c r="Y11" s="18"/>
      <c r="Z11" s="18"/>
      <c r="AA11" s="18"/>
      <c r="AB11" s="18"/>
      <c r="AC11" s="18"/>
      <c r="AD11" s="18"/>
      <c r="AE11" s="18"/>
      <c r="AF11" s="18"/>
      <c r="AG11" s="18"/>
      <c r="AH11" s="18"/>
      <c r="AI11" s="18"/>
      <c r="AJ11" s="18"/>
    </row>
    <row r="12" spans="1:36">
      <c r="A12" s="79">
        <v>0</v>
      </c>
      <c r="B12" s="79" t="s">
        <v>1570</v>
      </c>
      <c r="C12" s="79" t="s">
        <v>1571</v>
      </c>
      <c r="D12" s="79">
        <v>0</v>
      </c>
      <c r="E12" s="75">
        <f>$A12*$D12*'02_Assumptions'!$C$24</f>
        <v>0</v>
      </c>
      <c r="F12" s="76">
        <v>0.1</v>
      </c>
      <c r="G12" s="75">
        <f t="shared" si="0"/>
        <v>0</v>
      </c>
      <c r="H12" s="77">
        <v>0</v>
      </c>
      <c r="I12" s="37">
        <f t="shared" si="1"/>
        <v>0</v>
      </c>
      <c r="J12" s="76">
        <v>0.9</v>
      </c>
      <c r="K12" s="75">
        <f t="shared" si="2"/>
        <v>0</v>
      </c>
      <c r="L12" s="78">
        <v>0</v>
      </c>
      <c r="M12" s="37">
        <f>$E12*$L12*'02_Assumptions'!$C$60</f>
        <v>0</v>
      </c>
      <c r="N12" s="18" t="s">
        <v>1572</v>
      </c>
      <c r="O12" s="18"/>
      <c r="P12" s="18"/>
      <c r="Q12" s="18"/>
      <c r="R12" s="18"/>
      <c r="S12" s="18"/>
      <c r="T12" s="18"/>
      <c r="U12" s="18"/>
      <c r="V12" s="18"/>
      <c r="W12" s="18"/>
      <c r="X12" s="18"/>
      <c r="Y12" s="18"/>
      <c r="Z12" s="18"/>
      <c r="AA12" s="18"/>
      <c r="AB12" s="18"/>
      <c r="AC12" s="18"/>
      <c r="AD12" s="18"/>
      <c r="AE12" s="18"/>
      <c r="AF12" s="18"/>
      <c r="AG12" s="18"/>
      <c r="AH12" s="18"/>
      <c r="AI12" s="18"/>
      <c r="AJ12" s="18"/>
    </row>
    <row r="13" spans="1:36">
      <c r="A13" s="79">
        <v>0</v>
      </c>
      <c r="B13" s="79" t="s">
        <v>1573</v>
      </c>
      <c r="C13" s="79" t="s">
        <v>1571</v>
      </c>
      <c r="D13" s="79">
        <v>0</v>
      </c>
      <c r="E13" s="75">
        <f>$A13*$D13*'02_Assumptions'!$C$24</f>
        <v>0</v>
      </c>
      <c r="F13" s="76">
        <v>0.1</v>
      </c>
      <c r="G13" s="75">
        <f t="shared" si="0"/>
        <v>0</v>
      </c>
      <c r="H13" s="77">
        <v>0</v>
      </c>
      <c r="I13" s="37">
        <f t="shared" si="1"/>
        <v>0</v>
      </c>
      <c r="J13" s="76">
        <v>0.9</v>
      </c>
      <c r="K13" s="75">
        <f t="shared" si="2"/>
        <v>0</v>
      </c>
      <c r="L13" s="78">
        <v>0</v>
      </c>
      <c r="M13" s="37">
        <f>$E13*$L13*'02_Assumptions'!$C$60</f>
        <v>0</v>
      </c>
      <c r="N13" s="18" t="s">
        <v>1572</v>
      </c>
      <c r="O13" s="18"/>
      <c r="P13" s="18"/>
      <c r="Q13" s="18"/>
      <c r="R13" s="18"/>
      <c r="S13" s="18"/>
      <c r="T13" s="18"/>
      <c r="U13" s="18"/>
      <c r="V13" s="18"/>
      <c r="W13" s="18"/>
      <c r="X13" s="18"/>
      <c r="Y13" s="18"/>
      <c r="Z13" s="18"/>
      <c r="AA13" s="18"/>
      <c r="AB13" s="18"/>
      <c r="AC13" s="18"/>
      <c r="AD13" s="18"/>
      <c r="AE13" s="18"/>
      <c r="AF13" s="18"/>
      <c r="AG13" s="18"/>
      <c r="AH13" s="18"/>
      <c r="AI13" s="18"/>
      <c r="AJ13" s="18"/>
    </row>
    <row r="14" spans="1:36">
      <c r="A14" s="79">
        <v>0</v>
      </c>
      <c r="B14" s="79" t="s">
        <v>1574</v>
      </c>
      <c r="C14" s="79" t="s">
        <v>1571</v>
      </c>
      <c r="D14" s="79">
        <v>0</v>
      </c>
      <c r="E14" s="75">
        <f>$A14*$D14*'02_Assumptions'!$C$24</f>
        <v>0</v>
      </c>
      <c r="F14" s="76">
        <v>0.1</v>
      </c>
      <c r="G14" s="75">
        <f t="shared" si="0"/>
        <v>0</v>
      </c>
      <c r="H14" s="77">
        <v>0</v>
      </c>
      <c r="I14" s="37">
        <f t="shared" si="1"/>
        <v>0</v>
      </c>
      <c r="J14" s="76">
        <v>0.9</v>
      </c>
      <c r="K14" s="75">
        <f t="shared" si="2"/>
        <v>0</v>
      </c>
      <c r="L14" s="78">
        <v>0</v>
      </c>
      <c r="M14" s="37">
        <f>$E14*$L14*'02_Assumptions'!$C$60</f>
        <v>0</v>
      </c>
      <c r="N14" s="18" t="s">
        <v>1572</v>
      </c>
      <c r="O14" s="18"/>
      <c r="P14" s="18"/>
      <c r="Q14" s="18"/>
      <c r="R14" s="18"/>
      <c r="S14" s="18"/>
      <c r="T14" s="18"/>
      <c r="U14" s="18"/>
      <c r="V14" s="18"/>
      <c r="W14" s="18"/>
      <c r="X14" s="18"/>
      <c r="Y14" s="18"/>
      <c r="Z14" s="18"/>
      <c r="AA14" s="18"/>
      <c r="AB14" s="18"/>
      <c r="AC14" s="18"/>
      <c r="AD14" s="18"/>
      <c r="AE14" s="18"/>
      <c r="AF14" s="18"/>
      <c r="AG14" s="18"/>
      <c r="AH14" s="18"/>
      <c r="AI14" s="18"/>
      <c r="AJ14" s="18"/>
    </row>
    <row r="15" spans="1:36">
      <c r="A15" s="79">
        <v>0</v>
      </c>
      <c r="B15" s="79" t="s">
        <v>1575</v>
      </c>
      <c r="C15" s="79" t="s">
        <v>1571</v>
      </c>
      <c r="D15" s="79">
        <v>0</v>
      </c>
      <c r="E15" s="75">
        <f>$A15*$D15*'02_Assumptions'!$C$24</f>
        <v>0</v>
      </c>
      <c r="F15" s="76">
        <v>0.1</v>
      </c>
      <c r="G15" s="75">
        <f t="shared" si="0"/>
        <v>0</v>
      </c>
      <c r="H15" s="77">
        <v>0</v>
      </c>
      <c r="I15" s="37">
        <f t="shared" si="1"/>
        <v>0</v>
      </c>
      <c r="J15" s="76">
        <v>0.9</v>
      </c>
      <c r="K15" s="75">
        <f t="shared" si="2"/>
        <v>0</v>
      </c>
      <c r="L15" s="78">
        <v>0</v>
      </c>
      <c r="M15" s="37">
        <f>$E15*$L15*'02_Assumptions'!$C$60</f>
        <v>0</v>
      </c>
      <c r="N15" s="18" t="s">
        <v>1572</v>
      </c>
      <c r="O15" s="18"/>
      <c r="P15" s="18"/>
      <c r="Q15" s="18"/>
      <c r="R15" s="18"/>
      <c r="S15" s="18"/>
      <c r="T15" s="18"/>
      <c r="U15" s="18"/>
      <c r="V15" s="18"/>
      <c r="W15" s="18"/>
      <c r="X15" s="18"/>
      <c r="Y15" s="18"/>
      <c r="Z15" s="18"/>
      <c r="AA15" s="18"/>
      <c r="AB15" s="18"/>
      <c r="AC15" s="18"/>
      <c r="AD15" s="18"/>
      <c r="AE15" s="18"/>
      <c r="AF15" s="18"/>
      <c r="AG15" s="18"/>
      <c r="AH15" s="18"/>
      <c r="AI15" s="18"/>
      <c r="AJ15" s="18"/>
    </row>
    <row r="16" spans="1:3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row>
    <row r="17" spans="1:36">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row>
    <row r="18" spans="1:36">
      <c r="A18" s="263" t="s">
        <v>1576</v>
      </c>
      <c r="B18" s="263"/>
      <c r="C18" s="263"/>
      <c r="D18" s="263"/>
      <c r="E18" s="263"/>
      <c r="F18" s="263"/>
      <c r="G18" s="263"/>
      <c r="H18" s="263"/>
      <c r="I18" s="80">
        <f>SUM(I6:I15)</f>
        <v>504240000.00000006</v>
      </c>
      <c r="J18" s="80"/>
      <c r="K18" s="80"/>
      <c r="L18" s="80"/>
      <c r="M18" s="80">
        <f>SUM(M6:M15)</f>
        <v>178992000</v>
      </c>
      <c r="N18" s="80"/>
      <c r="O18" s="18"/>
      <c r="P18" s="18"/>
      <c r="Q18" s="18"/>
      <c r="R18" s="18"/>
      <c r="S18" s="18"/>
      <c r="T18" s="18"/>
      <c r="U18" s="18"/>
      <c r="V18" s="18"/>
      <c r="W18" s="18"/>
      <c r="X18" s="18"/>
      <c r="Y18" s="18"/>
      <c r="Z18" s="18"/>
      <c r="AA18" s="18"/>
      <c r="AB18" s="18"/>
      <c r="AC18" s="18"/>
      <c r="AD18" s="18"/>
      <c r="AE18" s="18"/>
      <c r="AF18" s="18"/>
      <c r="AG18" s="18"/>
      <c r="AH18" s="18"/>
      <c r="AI18" s="18"/>
      <c r="AJ18" s="18"/>
    </row>
    <row r="19" spans="1:36">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row>
    <row r="20" spans="1:36">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row>
    <row r="21" spans="1:36" ht="20" customHeight="1">
      <c r="A21" s="278" t="s">
        <v>1577</v>
      </c>
      <c r="B21" s="278"/>
      <c r="C21" s="278"/>
      <c r="D21" s="278"/>
      <c r="E21" s="278"/>
      <c r="F21" s="278"/>
      <c r="G21" s="278"/>
      <c r="H21" s="278"/>
      <c r="I21" s="278"/>
      <c r="J21" s="278"/>
      <c r="K21" s="278"/>
      <c r="L21" s="278"/>
      <c r="M21" s="278"/>
      <c r="N21" s="278"/>
      <c r="O21" s="278"/>
      <c r="P21" s="278"/>
      <c r="Q21" s="278"/>
      <c r="R21" s="278"/>
      <c r="S21" s="278"/>
      <c r="T21" s="278"/>
      <c r="U21" s="278"/>
      <c r="V21" s="278"/>
      <c r="W21" s="278"/>
      <c r="X21" s="278"/>
      <c r="Y21" s="278"/>
      <c r="Z21" s="278"/>
      <c r="AA21" s="278"/>
      <c r="AB21" s="278"/>
      <c r="AC21" s="278"/>
      <c r="AD21" s="278"/>
      <c r="AE21" s="278"/>
      <c r="AF21" s="278"/>
      <c r="AG21" s="278"/>
      <c r="AH21" s="278"/>
      <c r="AI21" s="278"/>
      <c r="AJ21" s="278"/>
    </row>
    <row r="22" spans="1:36" ht="32" customHeight="1">
      <c r="A22" s="71" t="s">
        <v>473</v>
      </c>
      <c r="B22" s="71" t="s">
        <v>706</v>
      </c>
      <c r="C22" s="71" t="s">
        <v>708</v>
      </c>
      <c r="D22" s="71" t="s">
        <v>1578</v>
      </c>
      <c r="E22" s="71" t="s">
        <v>1579</v>
      </c>
      <c r="F22" s="71" t="s">
        <v>440</v>
      </c>
      <c r="G22" s="71" t="s">
        <v>441</v>
      </c>
      <c r="H22" s="71" t="s">
        <v>442</v>
      </c>
      <c r="I22" s="71" t="s">
        <v>443</v>
      </c>
      <c r="J22" s="71" t="s">
        <v>444</v>
      </c>
      <c r="K22" s="71" t="s">
        <v>445</v>
      </c>
      <c r="L22" s="71" t="s">
        <v>446</v>
      </c>
      <c r="M22" s="71" t="s">
        <v>447</v>
      </c>
      <c r="N22" s="71" t="s">
        <v>448</v>
      </c>
      <c r="O22" s="71" t="s">
        <v>449</v>
      </c>
      <c r="P22" s="71" t="s">
        <v>1580</v>
      </c>
      <c r="Q22" s="71" t="s">
        <v>1581</v>
      </c>
      <c r="R22" s="71" t="s">
        <v>1582</v>
      </c>
      <c r="S22" s="71" t="s">
        <v>1583</v>
      </c>
      <c r="T22" s="71" t="s">
        <v>1584</v>
      </c>
      <c r="U22" s="71" t="s">
        <v>1585</v>
      </c>
      <c r="V22" s="71" t="s">
        <v>1586</v>
      </c>
      <c r="W22" s="71" t="s">
        <v>1587</v>
      </c>
      <c r="X22" s="71" t="s">
        <v>1588</v>
      </c>
      <c r="Y22" s="71" t="s">
        <v>1589</v>
      </c>
      <c r="Z22" s="71" t="s">
        <v>1590</v>
      </c>
      <c r="AA22" s="71" t="s">
        <v>1591</v>
      </c>
      <c r="AB22" s="71" t="s">
        <v>1592</v>
      </c>
      <c r="AC22" s="71" t="s">
        <v>1593</v>
      </c>
      <c r="AD22" s="71" t="s">
        <v>1594</v>
      </c>
      <c r="AE22" s="71" t="s">
        <v>1595</v>
      </c>
      <c r="AF22" s="71" t="s">
        <v>1596</v>
      </c>
      <c r="AG22" s="71" t="s">
        <v>1597</v>
      </c>
      <c r="AH22" s="71" t="s">
        <v>1598</v>
      </c>
      <c r="AI22" s="71" t="s">
        <v>1599</v>
      </c>
      <c r="AJ22" s="71" t="s">
        <v>140</v>
      </c>
    </row>
    <row r="23" spans="1:36" ht="23.25">
      <c r="A23" s="74">
        <f>$A$6</f>
        <v>1</v>
      </c>
      <c r="B23" s="74" t="str">
        <f>$B$6</f>
        <v>Nanas</v>
      </c>
      <c r="C23" s="74">
        <f>$K$6</f>
        <v>187000</v>
      </c>
      <c r="D23" s="127">
        <v>6000</v>
      </c>
      <c r="E23" s="127">
        <v>1000</v>
      </c>
      <c r="F23" s="129">
        <v>1.3</v>
      </c>
      <c r="G23" s="129">
        <v>0.8</v>
      </c>
      <c r="H23" s="129">
        <v>0</v>
      </c>
      <c r="I23" s="129">
        <v>0</v>
      </c>
      <c r="J23" s="129">
        <v>0</v>
      </c>
      <c r="K23" s="129">
        <v>0</v>
      </c>
      <c r="L23" s="129">
        <v>0</v>
      </c>
      <c r="M23" s="129">
        <v>0</v>
      </c>
      <c r="N23" s="129">
        <v>0</v>
      </c>
      <c r="O23" s="129">
        <v>0</v>
      </c>
      <c r="P23" s="37">
        <f>$A23*$C23*F23*$D23*(1+'02_Assumptions'!$C$12)^0</f>
        <v>1458600000</v>
      </c>
      <c r="Q23" s="37">
        <f>$A23*$C23*G23*$D23*(1+'02_Assumptions'!$C$12)^1</f>
        <v>924528000</v>
      </c>
      <c r="R23" s="37">
        <f>$A23*$C23*H23*$D23*(1+'02_Assumptions'!$C$12)^2</f>
        <v>0</v>
      </c>
      <c r="S23" s="37">
        <f>$A23*$C23*I23*$D23*(1+'02_Assumptions'!$C$12)^3</f>
        <v>0</v>
      </c>
      <c r="T23" s="37">
        <f>$A23*$C23*J23*$D23*(1+'02_Assumptions'!$C$12)^4</f>
        <v>0</v>
      </c>
      <c r="U23" s="37">
        <f>$A23*$C23*K23*$D23*(1+'02_Assumptions'!$C$12)^5</f>
        <v>0</v>
      </c>
      <c r="V23" s="37">
        <f>$A23*$C23*L23*$D23*(1+'02_Assumptions'!$C$12)^6</f>
        <v>0</v>
      </c>
      <c r="W23" s="37">
        <f>$A23*$C23*M23*$D23*(1+'02_Assumptions'!$C$12)^7</f>
        <v>0</v>
      </c>
      <c r="X23" s="37">
        <f>$A23*$C23*N23*$D23*(1+'02_Assumptions'!$C$12)^8</f>
        <v>0</v>
      </c>
      <c r="Y23" s="37">
        <f>$A23*$C23*O23*$D23*(1+'02_Assumptions'!$C$12)^9</f>
        <v>0</v>
      </c>
      <c r="Z23" s="37">
        <f>$A23*$C23*F23*$E23*(1+'02_Assumptions'!$C$11)^0</f>
        <v>243100000</v>
      </c>
      <c r="AA23" s="37">
        <f>$A23*$C23*G23*$E23*(1+'02_Assumptions'!$C$11)^1</f>
        <v>155584000</v>
      </c>
      <c r="AB23" s="37">
        <f>$A23*$C23*H23*$E23*(1+'02_Assumptions'!$C$11)^2</f>
        <v>0</v>
      </c>
      <c r="AC23" s="37">
        <f>$A23*$C23*I23*$E23*(1+'02_Assumptions'!$C$11)^3</f>
        <v>0</v>
      </c>
      <c r="AD23" s="37">
        <f>$A23*$C23*J23*$E23*(1+'02_Assumptions'!$C$11)^4</f>
        <v>0</v>
      </c>
      <c r="AE23" s="37">
        <f>$A23*$C23*K23*$E23*(1+'02_Assumptions'!$C$11)^5</f>
        <v>0</v>
      </c>
      <c r="AF23" s="37">
        <f>$A23*$C23*L23*$E23*(1+'02_Assumptions'!$C$11)^6</f>
        <v>0</v>
      </c>
      <c r="AG23" s="37">
        <f>$A23*$C23*M23*$E23*(1+'02_Assumptions'!$C$11)^7</f>
        <v>0</v>
      </c>
      <c r="AH23" s="37">
        <f>$A23*$C23*N23*$E23*(1+'02_Assumptions'!$C$11)^8</f>
        <v>0</v>
      </c>
      <c r="AI23" s="37">
        <f>$A23*$C23*O23*$E23*(1+'02_Assumptions'!$C$11)^9</f>
        <v>0</v>
      </c>
      <c r="AJ23" s="18" t="s">
        <v>1600</v>
      </c>
    </row>
    <row r="24" spans="1:36" ht="23.25">
      <c r="A24" s="74">
        <f>$A$7</f>
        <v>1</v>
      </c>
      <c r="B24" s="74" t="s">
        <v>1601</v>
      </c>
      <c r="C24" s="74">
        <f>$K$7</f>
        <v>57.2</v>
      </c>
      <c r="D24" s="77">
        <v>0</v>
      </c>
      <c r="E24" s="77">
        <v>0</v>
      </c>
      <c r="F24" s="81">
        <v>0</v>
      </c>
      <c r="G24" s="81">
        <v>0</v>
      </c>
      <c r="H24" s="81">
        <v>0</v>
      </c>
      <c r="I24" s="81">
        <v>0</v>
      </c>
      <c r="J24" s="81">
        <v>0</v>
      </c>
      <c r="K24" s="81">
        <v>0</v>
      </c>
      <c r="L24" s="81">
        <v>0</v>
      </c>
      <c r="M24" s="81">
        <v>0</v>
      </c>
      <c r="N24" s="81">
        <v>0</v>
      </c>
      <c r="O24" s="81">
        <v>0</v>
      </c>
      <c r="P24" s="37">
        <f>$A24*$C24*F24*$D24*(1+'02_Assumptions'!$C$12)^0</f>
        <v>0</v>
      </c>
      <c r="Q24" s="37">
        <f>$A24*$C24*G24*$D24*(1+'02_Assumptions'!$C$12)^1</f>
        <v>0</v>
      </c>
      <c r="R24" s="37">
        <f>$A24*$C24*H24*$D24*(1+'02_Assumptions'!$C$12)^2</f>
        <v>0</v>
      </c>
      <c r="S24" s="37">
        <f>$A24*$C24*I24*$D24*(1+'02_Assumptions'!$C$12)^3</f>
        <v>0</v>
      </c>
      <c r="T24" s="37">
        <f>$A24*$C24*J24*$D24*(1+'02_Assumptions'!$C$12)^4</f>
        <v>0</v>
      </c>
      <c r="U24" s="37">
        <f>$A24*$C24*K24*$D24*(1+'02_Assumptions'!$C$12)^5</f>
        <v>0</v>
      </c>
      <c r="V24" s="37">
        <f>$A24*$C24*L24*$D24*(1+'02_Assumptions'!$C$12)^6</f>
        <v>0</v>
      </c>
      <c r="W24" s="37">
        <f>$A24*$C24*M24*$D24*(1+'02_Assumptions'!$C$12)^7</f>
        <v>0</v>
      </c>
      <c r="X24" s="37">
        <f>$A24*$C24*N24*$D24*(1+'02_Assumptions'!$C$12)^8</f>
        <v>0</v>
      </c>
      <c r="Y24" s="37">
        <f>$A24*$C24*O24*$D24*(1+'02_Assumptions'!$C$12)^9</f>
        <v>0</v>
      </c>
      <c r="Z24" s="37">
        <f>$A24*$C24*F24*$E24*(1+'02_Assumptions'!$C$11)^0</f>
        <v>0</v>
      </c>
      <c r="AA24" s="37">
        <f>$A24*$C24*G24*$E24*(1+'02_Assumptions'!$C$11)^1</f>
        <v>0</v>
      </c>
      <c r="AB24" s="37">
        <f>$A24*$C24*H24*$E24*(1+'02_Assumptions'!$C$11)^2</f>
        <v>0</v>
      </c>
      <c r="AC24" s="37">
        <f>$A24*$C24*I24*$E24*(1+'02_Assumptions'!$C$11)^3</f>
        <v>0</v>
      </c>
      <c r="AD24" s="37">
        <f>$A24*$C24*J24*$E24*(1+'02_Assumptions'!$C$11)^4</f>
        <v>0</v>
      </c>
      <c r="AE24" s="37">
        <f>$A24*$C24*K24*$E24*(1+'02_Assumptions'!$C$11)^5</f>
        <v>0</v>
      </c>
      <c r="AF24" s="37">
        <f>$A24*$C24*L24*$E24*(1+'02_Assumptions'!$C$11)^6</f>
        <v>0</v>
      </c>
      <c r="AG24" s="37">
        <f>$A24*$C24*M24*$E24*(1+'02_Assumptions'!$C$11)^7</f>
        <v>0</v>
      </c>
      <c r="AH24" s="37">
        <f>$A24*$C24*N24*$E24*(1+'02_Assumptions'!$C$11)^8</f>
        <v>0</v>
      </c>
      <c r="AI24" s="37">
        <f>$A24*$C24*O24*$E24*(1+'02_Assumptions'!$C$11)^9</f>
        <v>0</v>
      </c>
      <c r="AJ24" s="18" t="s">
        <v>1602</v>
      </c>
    </row>
    <row r="25" spans="1:36">
      <c r="A25" s="74">
        <f>$A$8</f>
        <v>0</v>
      </c>
      <c r="B25" s="74" t="str">
        <f>$B$8</f>
        <v>Crotalaria juncea</v>
      </c>
      <c r="C25" s="74">
        <f>$K$8</f>
        <v>0</v>
      </c>
      <c r="D25" s="77">
        <v>0</v>
      </c>
      <c r="E25" s="77">
        <v>0</v>
      </c>
      <c r="F25" s="81">
        <v>0</v>
      </c>
      <c r="G25" s="81">
        <v>0</v>
      </c>
      <c r="H25" s="81">
        <v>0</v>
      </c>
      <c r="I25" s="81">
        <v>0</v>
      </c>
      <c r="J25" s="81">
        <v>0</v>
      </c>
      <c r="K25" s="81">
        <v>0</v>
      </c>
      <c r="L25" s="81">
        <v>0</v>
      </c>
      <c r="M25" s="81">
        <v>0</v>
      </c>
      <c r="N25" s="81">
        <v>0</v>
      </c>
      <c r="O25" s="81">
        <v>0</v>
      </c>
      <c r="P25" s="37">
        <f>$A25*$C25*F25*$D25*(1+'02_Assumptions'!$C$12)^0</f>
        <v>0</v>
      </c>
      <c r="Q25" s="37">
        <f>$A25*$C25*G25*$D25*(1+'02_Assumptions'!$C$12)^1</f>
        <v>0</v>
      </c>
      <c r="R25" s="37">
        <f>$A25*$C25*H25*$D25*(1+'02_Assumptions'!$C$12)^2</f>
        <v>0</v>
      </c>
      <c r="S25" s="37">
        <f>$A25*$C25*I25*$D25*(1+'02_Assumptions'!$C$12)^3</f>
        <v>0</v>
      </c>
      <c r="T25" s="37">
        <f>$A25*$C25*J25*$D25*(1+'02_Assumptions'!$C$12)^4</f>
        <v>0</v>
      </c>
      <c r="U25" s="37">
        <f>$A25*$C25*K25*$D25*(1+'02_Assumptions'!$C$12)^5</f>
        <v>0</v>
      </c>
      <c r="V25" s="37">
        <f>$A25*$C25*L25*$D25*(1+'02_Assumptions'!$C$12)^6</f>
        <v>0</v>
      </c>
      <c r="W25" s="37">
        <f>$A25*$C25*M25*$D25*(1+'02_Assumptions'!$C$12)^7</f>
        <v>0</v>
      </c>
      <c r="X25" s="37">
        <f>$A25*$C25*N25*$D25*(1+'02_Assumptions'!$C$12)^8</f>
        <v>0</v>
      </c>
      <c r="Y25" s="37">
        <f>$A25*$C25*O25*$D25*(1+'02_Assumptions'!$C$12)^9</f>
        <v>0</v>
      </c>
      <c r="Z25" s="37">
        <f>$A25*$C25*F25*$E25*(1+'02_Assumptions'!$C$11)^0</f>
        <v>0</v>
      </c>
      <c r="AA25" s="37">
        <f>$A25*$C25*G25*$E25*(1+'02_Assumptions'!$C$11)^1</f>
        <v>0</v>
      </c>
      <c r="AB25" s="37">
        <f>$A25*$C25*H25*$E25*(1+'02_Assumptions'!$C$11)^2</f>
        <v>0</v>
      </c>
      <c r="AC25" s="37">
        <f>$A25*$C25*I25*$E25*(1+'02_Assumptions'!$C$11)^3</f>
        <v>0</v>
      </c>
      <c r="AD25" s="37">
        <f>$A25*$C25*J25*$E25*(1+'02_Assumptions'!$C$11)^4</f>
        <v>0</v>
      </c>
      <c r="AE25" s="37">
        <f>$A25*$C25*K25*$E25*(1+'02_Assumptions'!$C$11)^5</f>
        <v>0</v>
      </c>
      <c r="AF25" s="37">
        <f>$A25*$C25*L25*$E25*(1+'02_Assumptions'!$C$11)^6</f>
        <v>0</v>
      </c>
      <c r="AG25" s="37">
        <f>$A25*$C25*M25*$E25*(1+'02_Assumptions'!$C$11)^7</f>
        <v>0</v>
      </c>
      <c r="AH25" s="37">
        <f>$A25*$C25*N25*$E25*(1+'02_Assumptions'!$C$11)^8</f>
        <v>0</v>
      </c>
      <c r="AI25" s="37">
        <f>$A25*$C25*O25*$E25*(1+'02_Assumptions'!$C$11)^9</f>
        <v>0</v>
      </c>
      <c r="AJ25" s="18"/>
    </row>
    <row r="26" spans="1:36">
      <c r="A26" s="74">
        <f>$A$9</f>
        <v>0</v>
      </c>
      <c r="B26" s="74" t="str">
        <f>$B$9</f>
        <v>Mucuna/benguk</v>
      </c>
      <c r="C26" s="74">
        <f>$K$9</f>
        <v>0</v>
      </c>
      <c r="D26" s="77">
        <v>0</v>
      </c>
      <c r="E26" s="77">
        <v>0</v>
      </c>
      <c r="F26" s="81">
        <v>0</v>
      </c>
      <c r="G26" s="81">
        <v>0</v>
      </c>
      <c r="H26" s="81">
        <v>0</v>
      </c>
      <c r="I26" s="81">
        <v>0</v>
      </c>
      <c r="J26" s="81">
        <v>0</v>
      </c>
      <c r="K26" s="81">
        <v>0</v>
      </c>
      <c r="L26" s="81">
        <v>0</v>
      </c>
      <c r="M26" s="81">
        <v>0</v>
      </c>
      <c r="N26" s="81">
        <v>0</v>
      </c>
      <c r="O26" s="81">
        <v>0</v>
      </c>
      <c r="P26" s="37">
        <f>$A26*$C26*F26*$D26*(1+'02_Assumptions'!$C$12)^0</f>
        <v>0</v>
      </c>
      <c r="Q26" s="37">
        <f>$A26*$C26*G26*$D26*(1+'02_Assumptions'!$C$12)^1</f>
        <v>0</v>
      </c>
      <c r="R26" s="37">
        <f>$A26*$C26*H26*$D26*(1+'02_Assumptions'!$C$12)^2</f>
        <v>0</v>
      </c>
      <c r="S26" s="37">
        <f>$A26*$C26*I26*$D26*(1+'02_Assumptions'!$C$12)^3</f>
        <v>0</v>
      </c>
      <c r="T26" s="37">
        <f>$A26*$C26*J26*$D26*(1+'02_Assumptions'!$C$12)^4</f>
        <v>0</v>
      </c>
      <c r="U26" s="37">
        <f>$A26*$C26*K26*$D26*(1+'02_Assumptions'!$C$12)^5</f>
        <v>0</v>
      </c>
      <c r="V26" s="37">
        <f>$A26*$C26*L26*$D26*(1+'02_Assumptions'!$C$12)^6</f>
        <v>0</v>
      </c>
      <c r="W26" s="37">
        <f>$A26*$C26*M26*$D26*(1+'02_Assumptions'!$C$12)^7</f>
        <v>0</v>
      </c>
      <c r="X26" s="37">
        <f>$A26*$C26*N26*$D26*(1+'02_Assumptions'!$C$12)^8</f>
        <v>0</v>
      </c>
      <c r="Y26" s="37">
        <f>$A26*$C26*O26*$D26*(1+'02_Assumptions'!$C$12)^9</f>
        <v>0</v>
      </c>
      <c r="Z26" s="37">
        <f>$A26*$C26*F26*$E26*(1+'02_Assumptions'!$C$11)^0</f>
        <v>0</v>
      </c>
      <c r="AA26" s="37">
        <f>$A26*$C26*G26*$E26*(1+'02_Assumptions'!$C$11)^1</f>
        <v>0</v>
      </c>
      <c r="AB26" s="37">
        <f>$A26*$C26*H26*$E26*(1+'02_Assumptions'!$C$11)^2</f>
        <v>0</v>
      </c>
      <c r="AC26" s="37">
        <f>$A26*$C26*I26*$E26*(1+'02_Assumptions'!$C$11)^3</f>
        <v>0</v>
      </c>
      <c r="AD26" s="37">
        <f>$A26*$C26*J26*$E26*(1+'02_Assumptions'!$C$11)^4</f>
        <v>0</v>
      </c>
      <c r="AE26" s="37">
        <f>$A26*$C26*K26*$E26*(1+'02_Assumptions'!$C$11)^5</f>
        <v>0</v>
      </c>
      <c r="AF26" s="37">
        <f>$A26*$C26*L26*$E26*(1+'02_Assumptions'!$C$11)^6</f>
        <v>0</v>
      </c>
      <c r="AG26" s="37">
        <f>$A26*$C26*M26*$E26*(1+'02_Assumptions'!$C$11)^7</f>
        <v>0</v>
      </c>
      <c r="AH26" s="37">
        <f>$A26*$C26*N26*$E26*(1+'02_Assumptions'!$C$11)^8</f>
        <v>0</v>
      </c>
      <c r="AI26" s="37">
        <f>$A26*$C26*O26*$E26*(1+'02_Assumptions'!$C$11)^9</f>
        <v>0</v>
      </c>
      <c r="AJ26" s="18"/>
    </row>
    <row r="27" spans="1:36">
      <c r="A27" s="74">
        <f>$A$10</f>
        <v>0</v>
      </c>
      <c r="B27" s="74" t="str">
        <f>$B$10</f>
        <v>Vetiver</v>
      </c>
      <c r="C27" s="74">
        <f>$K$10</f>
        <v>0</v>
      </c>
      <c r="D27" s="77">
        <v>0</v>
      </c>
      <c r="E27" s="77">
        <v>0</v>
      </c>
      <c r="F27" s="81">
        <v>0</v>
      </c>
      <c r="G27" s="81">
        <v>0</v>
      </c>
      <c r="H27" s="81">
        <v>0</v>
      </c>
      <c r="I27" s="81">
        <v>0</v>
      </c>
      <c r="J27" s="81">
        <v>0</v>
      </c>
      <c r="K27" s="81">
        <v>0</v>
      </c>
      <c r="L27" s="81">
        <v>0</v>
      </c>
      <c r="M27" s="81">
        <v>0</v>
      </c>
      <c r="N27" s="81">
        <v>0</v>
      </c>
      <c r="O27" s="81">
        <v>0</v>
      </c>
      <c r="P27" s="37">
        <f>$A27*$C27*F27*$D27*(1+'02_Assumptions'!$C$12)^0</f>
        <v>0</v>
      </c>
      <c r="Q27" s="37">
        <f>$A27*$C27*G27*$D27*(1+'02_Assumptions'!$C$12)^1</f>
        <v>0</v>
      </c>
      <c r="R27" s="37">
        <f>$A27*$C27*H27*$D27*(1+'02_Assumptions'!$C$12)^2</f>
        <v>0</v>
      </c>
      <c r="S27" s="37">
        <f>$A27*$C27*I27*$D27*(1+'02_Assumptions'!$C$12)^3</f>
        <v>0</v>
      </c>
      <c r="T27" s="37">
        <f>$A27*$C27*J27*$D27*(1+'02_Assumptions'!$C$12)^4</f>
        <v>0</v>
      </c>
      <c r="U27" s="37">
        <f>$A27*$C27*K27*$D27*(1+'02_Assumptions'!$C$12)^5</f>
        <v>0</v>
      </c>
      <c r="V27" s="37">
        <f>$A27*$C27*L27*$D27*(1+'02_Assumptions'!$C$12)^6</f>
        <v>0</v>
      </c>
      <c r="W27" s="37">
        <f>$A27*$C27*M27*$D27*(1+'02_Assumptions'!$C$12)^7</f>
        <v>0</v>
      </c>
      <c r="X27" s="37">
        <f>$A27*$C27*N27*$D27*(1+'02_Assumptions'!$C$12)^8</f>
        <v>0</v>
      </c>
      <c r="Y27" s="37">
        <f>$A27*$C27*O27*$D27*(1+'02_Assumptions'!$C$12)^9</f>
        <v>0</v>
      </c>
      <c r="Z27" s="37">
        <f>$A27*$C27*F27*$E27*(1+'02_Assumptions'!$C$11)^0</f>
        <v>0</v>
      </c>
      <c r="AA27" s="37">
        <f>$A27*$C27*G27*$E27*(1+'02_Assumptions'!$C$11)^1</f>
        <v>0</v>
      </c>
      <c r="AB27" s="37">
        <f>$A27*$C27*H27*$E27*(1+'02_Assumptions'!$C$11)^2</f>
        <v>0</v>
      </c>
      <c r="AC27" s="37">
        <f>$A27*$C27*I27*$E27*(1+'02_Assumptions'!$C$11)^3</f>
        <v>0</v>
      </c>
      <c r="AD27" s="37">
        <f>$A27*$C27*J27*$E27*(1+'02_Assumptions'!$C$11)^4</f>
        <v>0</v>
      </c>
      <c r="AE27" s="37">
        <f>$A27*$C27*K27*$E27*(1+'02_Assumptions'!$C$11)^5</f>
        <v>0</v>
      </c>
      <c r="AF27" s="37">
        <f>$A27*$C27*L27*$E27*(1+'02_Assumptions'!$C$11)^6</f>
        <v>0</v>
      </c>
      <c r="AG27" s="37">
        <f>$A27*$C27*M27*$E27*(1+'02_Assumptions'!$C$11)^7</f>
        <v>0</v>
      </c>
      <c r="AH27" s="37">
        <f>$A27*$C27*N27*$E27*(1+'02_Assumptions'!$C$11)^8</f>
        <v>0</v>
      </c>
      <c r="AI27" s="37">
        <f>$A27*$C27*O27*$E27*(1+'02_Assumptions'!$C$11)^9</f>
        <v>0</v>
      </c>
      <c r="AJ27" s="18"/>
    </row>
    <row r="28" spans="1:36">
      <c r="A28" s="74">
        <f>$A$11</f>
        <v>0</v>
      </c>
      <c r="B28" s="74" t="str">
        <f>$B$11</f>
        <v>Tithonia</v>
      </c>
      <c r="C28" s="74">
        <f>$K$11</f>
        <v>0</v>
      </c>
      <c r="D28" s="77">
        <v>0</v>
      </c>
      <c r="E28" s="77">
        <v>0</v>
      </c>
      <c r="F28" s="81">
        <v>0</v>
      </c>
      <c r="G28" s="81">
        <v>0</v>
      </c>
      <c r="H28" s="81">
        <v>0</v>
      </c>
      <c r="I28" s="81">
        <v>0</v>
      </c>
      <c r="J28" s="81">
        <v>0</v>
      </c>
      <c r="K28" s="81">
        <v>0</v>
      </c>
      <c r="L28" s="81">
        <v>0</v>
      </c>
      <c r="M28" s="81">
        <v>0</v>
      </c>
      <c r="N28" s="81">
        <v>0</v>
      </c>
      <c r="O28" s="81">
        <v>0</v>
      </c>
      <c r="P28" s="37">
        <f>$A28*$C28*F28*$D28*(1+'02_Assumptions'!$C$12)^0</f>
        <v>0</v>
      </c>
      <c r="Q28" s="37">
        <f>$A28*$C28*G28*$D28*(1+'02_Assumptions'!$C$12)^1</f>
        <v>0</v>
      </c>
      <c r="R28" s="37">
        <f>$A28*$C28*H28*$D28*(1+'02_Assumptions'!$C$12)^2</f>
        <v>0</v>
      </c>
      <c r="S28" s="37">
        <f>$A28*$C28*I28*$D28*(1+'02_Assumptions'!$C$12)^3</f>
        <v>0</v>
      </c>
      <c r="T28" s="37">
        <f>$A28*$C28*J28*$D28*(1+'02_Assumptions'!$C$12)^4</f>
        <v>0</v>
      </c>
      <c r="U28" s="37">
        <f>$A28*$C28*K28*$D28*(1+'02_Assumptions'!$C$12)^5</f>
        <v>0</v>
      </c>
      <c r="V28" s="37">
        <f>$A28*$C28*L28*$D28*(1+'02_Assumptions'!$C$12)^6</f>
        <v>0</v>
      </c>
      <c r="W28" s="37">
        <f>$A28*$C28*M28*$D28*(1+'02_Assumptions'!$C$12)^7</f>
        <v>0</v>
      </c>
      <c r="X28" s="37">
        <f>$A28*$C28*N28*$D28*(1+'02_Assumptions'!$C$12)^8</f>
        <v>0</v>
      </c>
      <c r="Y28" s="37">
        <f>$A28*$C28*O28*$D28*(1+'02_Assumptions'!$C$12)^9</f>
        <v>0</v>
      </c>
      <c r="Z28" s="37">
        <f>$A28*$C28*F28*$E28*(1+'02_Assumptions'!$C$11)^0</f>
        <v>0</v>
      </c>
      <c r="AA28" s="37">
        <f>$A28*$C28*G28*$E28*(1+'02_Assumptions'!$C$11)^1</f>
        <v>0</v>
      </c>
      <c r="AB28" s="37">
        <f>$A28*$C28*H28*$E28*(1+'02_Assumptions'!$C$11)^2</f>
        <v>0</v>
      </c>
      <c r="AC28" s="37">
        <f>$A28*$C28*I28*$E28*(1+'02_Assumptions'!$C$11)^3</f>
        <v>0</v>
      </c>
      <c r="AD28" s="37">
        <f>$A28*$C28*J28*$E28*(1+'02_Assumptions'!$C$11)^4</f>
        <v>0</v>
      </c>
      <c r="AE28" s="37">
        <f>$A28*$C28*K28*$E28*(1+'02_Assumptions'!$C$11)^5</f>
        <v>0</v>
      </c>
      <c r="AF28" s="37">
        <f>$A28*$C28*L28*$E28*(1+'02_Assumptions'!$C$11)^6</f>
        <v>0</v>
      </c>
      <c r="AG28" s="37">
        <f>$A28*$C28*M28*$E28*(1+'02_Assumptions'!$C$11)^7</f>
        <v>0</v>
      </c>
      <c r="AH28" s="37">
        <f>$A28*$C28*N28*$E28*(1+'02_Assumptions'!$C$11)^8</f>
        <v>0</v>
      </c>
      <c r="AI28" s="37">
        <f>$A28*$C28*O28*$E28*(1+'02_Assumptions'!$C$11)^9</f>
        <v>0</v>
      </c>
      <c r="AJ28" s="18"/>
    </row>
    <row r="29" spans="1:36">
      <c r="A29" s="74">
        <f>$A$12</f>
        <v>0</v>
      </c>
      <c r="B29" s="74" t="str">
        <f>$B$12</f>
        <v>Tambahan 5</v>
      </c>
      <c r="C29" s="74">
        <f>$K$12</f>
        <v>0</v>
      </c>
      <c r="D29" s="77">
        <v>0</v>
      </c>
      <c r="E29" s="77">
        <v>0</v>
      </c>
      <c r="F29" s="81">
        <v>0</v>
      </c>
      <c r="G29" s="81">
        <v>0</v>
      </c>
      <c r="H29" s="81">
        <v>0</v>
      </c>
      <c r="I29" s="81">
        <v>0</v>
      </c>
      <c r="J29" s="81">
        <v>0</v>
      </c>
      <c r="K29" s="81">
        <v>0</v>
      </c>
      <c r="L29" s="81">
        <v>0</v>
      </c>
      <c r="M29" s="81">
        <v>0</v>
      </c>
      <c r="N29" s="81">
        <v>0</v>
      </c>
      <c r="O29" s="81">
        <v>0</v>
      </c>
      <c r="P29" s="37">
        <f>$A29*$C29*F29*$D29*(1+'02_Assumptions'!$C$12)^0</f>
        <v>0</v>
      </c>
      <c r="Q29" s="37">
        <f>$A29*$C29*G29*$D29*(1+'02_Assumptions'!$C$12)^1</f>
        <v>0</v>
      </c>
      <c r="R29" s="37">
        <f>$A29*$C29*H29*$D29*(1+'02_Assumptions'!$C$12)^2</f>
        <v>0</v>
      </c>
      <c r="S29" s="37">
        <f>$A29*$C29*I29*$D29*(1+'02_Assumptions'!$C$12)^3</f>
        <v>0</v>
      </c>
      <c r="T29" s="37">
        <f>$A29*$C29*J29*$D29*(1+'02_Assumptions'!$C$12)^4</f>
        <v>0</v>
      </c>
      <c r="U29" s="37">
        <f>$A29*$C29*K29*$D29*(1+'02_Assumptions'!$C$12)^5</f>
        <v>0</v>
      </c>
      <c r="V29" s="37">
        <f>$A29*$C29*L29*$D29*(1+'02_Assumptions'!$C$12)^6</f>
        <v>0</v>
      </c>
      <c r="W29" s="37">
        <f>$A29*$C29*M29*$D29*(1+'02_Assumptions'!$C$12)^7</f>
        <v>0</v>
      </c>
      <c r="X29" s="37">
        <f>$A29*$C29*N29*$D29*(1+'02_Assumptions'!$C$12)^8</f>
        <v>0</v>
      </c>
      <c r="Y29" s="37">
        <f>$A29*$C29*O29*$D29*(1+'02_Assumptions'!$C$12)^9</f>
        <v>0</v>
      </c>
      <c r="Z29" s="37">
        <f>$A29*$C29*F29*$E29*(1+'02_Assumptions'!$C$11)^0</f>
        <v>0</v>
      </c>
      <c r="AA29" s="37">
        <f>$A29*$C29*G29*$E29*(1+'02_Assumptions'!$C$11)^1</f>
        <v>0</v>
      </c>
      <c r="AB29" s="37">
        <f>$A29*$C29*H29*$E29*(1+'02_Assumptions'!$C$11)^2</f>
        <v>0</v>
      </c>
      <c r="AC29" s="37">
        <f>$A29*$C29*I29*$E29*(1+'02_Assumptions'!$C$11)^3</f>
        <v>0</v>
      </c>
      <c r="AD29" s="37">
        <f>$A29*$C29*J29*$E29*(1+'02_Assumptions'!$C$11)^4</f>
        <v>0</v>
      </c>
      <c r="AE29" s="37">
        <f>$A29*$C29*K29*$E29*(1+'02_Assumptions'!$C$11)^5</f>
        <v>0</v>
      </c>
      <c r="AF29" s="37">
        <f>$A29*$C29*L29*$E29*(1+'02_Assumptions'!$C$11)^6</f>
        <v>0</v>
      </c>
      <c r="AG29" s="37">
        <f>$A29*$C29*M29*$E29*(1+'02_Assumptions'!$C$11)^7</f>
        <v>0</v>
      </c>
      <c r="AH29" s="37">
        <f>$A29*$C29*N29*$E29*(1+'02_Assumptions'!$C$11)^8</f>
        <v>0</v>
      </c>
      <c r="AI29" s="37">
        <f>$A29*$C29*O29*$E29*(1+'02_Assumptions'!$C$11)^9</f>
        <v>0</v>
      </c>
      <c r="AJ29" s="18"/>
    </row>
    <row r="30" spans="1:36">
      <c r="A30" s="74">
        <f>$A$13</f>
        <v>0</v>
      </c>
      <c r="B30" s="74" t="str">
        <f>$B$13</f>
        <v>Tambahan 6</v>
      </c>
      <c r="C30" s="74">
        <f>$K$13</f>
        <v>0</v>
      </c>
      <c r="D30" s="77">
        <v>0</v>
      </c>
      <c r="E30" s="77">
        <v>0</v>
      </c>
      <c r="F30" s="81">
        <v>0</v>
      </c>
      <c r="G30" s="81">
        <v>0</v>
      </c>
      <c r="H30" s="81">
        <v>0</v>
      </c>
      <c r="I30" s="81">
        <v>0</v>
      </c>
      <c r="J30" s="81">
        <v>0</v>
      </c>
      <c r="K30" s="81">
        <v>0</v>
      </c>
      <c r="L30" s="81">
        <v>0</v>
      </c>
      <c r="M30" s="81">
        <v>0</v>
      </c>
      <c r="N30" s="81">
        <v>0</v>
      </c>
      <c r="O30" s="81">
        <v>0</v>
      </c>
      <c r="P30" s="37">
        <f>$A30*$C30*F30*$D30*(1+'02_Assumptions'!$C$12)^0</f>
        <v>0</v>
      </c>
      <c r="Q30" s="37">
        <f>$A30*$C30*G30*$D30*(1+'02_Assumptions'!$C$12)^1</f>
        <v>0</v>
      </c>
      <c r="R30" s="37">
        <f>$A30*$C30*H30*$D30*(1+'02_Assumptions'!$C$12)^2</f>
        <v>0</v>
      </c>
      <c r="S30" s="37">
        <f>$A30*$C30*I30*$D30*(1+'02_Assumptions'!$C$12)^3</f>
        <v>0</v>
      </c>
      <c r="T30" s="37">
        <f>$A30*$C30*J30*$D30*(1+'02_Assumptions'!$C$12)^4</f>
        <v>0</v>
      </c>
      <c r="U30" s="37">
        <f>$A30*$C30*K30*$D30*(1+'02_Assumptions'!$C$12)^5</f>
        <v>0</v>
      </c>
      <c r="V30" s="37">
        <f>$A30*$C30*L30*$D30*(1+'02_Assumptions'!$C$12)^6</f>
        <v>0</v>
      </c>
      <c r="W30" s="37">
        <f>$A30*$C30*M30*$D30*(1+'02_Assumptions'!$C$12)^7</f>
        <v>0</v>
      </c>
      <c r="X30" s="37">
        <f>$A30*$C30*N30*$D30*(1+'02_Assumptions'!$C$12)^8</f>
        <v>0</v>
      </c>
      <c r="Y30" s="37">
        <f>$A30*$C30*O30*$D30*(1+'02_Assumptions'!$C$12)^9</f>
        <v>0</v>
      </c>
      <c r="Z30" s="37">
        <f>$A30*$C30*F30*$E30*(1+'02_Assumptions'!$C$11)^0</f>
        <v>0</v>
      </c>
      <c r="AA30" s="37">
        <f>$A30*$C30*G30*$E30*(1+'02_Assumptions'!$C$11)^1</f>
        <v>0</v>
      </c>
      <c r="AB30" s="37">
        <f>$A30*$C30*H30*$E30*(1+'02_Assumptions'!$C$11)^2</f>
        <v>0</v>
      </c>
      <c r="AC30" s="37">
        <f>$A30*$C30*I30*$E30*(1+'02_Assumptions'!$C$11)^3</f>
        <v>0</v>
      </c>
      <c r="AD30" s="37">
        <f>$A30*$C30*J30*$E30*(1+'02_Assumptions'!$C$11)^4</f>
        <v>0</v>
      </c>
      <c r="AE30" s="37">
        <f>$A30*$C30*K30*$E30*(1+'02_Assumptions'!$C$11)^5</f>
        <v>0</v>
      </c>
      <c r="AF30" s="37">
        <f>$A30*$C30*L30*$E30*(1+'02_Assumptions'!$C$11)^6</f>
        <v>0</v>
      </c>
      <c r="AG30" s="37">
        <f>$A30*$C30*M30*$E30*(1+'02_Assumptions'!$C$11)^7</f>
        <v>0</v>
      </c>
      <c r="AH30" s="37">
        <f>$A30*$C30*N30*$E30*(1+'02_Assumptions'!$C$11)^8</f>
        <v>0</v>
      </c>
      <c r="AI30" s="37">
        <f>$A30*$C30*O30*$E30*(1+'02_Assumptions'!$C$11)^9</f>
        <v>0</v>
      </c>
      <c r="AJ30" s="18"/>
    </row>
    <row r="31" spans="1:36">
      <c r="A31" s="74">
        <f>$A$14</f>
        <v>0</v>
      </c>
      <c r="B31" s="74" t="str">
        <f>$B$14</f>
        <v>Tambahan 7</v>
      </c>
      <c r="C31" s="74">
        <f>$K$14</f>
        <v>0</v>
      </c>
      <c r="D31" s="77">
        <v>0</v>
      </c>
      <c r="E31" s="77">
        <v>0</v>
      </c>
      <c r="F31" s="81">
        <v>0</v>
      </c>
      <c r="G31" s="81">
        <v>0</v>
      </c>
      <c r="H31" s="81">
        <v>0</v>
      </c>
      <c r="I31" s="81">
        <v>0</v>
      </c>
      <c r="J31" s="81">
        <v>0</v>
      </c>
      <c r="K31" s="81">
        <v>0</v>
      </c>
      <c r="L31" s="81">
        <v>0</v>
      </c>
      <c r="M31" s="81">
        <v>0</v>
      </c>
      <c r="N31" s="81">
        <v>0</v>
      </c>
      <c r="O31" s="81">
        <v>0</v>
      </c>
      <c r="P31" s="37">
        <f>$A31*$C31*F31*$D31*(1+'02_Assumptions'!$C$12)^0</f>
        <v>0</v>
      </c>
      <c r="Q31" s="37">
        <f>$A31*$C31*G31*$D31*(1+'02_Assumptions'!$C$12)^1</f>
        <v>0</v>
      </c>
      <c r="R31" s="37">
        <f>$A31*$C31*H31*$D31*(1+'02_Assumptions'!$C$12)^2</f>
        <v>0</v>
      </c>
      <c r="S31" s="37">
        <f>$A31*$C31*I31*$D31*(1+'02_Assumptions'!$C$12)^3</f>
        <v>0</v>
      </c>
      <c r="T31" s="37">
        <f>$A31*$C31*J31*$D31*(1+'02_Assumptions'!$C$12)^4</f>
        <v>0</v>
      </c>
      <c r="U31" s="37">
        <f>$A31*$C31*K31*$D31*(1+'02_Assumptions'!$C$12)^5</f>
        <v>0</v>
      </c>
      <c r="V31" s="37">
        <f>$A31*$C31*L31*$D31*(1+'02_Assumptions'!$C$12)^6</f>
        <v>0</v>
      </c>
      <c r="W31" s="37">
        <f>$A31*$C31*M31*$D31*(1+'02_Assumptions'!$C$12)^7</f>
        <v>0</v>
      </c>
      <c r="X31" s="37">
        <f>$A31*$C31*N31*$D31*(1+'02_Assumptions'!$C$12)^8</f>
        <v>0</v>
      </c>
      <c r="Y31" s="37">
        <f>$A31*$C31*O31*$D31*(1+'02_Assumptions'!$C$12)^9</f>
        <v>0</v>
      </c>
      <c r="Z31" s="37">
        <f>$A31*$C31*F31*$E31*(1+'02_Assumptions'!$C$11)^0</f>
        <v>0</v>
      </c>
      <c r="AA31" s="37">
        <f>$A31*$C31*G31*$E31*(1+'02_Assumptions'!$C$11)^1</f>
        <v>0</v>
      </c>
      <c r="AB31" s="37">
        <f>$A31*$C31*H31*$E31*(1+'02_Assumptions'!$C$11)^2</f>
        <v>0</v>
      </c>
      <c r="AC31" s="37">
        <f>$A31*$C31*I31*$E31*(1+'02_Assumptions'!$C$11)^3</f>
        <v>0</v>
      </c>
      <c r="AD31" s="37">
        <f>$A31*$C31*J31*$E31*(1+'02_Assumptions'!$C$11)^4</f>
        <v>0</v>
      </c>
      <c r="AE31" s="37">
        <f>$A31*$C31*K31*$E31*(1+'02_Assumptions'!$C$11)^5</f>
        <v>0</v>
      </c>
      <c r="AF31" s="37">
        <f>$A31*$C31*L31*$E31*(1+'02_Assumptions'!$C$11)^6</f>
        <v>0</v>
      </c>
      <c r="AG31" s="37">
        <f>$A31*$C31*M31*$E31*(1+'02_Assumptions'!$C$11)^7</f>
        <v>0</v>
      </c>
      <c r="AH31" s="37">
        <f>$A31*$C31*N31*$E31*(1+'02_Assumptions'!$C$11)^8</f>
        <v>0</v>
      </c>
      <c r="AI31" s="37">
        <f>$A31*$C31*O31*$E31*(1+'02_Assumptions'!$C$11)^9</f>
        <v>0</v>
      </c>
      <c r="AJ31" s="18"/>
    </row>
    <row r="32" spans="1:36">
      <c r="A32" s="74">
        <f>$A$15</f>
        <v>0</v>
      </c>
      <c r="B32" s="74" t="str">
        <f>$B$15</f>
        <v>Tambahan 8</v>
      </c>
      <c r="C32" s="74">
        <f>$K$15</f>
        <v>0</v>
      </c>
      <c r="D32" s="77">
        <v>0</v>
      </c>
      <c r="E32" s="77">
        <v>0</v>
      </c>
      <c r="F32" s="81">
        <v>0</v>
      </c>
      <c r="G32" s="81">
        <v>0</v>
      </c>
      <c r="H32" s="81">
        <v>0</v>
      </c>
      <c r="I32" s="81">
        <v>0</v>
      </c>
      <c r="J32" s="81">
        <v>0</v>
      </c>
      <c r="K32" s="81">
        <v>0</v>
      </c>
      <c r="L32" s="81">
        <v>0</v>
      </c>
      <c r="M32" s="81">
        <v>0</v>
      </c>
      <c r="N32" s="81">
        <v>0</v>
      </c>
      <c r="O32" s="81">
        <v>0</v>
      </c>
      <c r="P32" s="37">
        <f>$A32*$C32*F32*$D32*(1+'02_Assumptions'!$C$12)^0</f>
        <v>0</v>
      </c>
      <c r="Q32" s="37">
        <f>$A32*$C32*G32*$D32*(1+'02_Assumptions'!$C$12)^1</f>
        <v>0</v>
      </c>
      <c r="R32" s="37">
        <f>$A32*$C32*H32*$D32*(1+'02_Assumptions'!$C$12)^2</f>
        <v>0</v>
      </c>
      <c r="S32" s="37">
        <f>$A32*$C32*I32*$D32*(1+'02_Assumptions'!$C$12)^3</f>
        <v>0</v>
      </c>
      <c r="T32" s="37">
        <f>$A32*$C32*J32*$D32*(1+'02_Assumptions'!$C$12)^4</f>
        <v>0</v>
      </c>
      <c r="U32" s="37">
        <f>$A32*$C32*K32*$D32*(1+'02_Assumptions'!$C$12)^5</f>
        <v>0</v>
      </c>
      <c r="V32" s="37">
        <f>$A32*$C32*L32*$D32*(1+'02_Assumptions'!$C$12)^6</f>
        <v>0</v>
      </c>
      <c r="W32" s="37">
        <f>$A32*$C32*M32*$D32*(1+'02_Assumptions'!$C$12)^7</f>
        <v>0</v>
      </c>
      <c r="X32" s="37">
        <f>$A32*$C32*N32*$D32*(1+'02_Assumptions'!$C$12)^8</f>
        <v>0</v>
      </c>
      <c r="Y32" s="37">
        <f>$A32*$C32*O32*$D32*(1+'02_Assumptions'!$C$12)^9</f>
        <v>0</v>
      </c>
      <c r="Z32" s="37">
        <f>$A32*$C32*F32*$E32*(1+'02_Assumptions'!$C$11)^0</f>
        <v>0</v>
      </c>
      <c r="AA32" s="37">
        <f>$A32*$C32*G32*$E32*(1+'02_Assumptions'!$C$11)^1</f>
        <v>0</v>
      </c>
      <c r="AB32" s="37">
        <f>$A32*$C32*H32*$E32*(1+'02_Assumptions'!$C$11)^2</f>
        <v>0</v>
      </c>
      <c r="AC32" s="37">
        <f>$A32*$C32*I32*$E32*(1+'02_Assumptions'!$C$11)^3</f>
        <v>0</v>
      </c>
      <c r="AD32" s="37">
        <f>$A32*$C32*J32*$E32*(1+'02_Assumptions'!$C$11)^4</f>
        <v>0</v>
      </c>
      <c r="AE32" s="37">
        <f>$A32*$C32*K32*$E32*(1+'02_Assumptions'!$C$11)^5</f>
        <v>0</v>
      </c>
      <c r="AF32" s="37">
        <f>$A32*$C32*L32*$E32*(1+'02_Assumptions'!$C$11)^6</f>
        <v>0</v>
      </c>
      <c r="AG32" s="37">
        <f>$A32*$C32*M32*$E32*(1+'02_Assumptions'!$C$11)^7</f>
        <v>0</v>
      </c>
      <c r="AH32" s="37">
        <f>$A32*$C32*N32*$E32*(1+'02_Assumptions'!$C$11)^8</f>
        <v>0</v>
      </c>
      <c r="AI32" s="37">
        <f>$A32*$C32*O32*$E32*(1+'02_Assumptions'!$C$11)^9</f>
        <v>0</v>
      </c>
      <c r="AJ32" s="18"/>
    </row>
    <row r="33" spans="1:36">
      <c r="A33" s="18"/>
      <c r="B33" s="18"/>
      <c r="C33" s="18"/>
      <c r="D33" s="18"/>
      <c r="E33" s="18"/>
      <c r="F33" s="18"/>
      <c r="G33" s="18"/>
      <c r="H33" s="18"/>
      <c r="I33" s="18"/>
      <c r="J33" s="18"/>
      <c r="K33" s="18"/>
      <c r="L33" s="18"/>
      <c r="M33" s="18"/>
      <c r="N33" s="18"/>
      <c r="O33" s="18"/>
      <c r="P33" s="37"/>
      <c r="Q33" s="37"/>
      <c r="R33" s="37"/>
      <c r="S33" s="37"/>
      <c r="T33" s="37"/>
      <c r="U33" s="37"/>
      <c r="V33" s="37"/>
      <c r="W33" s="37"/>
      <c r="X33" s="37"/>
      <c r="Y33" s="37"/>
      <c r="Z33" s="37"/>
      <c r="AA33" s="37"/>
      <c r="AB33" s="37"/>
      <c r="AC33" s="37"/>
      <c r="AD33" s="37"/>
      <c r="AE33" s="37"/>
      <c r="AF33" s="37"/>
      <c r="AG33" s="37"/>
      <c r="AH33" s="37"/>
      <c r="AI33" s="37"/>
      <c r="AJ33" s="18"/>
    </row>
    <row r="34" spans="1:36">
      <c r="A34" s="267" t="s">
        <v>1603</v>
      </c>
      <c r="B34" s="267"/>
      <c r="C34" s="267"/>
      <c r="D34" s="267"/>
      <c r="E34" s="267"/>
      <c r="F34" s="267"/>
      <c r="G34" s="267"/>
      <c r="H34" s="267"/>
      <c r="I34" s="267"/>
      <c r="J34" s="267"/>
      <c r="K34" s="267"/>
      <c r="L34" s="267"/>
      <c r="M34" s="267"/>
      <c r="N34" s="267"/>
      <c r="O34" s="267"/>
      <c r="P34" s="82">
        <f t="shared" ref="P34:Y34" si="3">SUM(P23:P32)</f>
        <v>1458600000</v>
      </c>
      <c r="Q34" s="82">
        <f t="shared" si="3"/>
        <v>924528000</v>
      </c>
      <c r="R34" s="82">
        <f t="shared" si="3"/>
        <v>0</v>
      </c>
      <c r="S34" s="82">
        <f t="shared" si="3"/>
        <v>0</v>
      </c>
      <c r="T34" s="82">
        <f t="shared" si="3"/>
        <v>0</v>
      </c>
      <c r="U34" s="82">
        <f t="shared" si="3"/>
        <v>0</v>
      </c>
      <c r="V34" s="82">
        <f t="shared" si="3"/>
        <v>0</v>
      </c>
      <c r="W34" s="82">
        <f t="shared" si="3"/>
        <v>0</v>
      </c>
      <c r="X34" s="82">
        <f t="shared" si="3"/>
        <v>0</v>
      </c>
      <c r="Y34" s="82">
        <f t="shared" si="3"/>
        <v>0</v>
      </c>
      <c r="Z34" s="82"/>
      <c r="AA34" s="82"/>
      <c r="AB34" s="82"/>
      <c r="AC34" s="82"/>
      <c r="AD34" s="82"/>
      <c r="AE34" s="82"/>
      <c r="AF34" s="82"/>
      <c r="AG34" s="82"/>
      <c r="AH34" s="82"/>
      <c r="AI34" s="82"/>
      <c r="AJ34" s="18"/>
    </row>
    <row r="35" spans="1:36">
      <c r="A35" s="269" t="s">
        <v>1604</v>
      </c>
      <c r="B35" s="269"/>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83">
        <f t="shared" ref="Z35:AI35" si="4">SUM(Z23:Z32)</f>
        <v>243100000</v>
      </c>
      <c r="AA35" s="83">
        <f t="shared" si="4"/>
        <v>155584000</v>
      </c>
      <c r="AB35" s="83">
        <f t="shared" si="4"/>
        <v>0</v>
      </c>
      <c r="AC35" s="83">
        <f t="shared" si="4"/>
        <v>0</v>
      </c>
      <c r="AD35" s="83">
        <f t="shared" si="4"/>
        <v>0</v>
      </c>
      <c r="AE35" s="83">
        <f t="shared" si="4"/>
        <v>0</v>
      </c>
      <c r="AF35" s="83">
        <f t="shared" si="4"/>
        <v>0</v>
      </c>
      <c r="AG35" s="83">
        <f t="shared" si="4"/>
        <v>0</v>
      </c>
      <c r="AH35" s="83">
        <f t="shared" si="4"/>
        <v>0</v>
      </c>
      <c r="AI35" s="83">
        <f t="shared" si="4"/>
        <v>0</v>
      </c>
      <c r="AJ35" s="18"/>
    </row>
    <row r="36" spans="1: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row>
    <row r="37" spans="1:3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row>
    <row r="38" spans="1:36" ht="20" customHeight="1">
      <c r="A38" s="278" t="s">
        <v>1605</v>
      </c>
      <c r="B38" s="278"/>
      <c r="C38" s="278"/>
      <c r="D38" s="278"/>
      <c r="E38" s="278"/>
      <c r="F38" s="278"/>
      <c r="G38" s="278"/>
      <c r="H38" s="278"/>
      <c r="I38" s="278"/>
      <c r="J38" s="278"/>
      <c r="K38" s="278"/>
      <c r="L38" s="278"/>
      <c r="M38" s="278"/>
      <c r="N38" s="278"/>
      <c r="O38" s="278"/>
      <c r="P38" s="278"/>
      <c r="Q38" s="278"/>
      <c r="R38" s="278"/>
      <c r="S38" s="278"/>
      <c r="T38" s="278"/>
      <c r="U38" s="278"/>
      <c r="V38" s="278"/>
      <c r="W38" s="278"/>
      <c r="X38" s="278"/>
      <c r="Y38" s="278"/>
      <c r="Z38" s="18"/>
      <c r="AA38" s="18"/>
      <c r="AB38" s="18"/>
      <c r="AC38" s="18"/>
      <c r="AD38" s="18"/>
      <c r="AE38" s="18"/>
      <c r="AF38" s="18"/>
      <c r="AG38" s="18"/>
      <c r="AH38" s="18"/>
      <c r="AI38" s="18"/>
      <c r="AJ38" s="18"/>
    </row>
    <row r="39" spans="1:36" ht="32" customHeight="1">
      <c r="A39" s="71" t="s">
        <v>473</v>
      </c>
      <c r="B39" s="71" t="s">
        <v>1606</v>
      </c>
      <c r="C39" s="71" t="s">
        <v>1607</v>
      </c>
      <c r="D39" s="71" t="s">
        <v>1608</v>
      </c>
      <c r="E39" s="71" t="s">
        <v>1609</v>
      </c>
      <c r="F39" s="71" t="s">
        <v>1610</v>
      </c>
      <c r="G39" s="71" t="s">
        <v>1611</v>
      </c>
      <c r="H39" s="71" t="s">
        <v>1612</v>
      </c>
      <c r="I39" s="71" t="s">
        <v>1613</v>
      </c>
      <c r="J39" s="71" t="s">
        <v>1614</v>
      </c>
      <c r="K39" s="71" t="s">
        <v>1615</v>
      </c>
      <c r="L39" s="71" t="s">
        <v>1616</v>
      </c>
      <c r="M39" s="71" t="s">
        <v>1617</v>
      </c>
      <c r="N39" s="71" t="s">
        <v>1618</v>
      </c>
      <c r="O39" s="71" t="s">
        <v>1619</v>
      </c>
      <c r="P39" s="71" t="s">
        <v>1620</v>
      </c>
      <c r="Q39" s="71" t="s">
        <v>1621</v>
      </c>
      <c r="R39" s="71" t="s">
        <v>1622</v>
      </c>
      <c r="S39" s="71" t="s">
        <v>1623</v>
      </c>
      <c r="T39" s="71" t="s">
        <v>1624</v>
      </c>
      <c r="U39" s="71" t="s">
        <v>1625</v>
      </c>
      <c r="V39" s="71" t="s">
        <v>1626</v>
      </c>
      <c r="W39" s="71" t="s">
        <v>1627</v>
      </c>
      <c r="X39" s="71" t="s">
        <v>1628</v>
      </c>
      <c r="Y39" s="71" t="s">
        <v>140</v>
      </c>
      <c r="Z39" s="18"/>
      <c r="AA39" s="18"/>
      <c r="AB39" s="18"/>
      <c r="AC39" s="18"/>
      <c r="AD39" s="18"/>
      <c r="AE39" s="18"/>
      <c r="AF39" s="18"/>
      <c r="AG39" s="18"/>
      <c r="AH39" s="18"/>
      <c r="AI39" s="18"/>
      <c r="AJ39" s="18"/>
    </row>
    <row r="40" spans="1:36" ht="58.15">
      <c r="A40" s="74">
        <f>$A$6</f>
        <v>1</v>
      </c>
      <c r="B40" s="74" t="str">
        <f>$B$6</f>
        <v>Nanas</v>
      </c>
      <c r="C40" s="74">
        <f>$K$6</f>
        <v>187000</v>
      </c>
      <c r="D40" s="127">
        <v>1</v>
      </c>
      <c r="E40" s="127">
        <v>800</v>
      </c>
      <c r="F40" s="127">
        <v>500</v>
      </c>
      <c r="G40" s="127">
        <v>250</v>
      </c>
      <c r="H40" s="127">
        <v>0</v>
      </c>
      <c r="I40" s="127">
        <v>0</v>
      </c>
      <c r="J40" s="127">
        <v>0</v>
      </c>
      <c r="K40" s="127">
        <v>0</v>
      </c>
      <c r="L40" s="127">
        <v>0</v>
      </c>
      <c r="M40" s="127">
        <v>0</v>
      </c>
      <c r="N40" s="127">
        <v>0</v>
      </c>
      <c r="O40" s="37">
        <f>$A40*$C40*E40*$D40*(1+'02_Assumptions'!$C$11)^0</f>
        <v>149600000</v>
      </c>
      <c r="P40" s="37">
        <f>$A40*$C40*F40*$D40*(1+'02_Assumptions'!$C$11)^1</f>
        <v>97240000</v>
      </c>
      <c r="Q40" s="37">
        <f>$A40*$C40*G40*$D40*(1+'02_Assumptions'!$C$11)^2</f>
        <v>50564800.000000007</v>
      </c>
      <c r="R40" s="37">
        <f>$A40*$C40*H40*$D40*(1+'02_Assumptions'!$C$11)^3</f>
        <v>0</v>
      </c>
      <c r="S40" s="37">
        <f>$A40*$C40*I40*$D40*(1+'02_Assumptions'!$C$11)^4</f>
        <v>0</v>
      </c>
      <c r="T40" s="37">
        <f>$A40*$C40*J40*$D40*(1+'02_Assumptions'!$C$11)^5</f>
        <v>0</v>
      </c>
      <c r="U40" s="37">
        <f>$A40*$C40*K40*$D40*(1+'02_Assumptions'!$C$11)^6</f>
        <v>0</v>
      </c>
      <c r="V40" s="37">
        <f>$A40*$C40*L40*$D40*(1+'02_Assumptions'!$C$11)^7</f>
        <v>0</v>
      </c>
      <c r="W40" s="37">
        <f>$A40*$C40*M40*$D40*(1+'02_Assumptions'!$C$11)^8</f>
        <v>0</v>
      </c>
      <c r="X40" s="37">
        <f>$A40*$C40*N40*$D40*(1+'02_Assumptions'!$C$11)^9</f>
        <v>0</v>
      </c>
      <c r="Y40" s="18" t="s">
        <v>1629</v>
      </c>
      <c r="Z40" s="18"/>
      <c r="AA40" s="18"/>
      <c r="AB40" s="18"/>
      <c r="AC40" s="18"/>
      <c r="AD40" s="18"/>
      <c r="AE40" s="18"/>
      <c r="AF40" s="18"/>
      <c r="AG40" s="18"/>
      <c r="AH40" s="18"/>
      <c r="AI40" s="18"/>
      <c r="AJ40" s="18"/>
    </row>
    <row r="41" spans="1:36" ht="34.9">
      <c r="A41" s="74">
        <f>$A$7</f>
        <v>1</v>
      </c>
      <c r="B41" s="74" t="s">
        <v>1601</v>
      </c>
      <c r="C41" s="74">
        <f>$K$7</f>
        <v>57.2</v>
      </c>
      <c r="D41" s="77">
        <v>0</v>
      </c>
      <c r="E41" s="79">
        <v>0</v>
      </c>
      <c r="F41" s="79">
        <v>0</v>
      </c>
      <c r="G41" s="79">
        <v>0</v>
      </c>
      <c r="H41" s="79">
        <v>0</v>
      </c>
      <c r="I41" s="79">
        <v>0</v>
      </c>
      <c r="J41" s="79">
        <v>0</v>
      </c>
      <c r="K41" s="79">
        <v>0</v>
      </c>
      <c r="L41" s="79">
        <v>0</v>
      </c>
      <c r="M41" s="79">
        <v>0</v>
      </c>
      <c r="N41" s="79">
        <v>0</v>
      </c>
      <c r="O41" s="37">
        <f>$A41*$C41*E41*$D41*(1+'02_Assumptions'!$C$11)^0</f>
        <v>0</v>
      </c>
      <c r="P41" s="37">
        <f>$A41*$C41*F41*$D41*(1+'02_Assumptions'!$C$11)^1</f>
        <v>0</v>
      </c>
      <c r="Q41" s="37">
        <f>$A41*$C41*G41*$D41*(1+'02_Assumptions'!$C$11)^2</f>
        <v>0</v>
      </c>
      <c r="R41" s="37">
        <f>$A41*$C41*H41*$D41*(1+'02_Assumptions'!$C$11)^3</f>
        <v>0</v>
      </c>
      <c r="S41" s="37">
        <f>$A41*$C41*I41*$D41*(1+'02_Assumptions'!$C$11)^4</f>
        <v>0</v>
      </c>
      <c r="T41" s="37">
        <f>$A41*$C41*J41*$D41*(1+'02_Assumptions'!$C$11)^5</f>
        <v>0</v>
      </c>
      <c r="U41" s="37">
        <f>$A41*$C41*K41*$D41*(1+'02_Assumptions'!$C$11)^6</f>
        <v>0</v>
      </c>
      <c r="V41" s="37">
        <f>$A41*$C41*L41*$D41*(1+'02_Assumptions'!$C$11)^7</f>
        <v>0</v>
      </c>
      <c r="W41" s="37">
        <f>$A41*$C41*M41*$D41*(1+'02_Assumptions'!$C$11)^8</f>
        <v>0</v>
      </c>
      <c r="X41" s="37">
        <f>$A41*$C41*N41*$D41*(1+'02_Assumptions'!$C$11)^9</f>
        <v>0</v>
      </c>
      <c r="Y41" s="18" t="s">
        <v>1630</v>
      </c>
      <c r="Z41" s="18"/>
      <c r="AA41" s="18"/>
      <c r="AB41" s="18"/>
      <c r="AC41" s="18"/>
      <c r="AD41" s="18"/>
      <c r="AE41" s="18"/>
      <c r="AF41" s="18"/>
      <c r="AG41" s="18"/>
      <c r="AH41" s="18"/>
      <c r="AI41" s="18"/>
      <c r="AJ41" s="18"/>
    </row>
    <row r="42" spans="1:36">
      <c r="A42" s="74">
        <f>$A$8</f>
        <v>0</v>
      </c>
      <c r="B42" s="74" t="str">
        <f>$B$8</f>
        <v>Crotalaria juncea</v>
      </c>
      <c r="C42" s="74">
        <f>$K$8</f>
        <v>0</v>
      </c>
      <c r="D42" s="77">
        <v>0</v>
      </c>
      <c r="E42" s="79">
        <v>0</v>
      </c>
      <c r="F42" s="79">
        <v>0</v>
      </c>
      <c r="G42" s="79">
        <v>0</v>
      </c>
      <c r="H42" s="79">
        <v>0</v>
      </c>
      <c r="I42" s="79">
        <v>0</v>
      </c>
      <c r="J42" s="79">
        <v>0</v>
      </c>
      <c r="K42" s="79">
        <v>0</v>
      </c>
      <c r="L42" s="79">
        <v>0</v>
      </c>
      <c r="M42" s="79">
        <v>0</v>
      </c>
      <c r="N42" s="79">
        <v>0</v>
      </c>
      <c r="O42" s="37">
        <f>$A42*$C42*E42*$D42*(1+'02_Assumptions'!$C$11)^0</f>
        <v>0</v>
      </c>
      <c r="P42" s="37">
        <f>$A42*$C42*F42*$D42*(1+'02_Assumptions'!$C$11)^1</f>
        <v>0</v>
      </c>
      <c r="Q42" s="37">
        <f>$A42*$C42*G42*$D42*(1+'02_Assumptions'!$C$11)^2</f>
        <v>0</v>
      </c>
      <c r="R42" s="37">
        <f>$A42*$C42*H42*$D42*(1+'02_Assumptions'!$C$11)^3</f>
        <v>0</v>
      </c>
      <c r="S42" s="37">
        <f>$A42*$C42*I42*$D42*(1+'02_Assumptions'!$C$11)^4</f>
        <v>0</v>
      </c>
      <c r="T42" s="37">
        <f>$A42*$C42*J42*$D42*(1+'02_Assumptions'!$C$11)^5</f>
        <v>0</v>
      </c>
      <c r="U42" s="37">
        <f>$A42*$C42*K42*$D42*(1+'02_Assumptions'!$C$11)^6</f>
        <v>0</v>
      </c>
      <c r="V42" s="37">
        <f>$A42*$C42*L42*$D42*(1+'02_Assumptions'!$C$11)^7</f>
        <v>0</v>
      </c>
      <c r="W42" s="37">
        <f>$A42*$C42*M42*$D42*(1+'02_Assumptions'!$C$11)^8</f>
        <v>0</v>
      </c>
      <c r="X42" s="37">
        <f>$A42*$C42*N42*$D42*(1+'02_Assumptions'!$C$11)^9</f>
        <v>0</v>
      </c>
      <c r="Y42" s="18"/>
      <c r="Z42" s="18"/>
      <c r="AA42" s="18"/>
      <c r="AB42" s="18"/>
      <c r="AC42" s="18"/>
      <c r="AD42" s="18"/>
      <c r="AE42" s="18"/>
      <c r="AF42" s="18"/>
      <c r="AG42" s="18"/>
      <c r="AH42" s="18"/>
      <c r="AI42" s="18"/>
      <c r="AJ42" s="18"/>
    </row>
    <row r="43" spans="1:36">
      <c r="A43" s="74">
        <f>$A$9</f>
        <v>0</v>
      </c>
      <c r="B43" s="74" t="str">
        <f>$B$9</f>
        <v>Mucuna/benguk</v>
      </c>
      <c r="C43" s="74">
        <f>$K$9</f>
        <v>0</v>
      </c>
      <c r="D43" s="77">
        <v>0</v>
      </c>
      <c r="E43" s="79">
        <v>0</v>
      </c>
      <c r="F43" s="79">
        <v>0</v>
      </c>
      <c r="G43" s="79">
        <v>0</v>
      </c>
      <c r="H43" s="79">
        <v>0</v>
      </c>
      <c r="I43" s="79">
        <v>0</v>
      </c>
      <c r="J43" s="79">
        <v>0</v>
      </c>
      <c r="K43" s="79">
        <v>0</v>
      </c>
      <c r="L43" s="79">
        <v>0</v>
      </c>
      <c r="M43" s="79">
        <v>0</v>
      </c>
      <c r="N43" s="79">
        <v>0</v>
      </c>
      <c r="O43" s="37">
        <f>$A43*$C43*E43*$D43*(1+'02_Assumptions'!$C$11)^0</f>
        <v>0</v>
      </c>
      <c r="P43" s="37">
        <f>$A43*$C43*F43*$D43*(1+'02_Assumptions'!$C$11)^1</f>
        <v>0</v>
      </c>
      <c r="Q43" s="37">
        <f>$A43*$C43*G43*$D43*(1+'02_Assumptions'!$C$11)^2</f>
        <v>0</v>
      </c>
      <c r="R43" s="37">
        <f>$A43*$C43*H43*$D43*(1+'02_Assumptions'!$C$11)^3</f>
        <v>0</v>
      </c>
      <c r="S43" s="37">
        <f>$A43*$C43*I43*$D43*(1+'02_Assumptions'!$C$11)^4</f>
        <v>0</v>
      </c>
      <c r="T43" s="37">
        <f>$A43*$C43*J43*$D43*(1+'02_Assumptions'!$C$11)^5</f>
        <v>0</v>
      </c>
      <c r="U43" s="37">
        <f>$A43*$C43*K43*$D43*(1+'02_Assumptions'!$C$11)^6</f>
        <v>0</v>
      </c>
      <c r="V43" s="37">
        <f>$A43*$C43*L43*$D43*(1+'02_Assumptions'!$C$11)^7</f>
        <v>0</v>
      </c>
      <c r="W43" s="37">
        <f>$A43*$C43*M43*$D43*(1+'02_Assumptions'!$C$11)^8</f>
        <v>0</v>
      </c>
      <c r="X43" s="37">
        <f>$A43*$C43*N43*$D43*(1+'02_Assumptions'!$C$11)^9</f>
        <v>0</v>
      </c>
      <c r="Y43" s="18"/>
      <c r="Z43" s="18"/>
      <c r="AA43" s="18"/>
      <c r="AB43" s="18"/>
      <c r="AC43" s="18"/>
      <c r="AD43" s="18"/>
      <c r="AE43" s="18"/>
      <c r="AF43" s="18"/>
      <c r="AG43" s="18"/>
      <c r="AH43" s="18"/>
      <c r="AI43" s="18"/>
      <c r="AJ43" s="18"/>
    </row>
    <row r="44" spans="1:36">
      <c r="A44" s="74">
        <f>$A$10</f>
        <v>0</v>
      </c>
      <c r="B44" s="74" t="str">
        <f>$B$10</f>
        <v>Vetiver</v>
      </c>
      <c r="C44" s="74">
        <f>$K$10</f>
        <v>0</v>
      </c>
      <c r="D44" s="77">
        <v>0</v>
      </c>
      <c r="E44" s="79">
        <v>0</v>
      </c>
      <c r="F44" s="79">
        <v>0</v>
      </c>
      <c r="G44" s="79">
        <v>0</v>
      </c>
      <c r="H44" s="79">
        <v>0</v>
      </c>
      <c r="I44" s="79">
        <v>0</v>
      </c>
      <c r="J44" s="79">
        <v>0</v>
      </c>
      <c r="K44" s="79">
        <v>0</v>
      </c>
      <c r="L44" s="79">
        <v>0</v>
      </c>
      <c r="M44" s="79">
        <v>0</v>
      </c>
      <c r="N44" s="79">
        <v>0</v>
      </c>
      <c r="O44" s="37">
        <f>$A44*$C44*E44*$D44*(1+'02_Assumptions'!$C$11)^0</f>
        <v>0</v>
      </c>
      <c r="P44" s="37">
        <f>$A44*$C44*F44*$D44*(1+'02_Assumptions'!$C$11)^1</f>
        <v>0</v>
      </c>
      <c r="Q44" s="37">
        <f>$A44*$C44*G44*$D44*(1+'02_Assumptions'!$C$11)^2</f>
        <v>0</v>
      </c>
      <c r="R44" s="37">
        <f>$A44*$C44*H44*$D44*(1+'02_Assumptions'!$C$11)^3</f>
        <v>0</v>
      </c>
      <c r="S44" s="37">
        <f>$A44*$C44*I44*$D44*(1+'02_Assumptions'!$C$11)^4</f>
        <v>0</v>
      </c>
      <c r="T44" s="37">
        <f>$A44*$C44*J44*$D44*(1+'02_Assumptions'!$C$11)^5</f>
        <v>0</v>
      </c>
      <c r="U44" s="37">
        <f>$A44*$C44*K44*$D44*(1+'02_Assumptions'!$C$11)^6</f>
        <v>0</v>
      </c>
      <c r="V44" s="37">
        <f>$A44*$C44*L44*$D44*(1+'02_Assumptions'!$C$11)^7</f>
        <v>0</v>
      </c>
      <c r="W44" s="37">
        <f>$A44*$C44*M44*$D44*(1+'02_Assumptions'!$C$11)^8</f>
        <v>0</v>
      </c>
      <c r="X44" s="37">
        <f>$A44*$C44*N44*$D44*(1+'02_Assumptions'!$C$11)^9</f>
        <v>0</v>
      </c>
      <c r="Y44" s="18"/>
      <c r="Z44" s="18"/>
      <c r="AA44" s="18"/>
      <c r="AB44" s="18"/>
      <c r="AC44" s="18"/>
      <c r="AD44" s="18"/>
      <c r="AE44" s="18"/>
      <c r="AF44" s="18"/>
      <c r="AG44" s="18"/>
      <c r="AH44" s="18"/>
      <c r="AI44" s="18"/>
      <c r="AJ44" s="18"/>
    </row>
    <row r="45" spans="1:36">
      <c r="A45" s="74">
        <f>$A$11</f>
        <v>0</v>
      </c>
      <c r="B45" s="74" t="str">
        <f>$B$11</f>
        <v>Tithonia</v>
      </c>
      <c r="C45" s="74">
        <f>$K$11</f>
        <v>0</v>
      </c>
      <c r="D45" s="77">
        <v>0</v>
      </c>
      <c r="E45" s="79">
        <v>0</v>
      </c>
      <c r="F45" s="79">
        <v>0</v>
      </c>
      <c r="G45" s="79">
        <v>0</v>
      </c>
      <c r="H45" s="79">
        <v>0</v>
      </c>
      <c r="I45" s="79">
        <v>0</v>
      </c>
      <c r="J45" s="79">
        <v>0</v>
      </c>
      <c r="K45" s="79">
        <v>0</v>
      </c>
      <c r="L45" s="79">
        <v>0</v>
      </c>
      <c r="M45" s="79">
        <v>0</v>
      </c>
      <c r="N45" s="79">
        <v>0</v>
      </c>
      <c r="O45" s="37">
        <f>$A45*$C45*E45*$D45*(1+'02_Assumptions'!$C$11)^0</f>
        <v>0</v>
      </c>
      <c r="P45" s="37">
        <f>$A45*$C45*F45*$D45*(1+'02_Assumptions'!$C$11)^1</f>
        <v>0</v>
      </c>
      <c r="Q45" s="37">
        <f>$A45*$C45*G45*$D45*(1+'02_Assumptions'!$C$11)^2</f>
        <v>0</v>
      </c>
      <c r="R45" s="37">
        <f>$A45*$C45*H45*$D45*(1+'02_Assumptions'!$C$11)^3</f>
        <v>0</v>
      </c>
      <c r="S45" s="37">
        <f>$A45*$C45*I45*$D45*(1+'02_Assumptions'!$C$11)^4</f>
        <v>0</v>
      </c>
      <c r="T45" s="37">
        <f>$A45*$C45*J45*$D45*(1+'02_Assumptions'!$C$11)^5</f>
        <v>0</v>
      </c>
      <c r="U45" s="37">
        <f>$A45*$C45*K45*$D45*(1+'02_Assumptions'!$C$11)^6</f>
        <v>0</v>
      </c>
      <c r="V45" s="37">
        <f>$A45*$C45*L45*$D45*(1+'02_Assumptions'!$C$11)^7</f>
        <v>0</v>
      </c>
      <c r="W45" s="37">
        <f>$A45*$C45*M45*$D45*(1+'02_Assumptions'!$C$11)^8</f>
        <v>0</v>
      </c>
      <c r="X45" s="37">
        <f>$A45*$C45*N45*$D45*(1+'02_Assumptions'!$C$11)^9</f>
        <v>0</v>
      </c>
      <c r="Y45" s="18"/>
      <c r="Z45" s="18"/>
      <c r="AA45" s="18"/>
      <c r="AB45" s="18"/>
      <c r="AC45" s="18"/>
      <c r="AD45" s="18"/>
      <c r="AE45" s="18"/>
      <c r="AF45" s="18"/>
      <c r="AG45" s="18"/>
      <c r="AH45" s="18"/>
      <c r="AI45" s="18"/>
      <c r="AJ45" s="18"/>
    </row>
    <row r="46" spans="1:36">
      <c r="A46" s="74">
        <f>$A$12</f>
        <v>0</v>
      </c>
      <c r="B46" s="74" t="str">
        <f>$B$12</f>
        <v>Tambahan 5</v>
      </c>
      <c r="C46" s="74">
        <f>$K$12</f>
        <v>0</v>
      </c>
      <c r="D46" s="77">
        <v>0</v>
      </c>
      <c r="E46" s="79">
        <v>0</v>
      </c>
      <c r="F46" s="79">
        <v>0</v>
      </c>
      <c r="G46" s="79">
        <v>0</v>
      </c>
      <c r="H46" s="79">
        <v>0</v>
      </c>
      <c r="I46" s="79">
        <v>0</v>
      </c>
      <c r="J46" s="79">
        <v>0</v>
      </c>
      <c r="K46" s="79">
        <v>0</v>
      </c>
      <c r="L46" s="79">
        <v>0</v>
      </c>
      <c r="M46" s="79">
        <v>0</v>
      </c>
      <c r="N46" s="79">
        <v>0</v>
      </c>
      <c r="O46" s="37">
        <f>$A46*$C46*E46*$D46*(1+'02_Assumptions'!$C$11)^0</f>
        <v>0</v>
      </c>
      <c r="P46" s="37">
        <f>$A46*$C46*F46*$D46*(1+'02_Assumptions'!$C$11)^1</f>
        <v>0</v>
      </c>
      <c r="Q46" s="37">
        <f>$A46*$C46*G46*$D46*(1+'02_Assumptions'!$C$11)^2</f>
        <v>0</v>
      </c>
      <c r="R46" s="37">
        <f>$A46*$C46*H46*$D46*(1+'02_Assumptions'!$C$11)^3</f>
        <v>0</v>
      </c>
      <c r="S46" s="37">
        <f>$A46*$C46*I46*$D46*(1+'02_Assumptions'!$C$11)^4</f>
        <v>0</v>
      </c>
      <c r="T46" s="37">
        <f>$A46*$C46*J46*$D46*(1+'02_Assumptions'!$C$11)^5</f>
        <v>0</v>
      </c>
      <c r="U46" s="37">
        <f>$A46*$C46*K46*$D46*(1+'02_Assumptions'!$C$11)^6</f>
        <v>0</v>
      </c>
      <c r="V46" s="37">
        <f>$A46*$C46*L46*$D46*(1+'02_Assumptions'!$C$11)^7</f>
        <v>0</v>
      </c>
      <c r="W46" s="37">
        <f>$A46*$C46*M46*$D46*(1+'02_Assumptions'!$C$11)^8</f>
        <v>0</v>
      </c>
      <c r="X46" s="37">
        <f>$A46*$C46*N46*$D46*(1+'02_Assumptions'!$C$11)^9</f>
        <v>0</v>
      </c>
      <c r="Y46" s="18"/>
      <c r="Z46" s="18"/>
      <c r="AA46" s="18"/>
      <c r="AB46" s="18"/>
      <c r="AC46" s="18"/>
      <c r="AD46" s="18"/>
      <c r="AE46" s="18"/>
      <c r="AF46" s="18"/>
      <c r="AG46" s="18"/>
      <c r="AH46" s="18"/>
      <c r="AI46" s="18"/>
      <c r="AJ46" s="18"/>
    </row>
    <row r="47" spans="1:36">
      <c r="A47" s="74">
        <f>$A$13</f>
        <v>0</v>
      </c>
      <c r="B47" s="74" t="str">
        <f>$B$13</f>
        <v>Tambahan 6</v>
      </c>
      <c r="C47" s="74">
        <f>$K$13</f>
        <v>0</v>
      </c>
      <c r="D47" s="77">
        <v>0</v>
      </c>
      <c r="E47" s="79">
        <v>0</v>
      </c>
      <c r="F47" s="79">
        <v>0</v>
      </c>
      <c r="G47" s="79">
        <v>0</v>
      </c>
      <c r="H47" s="79">
        <v>0</v>
      </c>
      <c r="I47" s="79">
        <v>0</v>
      </c>
      <c r="J47" s="79">
        <v>0</v>
      </c>
      <c r="K47" s="79">
        <v>0</v>
      </c>
      <c r="L47" s="79">
        <v>0</v>
      </c>
      <c r="M47" s="79">
        <v>0</v>
      </c>
      <c r="N47" s="79">
        <v>0</v>
      </c>
      <c r="O47" s="37">
        <f>$A47*$C47*E47*$D47*(1+'02_Assumptions'!$C$11)^0</f>
        <v>0</v>
      </c>
      <c r="P47" s="37">
        <f>$A47*$C47*F47*$D47*(1+'02_Assumptions'!$C$11)^1</f>
        <v>0</v>
      </c>
      <c r="Q47" s="37">
        <f>$A47*$C47*G47*$D47*(1+'02_Assumptions'!$C$11)^2</f>
        <v>0</v>
      </c>
      <c r="R47" s="37">
        <f>$A47*$C47*H47*$D47*(1+'02_Assumptions'!$C$11)^3</f>
        <v>0</v>
      </c>
      <c r="S47" s="37">
        <f>$A47*$C47*I47*$D47*(1+'02_Assumptions'!$C$11)^4</f>
        <v>0</v>
      </c>
      <c r="T47" s="37">
        <f>$A47*$C47*J47*$D47*(1+'02_Assumptions'!$C$11)^5</f>
        <v>0</v>
      </c>
      <c r="U47" s="37">
        <f>$A47*$C47*K47*$D47*(1+'02_Assumptions'!$C$11)^6</f>
        <v>0</v>
      </c>
      <c r="V47" s="37">
        <f>$A47*$C47*L47*$D47*(1+'02_Assumptions'!$C$11)^7</f>
        <v>0</v>
      </c>
      <c r="W47" s="37">
        <f>$A47*$C47*M47*$D47*(1+'02_Assumptions'!$C$11)^8</f>
        <v>0</v>
      </c>
      <c r="X47" s="37">
        <f>$A47*$C47*N47*$D47*(1+'02_Assumptions'!$C$11)^9</f>
        <v>0</v>
      </c>
      <c r="Y47" s="18"/>
      <c r="Z47" s="18"/>
      <c r="AA47" s="18"/>
      <c r="AB47" s="18"/>
      <c r="AC47" s="18"/>
      <c r="AD47" s="18"/>
      <c r="AE47" s="18"/>
      <c r="AF47" s="18"/>
      <c r="AG47" s="18"/>
      <c r="AH47" s="18"/>
      <c r="AI47" s="18"/>
      <c r="AJ47" s="18"/>
    </row>
    <row r="48" spans="1:36">
      <c r="A48" s="74">
        <f>$A$14</f>
        <v>0</v>
      </c>
      <c r="B48" s="74" t="str">
        <f>$B$14</f>
        <v>Tambahan 7</v>
      </c>
      <c r="C48" s="74">
        <f>$K$14</f>
        <v>0</v>
      </c>
      <c r="D48" s="77">
        <v>0</v>
      </c>
      <c r="E48" s="79">
        <v>0</v>
      </c>
      <c r="F48" s="79">
        <v>0</v>
      </c>
      <c r="G48" s="79">
        <v>0</v>
      </c>
      <c r="H48" s="79">
        <v>0</v>
      </c>
      <c r="I48" s="79">
        <v>0</v>
      </c>
      <c r="J48" s="79">
        <v>0</v>
      </c>
      <c r="K48" s="79">
        <v>0</v>
      </c>
      <c r="L48" s="79">
        <v>0</v>
      </c>
      <c r="M48" s="79">
        <v>0</v>
      </c>
      <c r="N48" s="79">
        <v>0</v>
      </c>
      <c r="O48" s="37">
        <f>$A48*$C48*E48*$D48*(1+'02_Assumptions'!$C$11)^0</f>
        <v>0</v>
      </c>
      <c r="P48" s="37">
        <f>$A48*$C48*F48*$D48*(1+'02_Assumptions'!$C$11)^1</f>
        <v>0</v>
      </c>
      <c r="Q48" s="37">
        <f>$A48*$C48*G48*$D48*(1+'02_Assumptions'!$C$11)^2</f>
        <v>0</v>
      </c>
      <c r="R48" s="37">
        <f>$A48*$C48*H48*$D48*(1+'02_Assumptions'!$C$11)^3</f>
        <v>0</v>
      </c>
      <c r="S48" s="37">
        <f>$A48*$C48*I48*$D48*(1+'02_Assumptions'!$C$11)^4</f>
        <v>0</v>
      </c>
      <c r="T48" s="37">
        <f>$A48*$C48*J48*$D48*(1+'02_Assumptions'!$C$11)^5</f>
        <v>0</v>
      </c>
      <c r="U48" s="37">
        <f>$A48*$C48*K48*$D48*(1+'02_Assumptions'!$C$11)^6</f>
        <v>0</v>
      </c>
      <c r="V48" s="37">
        <f>$A48*$C48*L48*$D48*(1+'02_Assumptions'!$C$11)^7</f>
        <v>0</v>
      </c>
      <c r="W48" s="37">
        <f>$A48*$C48*M48*$D48*(1+'02_Assumptions'!$C$11)^8</f>
        <v>0</v>
      </c>
      <c r="X48" s="37">
        <f>$A48*$C48*N48*$D48*(1+'02_Assumptions'!$C$11)^9</f>
        <v>0</v>
      </c>
      <c r="Y48" s="18"/>
      <c r="Z48" s="18"/>
      <c r="AA48" s="18"/>
      <c r="AB48" s="18"/>
      <c r="AC48" s="18"/>
      <c r="AD48" s="18"/>
      <c r="AE48" s="18"/>
      <c r="AF48" s="18"/>
      <c r="AG48" s="18"/>
      <c r="AH48" s="18"/>
      <c r="AI48" s="18"/>
      <c r="AJ48" s="18"/>
    </row>
    <row r="49" spans="1:36">
      <c r="A49" s="74">
        <f>$A$15</f>
        <v>0</v>
      </c>
      <c r="B49" s="74" t="str">
        <f>$B$15</f>
        <v>Tambahan 8</v>
      </c>
      <c r="C49" s="74">
        <f>$K$15</f>
        <v>0</v>
      </c>
      <c r="D49" s="77">
        <v>0</v>
      </c>
      <c r="E49" s="79">
        <v>0</v>
      </c>
      <c r="F49" s="79">
        <v>0</v>
      </c>
      <c r="G49" s="79">
        <v>0</v>
      </c>
      <c r="H49" s="79">
        <v>0</v>
      </c>
      <c r="I49" s="79">
        <v>0</v>
      </c>
      <c r="J49" s="79">
        <v>0</v>
      </c>
      <c r="K49" s="79">
        <v>0</v>
      </c>
      <c r="L49" s="79">
        <v>0</v>
      </c>
      <c r="M49" s="79">
        <v>0</v>
      </c>
      <c r="N49" s="79">
        <v>0</v>
      </c>
      <c r="O49" s="37">
        <f>$A49*$C49*E49*$D49*(1+'02_Assumptions'!$C$11)^0</f>
        <v>0</v>
      </c>
      <c r="P49" s="37">
        <f>$A49*$C49*F49*$D49*(1+'02_Assumptions'!$C$11)^1</f>
        <v>0</v>
      </c>
      <c r="Q49" s="37">
        <f>$A49*$C49*G49*$D49*(1+'02_Assumptions'!$C$11)^2</f>
        <v>0</v>
      </c>
      <c r="R49" s="37">
        <f>$A49*$C49*H49*$D49*(1+'02_Assumptions'!$C$11)^3</f>
        <v>0</v>
      </c>
      <c r="S49" s="37">
        <f>$A49*$C49*I49*$D49*(1+'02_Assumptions'!$C$11)^4</f>
        <v>0</v>
      </c>
      <c r="T49" s="37">
        <f>$A49*$C49*J49*$D49*(1+'02_Assumptions'!$C$11)^5</f>
        <v>0</v>
      </c>
      <c r="U49" s="37">
        <f>$A49*$C49*K49*$D49*(1+'02_Assumptions'!$C$11)^6</f>
        <v>0</v>
      </c>
      <c r="V49" s="37">
        <f>$A49*$C49*L49*$D49*(1+'02_Assumptions'!$C$11)^7</f>
        <v>0</v>
      </c>
      <c r="W49" s="37">
        <f>$A49*$C49*M49*$D49*(1+'02_Assumptions'!$C$11)^8</f>
        <v>0</v>
      </c>
      <c r="X49" s="37">
        <f>$A49*$C49*N49*$D49*(1+'02_Assumptions'!$C$11)^9</f>
        <v>0</v>
      </c>
      <c r="Y49" s="18"/>
      <c r="Z49" s="18"/>
      <c r="AA49" s="18"/>
      <c r="AB49" s="18"/>
      <c r="AC49" s="18"/>
      <c r="AD49" s="18"/>
      <c r="AE49" s="18"/>
      <c r="AF49" s="18"/>
      <c r="AG49" s="18"/>
      <c r="AH49" s="18"/>
      <c r="AI49" s="18"/>
      <c r="AJ49" s="18"/>
    </row>
    <row r="50" spans="1:36">
      <c r="A50" s="18"/>
      <c r="B50" s="18"/>
      <c r="C50" s="18"/>
      <c r="D50" s="18"/>
      <c r="E50" s="18"/>
      <c r="F50" s="18"/>
      <c r="G50" s="18"/>
      <c r="H50" s="18"/>
      <c r="I50" s="18"/>
      <c r="J50" s="18"/>
      <c r="K50" s="18"/>
      <c r="L50" s="18"/>
      <c r="M50" s="18"/>
      <c r="N50" s="18"/>
      <c r="O50" s="37"/>
      <c r="P50" s="37"/>
      <c r="Q50" s="37"/>
      <c r="R50" s="37"/>
      <c r="S50" s="37"/>
      <c r="T50" s="37"/>
      <c r="U50" s="37"/>
      <c r="V50" s="37"/>
      <c r="W50" s="37"/>
      <c r="X50" s="37"/>
      <c r="Y50" s="18"/>
      <c r="Z50" s="18"/>
      <c r="AA50" s="18"/>
      <c r="AB50" s="18"/>
      <c r="AC50" s="18"/>
      <c r="AD50" s="18"/>
      <c r="AE50" s="18"/>
      <c r="AF50" s="18"/>
      <c r="AG50" s="18"/>
      <c r="AH50" s="18"/>
      <c r="AI50" s="18"/>
      <c r="AJ50" s="18"/>
    </row>
    <row r="51" spans="1:36">
      <c r="A51" s="18"/>
      <c r="B51" s="18"/>
      <c r="C51" s="18"/>
      <c r="D51" s="18"/>
      <c r="E51" s="18"/>
      <c r="F51" s="18"/>
      <c r="G51" s="18"/>
      <c r="H51" s="18"/>
      <c r="I51" s="18"/>
      <c r="J51" s="18"/>
      <c r="K51" s="18"/>
      <c r="L51" s="18"/>
      <c r="M51" s="18"/>
      <c r="N51" s="18"/>
      <c r="O51" s="37"/>
      <c r="P51" s="37"/>
      <c r="Q51" s="37"/>
      <c r="R51" s="37"/>
      <c r="S51" s="37"/>
      <c r="T51" s="37"/>
      <c r="U51" s="37"/>
      <c r="V51" s="37"/>
      <c r="W51" s="37"/>
      <c r="X51" s="37"/>
      <c r="Y51" s="18"/>
      <c r="Z51" s="18"/>
      <c r="AA51" s="18"/>
      <c r="AB51" s="18"/>
      <c r="AC51" s="18"/>
      <c r="AD51" s="18"/>
      <c r="AE51" s="18"/>
      <c r="AF51" s="18"/>
      <c r="AG51" s="18"/>
      <c r="AH51" s="18"/>
      <c r="AI51" s="18"/>
      <c r="AJ51" s="18"/>
    </row>
    <row r="52" spans="1:36">
      <c r="A52" s="263" t="s">
        <v>1631</v>
      </c>
      <c r="B52" s="263"/>
      <c r="C52" s="263"/>
      <c r="D52" s="263"/>
      <c r="E52" s="263"/>
      <c r="F52" s="263"/>
      <c r="G52" s="263"/>
      <c r="H52" s="263"/>
      <c r="I52" s="263"/>
      <c r="J52" s="263"/>
      <c r="K52" s="263"/>
      <c r="L52" s="263"/>
      <c r="M52" s="263"/>
      <c r="N52" s="263"/>
      <c r="O52" s="80">
        <f t="shared" ref="O52:X52" si="5">SUM(O40:O49)</f>
        <v>149600000</v>
      </c>
      <c r="P52" s="80">
        <f t="shared" si="5"/>
        <v>97240000</v>
      </c>
      <c r="Q52" s="80">
        <f t="shared" si="5"/>
        <v>50564800.000000007</v>
      </c>
      <c r="R52" s="80">
        <f t="shared" si="5"/>
        <v>0</v>
      </c>
      <c r="S52" s="80">
        <f t="shared" si="5"/>
        <v>0</v>
      </c>
      <c r="T52" s="80">
        <f t="shared" si="5"/>
        <v>0</v>
      </c>
      <c r="U52" s="80">
        <f t="shared" si="5"/>
        <v>0</v>
      </c>
      <c r="V52" s="80">
        <f t="shared" si="5"/>
        <v>0</v>
      </c>
      <c r="W52" s="80">
        <f t="shared" si="5"/>
        <v>0</v>
      </c>
      <c r="X52" s="80">
        <f t="shared" si="5"/>
        <v>0</v>
      </c>
      <c r="Y52" s="80"/>
      <c r="Z52" s="18"/>
      <c r="AA52" s="18"/>
      <c r="AB52" s="18"/>
      <c r="AC52" s="18"/>
      <c r="AD52" s="18"/>
      <c r="AE52" s="18"/>
      <c r="AF52" s="18"/>
      <c r="AG52" s="18"/>
      <c r="AH52" s="18"/>
      <c r="AI52" s="18"/>
      <c r="AJ52" s="18"/>
    </row>
    <row r="53" spans="1:36">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row>
    <row r="54" spans="1:36">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row>
    <row r="55" spans="1:36" ht="20" customHeight="1">
      <c r="A55" s="278" t="s">
        <v>1632</v>
      </c>
      <c r="B55" s="278"/>
      <c r="C55" s="278"/>
      <c r="D55" s="278"/>
      <c r="E55" s="278"/>
      <c r="F55" s="278"/>
      <c r="G55" s="278"/>
      <c r="H55" s="278"/>
      <c r="I55" s="278"/>
      <c r="J55" s="278"/>
      <c r="K55" s="278"/>
      <c r="L55" s="278"/>
      <c r="M55" s="278"/>
      <c r="N55" s="278"/>
      <c r="O55" s="278"/>
      <c r="P55" s="278"/>
      <c r="Q55" s="278"/>
      <c r="R55" s="278"/>
      <c r="S55" s="278"/>
      <c r="T55" s="278"/>
      <c r="U55" s="278"/>
      <c r="V55" s="278"/>
      <c r="W55" s="278"/>
      <c r="X55" s="278"/>
      <c r="Y55" s="18"/>
      <c r="Z55" s="18"/>
      <c r="AA55" s="18"/>
      <c r="AB55" s="18"/>
      <c r="AC55" s="18"/>
      <c r="AD55" s="18"/>
      <c r="AE55" s="18"/>
      <c r="AF55" s="18"/>
      <c r="AG55" s="18"/>
      <c r="AH55" s="18"/>
      <c r="AI55" s="18"/>
      <c r="AJ55" s="18"/>
    </row>
    <row r="56" spans="1:36" ht="32" customHeight="1">
      <c r="A56" s="71" t="s">
        <v>473</v>
      </c>
      <c r="B56" s="71" t="s">
        <v>1633</v>
      </c>
      <c r="C56" s="71" t="s">
        <v>1607</v>
      </c>
      <c r="D56" s="71" t="s">
        <v>1634</v>
      </c>
      <c r="E56" s="71" t="s">
        <v>1635</v>
      </c>
      <c r="F56" s="71" t="s">
        <v>1636</v>
      </c>
      <c r="G56" s="71" t="s">
        <v>1637</v>
      </c>
      <c r="H56" s="71" t="s">
        <v>1638</v>
      </c>
      <c r="I56" s="71" t="s">
        <v>1639</v>
      </c>
      <c r="J56" s="71" t="s">
        <v>1640</v>
      </c>
      <c r="K56" s="71" t="s">
        <v>1641</v>
      </c>
      <c r="L56" s="71" t="s">
        <v>1642</v>
      </c>
      <c r="M56" s="71" t="s">
        <v>1643</v>
      </c>
      <c r="N56" s="71" t="s">
        <v>1644</v>
      </c>
      <c r="O56" s="71" t="s">
        <v>1645</v>
      </c>
      <c r="P56" s="71" t="s">
        <v>1646</v>
      </c>
      <c r="Q56" s="71" t="s">
        <v>1647</v>
      </c>
      <c r="R56" s="71" t="s">
        <v>1648</v>
      </c>
      <c r="S56" s="71" t="s">
        <v>1649</v>
      </c>
      <c r="T56" s="71" t="s">
        <v>1650</v>
      </c>
      <c r="U56" s="71" t="s">
        <v>1651</v>
      </c>
      <c r="V56" s="71" t="s">
        <v>1652</v>
      </c>
      <c r="W56" s="71" t="s">
        <v>1653</v>
      </c>
      <c r="X56" s="71" t="s">
        <v>140</v>
      </c>
      <c r="Y56" s="18"/>
      <c r="Z56" s="18"/>
      <c r="AA56" s="18"/>
      <c r="AB56" s="18"/>
      <c r="AC56" s="18"/>
      <c r="AD56" s="18"/>
      <c r="AE56" s="18"/>
      <c r="AF56" s="18"/>
      <c r="AG56" s="18"/>
      <c r="AH56" s="18"/>
      <c r="AI56" s="18"/>
      <c r="AJ56" s="18"/>
    </row>
    <row r="57" spans="1:36" ht="58.15">
      <c r="A57" s="74">
        <f>$A$6</f>
        <v>1</v>
      </c>
      <c r="B57" s="74" t="str">
        <f>$B$6</f>
        <v>Nanas</v>
      </c>
      <c r="C57" s="74">
        <f>$K$6</f>
        <v>187000</v>
      </c>
      <c r="D57" s="128">
        <v>6.0000000000000001E-3</v>
      </c>
      <c r="E57" s="128">
        <v>8.0000000000000002E-3</v>
      </c>
      <c r="F57" s="128">
        <v>4.0000000000000001E-3</v>
      </c>
      <c r="G57" s="128">
        <v>0</v>
      </c>
      <c r="H57" s="128">
        <v>0</v>
      </c>
      <c r="I57" s="128">
        <v>0</v>
      </c>
      <c r="J57" s="128">
        <v>0</v>
      </c>
      <c r="K57" s="128">
        <v>0</v>
      </c>
      <c r="L57" s="128">
        <v>0</v>
      </c>
      <c r="M57" s="128">
        <v>0</v>
      </c>
      <c r="N57" s="38">
        <f t="shared" ref="N57:N66" si="6">$A57*$C57*D57</f>
        <v>1122</v>
      </c>
      <c r="O57" s="38">
        <f t="shared" ref="O57:O66" si="7">$A57*$C57*E57</f>
        <v>1496</v>
      </c>
      <c r="P57" s="38">
        <f t="shared" ref="P57:P66" si="8">$A57*$C57*F57</f>
        <v>748</v>
      </c>
      <c r="Q57" s="38">
        <f t="shared" ref="Q57:Q66" si="9">$A57*$C57*G57</f>
        <v>0</v>
      </c>
      <c r="R57" s="38">
        <f t="shared" ref="R57:R66" si="10">$A57*$C57*H57</f>
        <v>0</v>
      </c>
      <c r="S57" s="38">
        <f t="shared" ref="S57:S66" si="11">$A57*$C57*I57</f>
        <v>0</v>
      </c>
      <c r="T57" s="38">
        <f t="shared" ref="T57:T66" si="12">$A57*$C57*J57</f>
        <v>0</v>
      </c>
      <c r="U57" s="38">
        <f t="shared" ref="U57:U66" si="13">$A57*$C57*K57</f>
        <v>0</v>
      </c>
      <c r="V57" s="38">
        <f t="shared" ref="V57:V66" si="14">$A57*$C57*L57</f>
        <v>0</v>
      </c>
      <c r="W57" s="38">
        <f t="shared" ref="W57:W66" si="15">$A57*$C57*M57</f>
        <v>0</v>
      </c>
      <c r="X57" s="18" t="s">
        <v>1654</v>
      </c>
      <c r="Y57" s="18"/>
      <c r="Z57" s="18"/>
      <c r="AA57" s="18"/>
      <c r="AB57" s="18"/>
      <c r="AC57" s="18"/>
      <c r="AD57" s="18"/>
      <c r="AE57" s="18"/>
      <c r="AF57" s="18"/>
      <c r="AG57" s="18"/>
      <c r="AH57" s="18"/>
      <c r="AI57" s="18"/>
      <c r="AJ57" s="18"/>
    </row>
    <row r="58" spans="1:36" ht="69.75">
      <c r="A58" s="74">
        <f>$A$7</f>
        <v>1</v>
      </c>
      <c r="B58" s="74" t="s">
        <v>1601</v>
      </c>
      <c r="C58" s="74">
        <f>$K$7</f>
        <v>57.2</v>
      </c>
      <c r="D58" s="78">
        <v>4</v>
      </c>
      <c r="E58" s="78">
        <v>3</v>
      </c>
      <c r="F58" s="78">
        <v>2</v>
      </c>
      <c r="G58" s="78">
        <v>2</v>
      </c>
      <c r="H58" s="78">
        <v>2</v>
      </c>
      <c r="I58" s="78">
        <v>2</v>
      </c>
      <c r="J58" s="78">
        <v>2</v>
      </c>
      <c r="K58" s="78">
        <v>2</v>
      </c>
      <c r="L58" s="78">
        <v>2</v>
      </c>
      <c r="M58" s="78">
        <v>2</v>
      </c>
      <c r="N58" s="38">
        <f t="shared" si="6"/>
        <v>228.8</v>
      </c>
      <c r="O58" s="38">
        <f t="shared" si="7"/>
        <v>171.60000000000002</v>
      </c>
      <c r="P58" s="38">
        <f t="shared" si="8"/>
        <v>114.4</v>
      </c>
      <c r="Q58" s="38">
        <f t="shared" si="9"/>
        <v>114.4</v>
      </c>
      <c r="R58" s="38">
        <f t="shared" si="10"/>
        <v>114.4</v>
      </c>
      <c r="S58" s="38">
        <f t="shared" si="11"/>
        <v>114.4</v>
      </c>
      <c r="T58" s="38">
        <f t="shared" si="12"/>
        <v>114.4</v>
      </c>
      <c r="U58" s="38">
        <f t="shared" si="13"/>
        <v>114.4</v>
      </c>
      <c r="V58" s="38">
        <f t="shared" si="14"/>
        <v>114.4</v>
      </c>
      <c r="W58" s="38">
        <f t="shared" si="15"/>
        <v>114.4</v>
      </c>
      <c r="X58" s="18" t="s">
        <v>1655</v>
      </c>
      <c r="Y58" s="18"/>
      <c r="Z58" s="18"/>
      <c r="AA58" s="18"/>
      <c r="AB58" s="18"/>
      <c r="AC58" s="18"/>
      <c r="AD58" s="18"/>
      <c r="AE58" s="18"/>
      <c r="AF58" s="18"/>
      <c r="AG58" s="18"/>
      <c r="AH58" s="18"/>
      <c r="AI58" s="18"/>
      <c r="AJ58" s="18"/>
    </row>
    <row r="59" spans="1:36" ht="69.75">
      <c r="A59" s="74">
        <f>$A$8</f>
        <v>0</v>
      </c>
      <c r="B59" s="74" t="str">
        <f>$B$8</f>
        <v>Crotalaria juncea</v>
      </c>
      <c r="C59" s="74">
        <f>$K$8</f>
        <v>0</v>
      </c>
      <c r="D59" s="78">
        <v>3</v>
      </c>
      <c r="E59" s="78">
        <v>3</v>
      </c>
      <c r="F59" s="78">
        <v>3</v>
      </c>
      <c r="G59" s="78">
        <v>3</v>
      </c>
      <c r="H59" s="78">
        <v>3</v>
      </c>
      <c r="I59" s="78">
        <v>3</v>
      </c>
      <c r="J59" s="78">
        <v>3</v>
      </c>
      <c r="K59" s="78">
        <v>3</v>
      </c>
      <c r="L59" s="78">
        <v>3</v>
      </c>
      <c r="M59" s="78">
        <v>3</v>
      </c>
      <c r="N59" s="38">
        <f t="shared" si="6"/>
        <v>0</v>
      </c>
      <c r="O59" s="38">
        <f t="shared" si="7"/>
        <v>0</v>
      </c>
      <c r="P59" s="38">
        <f t="shared" si="8"/>
        <v>0</v>
      </c>
      <c r="Q59" s="38">
        <f t="shared" si="9"/>
        <v>0</v>
      </c>
      <c r="R59" s="38">
        <f t="shared" si="10"/>
        <v>0</v>
      </c>
      <c r="S59" s="38">
        <f t="shared" si="11"/>
        <v>0</v>
      </c>
      <c r="T59" s="38">
        <f t="shared" si="12"/>
        <v>0</v>
      </c>
      <c r="U59" s="38">
        <f t="shared" si="13"/>
        <v>0</v>
      </c>
      <c r="V59" s="38">
        <f t="shared" si="14"/>
        <v>0</v>
      </c>
      <c r="W59" s="38">
        <f t="shared" si="15"/>
        <v>0</v>
      </c>
      <c r="X59" s="18" t="s">
        <v>1656</v>
      </c>
      <c r="Y59" s="18"/>
      <c r="Z59" s="18"/>
      <c r="AA59" s="18"/>
      <c r="AB59" s="18"/>
      <c r="AC59" s="18"/>
      <c r="AD59" s="18"/>
      <c r="AE59" s="18"/>
      <c r="AF59" s="18"/>
      <c r="AG59" s="18"/>
      <c r="AH59" s="18"/>
      <c r="AI59" s="18"/>
      <c r="AJ59" s="18"/>
    </row>
    <row r="60" spans="1:36" ht="46.5">
      <c r="A60" s="74">
        <f>$A$9</f>
        <v>0</v>
      </c>
      <c r="B60" s="74" t="str">
        <f>$B$9</f>
        <v>Mucuna/benguk</v>
      </c>
      <c r="C60" s="74">
        <f>$K$9</f>
        <v>0</v>
      </c>
      <c r="D60" s="78">
        <v>3</v>
      </c>
      <c r="E60" s="78">
        <v>2</v>
      </c>
      <c r="F60" s="78">
        <v>2</v>
      </c>
      <c r="G60" s="78">
        <v>2</v>
      </c>
      <c r="H60" s="78">
        <v>2</v>
      </c>
      <c r="I60" s="78">
        <v>2</v>
      </c>
      <c r="J60" s="78">
        <v>2</v>
      </c>
      <c r="K60" s="78">
        <v>2</v>
      </c>
      <c r="L60" s="78">
        <v>2</v>
      </c>
      <c r="M60" s="78">
        <v>2</v>
      </c>
      <c r="N60" s="38">
        <f t="shared" si="6"/>
        <v>0</v>
      </c>
      <c r="O60" s="38">
        <f t="shared" si="7"/>
        <v>0</v>
      </c>
      <c r="P60" s="38">
        <f t="shared" si="8"/>
        <v>0</v>
      </c>
      <c r="Q60" s="38">
        <f t="shared" si="9"/>
        <v>0</v>
      </c>
      <c r="R60" s="38">
        <f t="shared" si="10"/>
        <v>0</v>
      </c>
      <c r="S60" s="38">
        <f t="shared" si="11"/>
        <v>0</v>
      </c>
      <c r="T60" s="38">
        <f t="shared" si="12"/>
        <v>0</v>
      </c>
      <c r="U60" s="38">
        <f t="shared" si="13"/>
        <v>0</v>
      </c>
      <c r="V60" s="38">
        <f t="shared" si="14"/>
        <v>0</v>
      </c>
      <c r="W60" s="38">
        <f t="shared" si="15"/>
        <v>0</v>
      </c>
      <c r="X60" s="18" t="s">
        <v>1657</v>
      </c>
      <c r="Y60" s="18"/>
      <c r="Z60" s="18"/>
      <c r="AA60" s="18"/>
      <c r="AB60" s="18"/>
      <c r="AC60" s="18"/>
      <c r="AD60" s="18"/>
      <c r="AE60" s="18"/>
      <c r="AF60" s="18"/>
      <c r="AG60" s="18"/>
      <c r="AH60" s="18"/>
      <c r="AI60" s="18"/>
      <c r="AJ60" s="18"/>
    </row>
    <row r="61" spans="1:36" ht="34.9">
      <c r="A61" s="74">
        <f>$A$10</f>
        <v>0</v>
      </c>
      <c r="B61" s="74" t="str">
        <f>$B$10</f>
        <v>Vetiver</v>
      </c>
      <c r="C61" s="74">
        <f>$K$10</f>
        <v>0</v>
      </c>
      <c r="D61" s="78">
        <v>0.02</v>
      </c>
      <c r="E61" s="78">
        <v>1.4999999999999999E-2</v>
      </c>
      <c r="F61" s="78">
        <v>0.01</v>
      </c>
      <c r="G61" s="78">
        <v>0.01</v>
      </c>
      <c r="H61" s="78">
        <v>0.01</v>
      </c>
      <c r="I61" s="78">
        <v>0.01</v>
      </c>
      <c r="J61" s="78">
        <v>0.01</v>
      </c>
      <c r="K61" s="78">
        <v>0.01</v>
      </c>
      <c r="L61" s="78">
        <v>0.01</v>
      </c>
      <c r="M61" s="78">
        <v>0.01</v>
      </c>
      <c r="N61" s="38">
        <f t="shared" si="6"/>
        <v>0</v>
      </c>
      <c r="O61" s="38">
        <f t="shared" si="7"/>
        <v>0</v>
      </c>
      <c r="P61" s="38">
        <f t="shared" si="8"/>
        <v>0</v>
      </c>
      <c r="Q61" s="38">
        <f t="shared" si="9"/>
        <v>0</v>
      </c>
      <c r="R61" s="38">
        <f t="shared" si="10"/>
        <v>0</v>
      </c>
      <c r="S61" s="38">
        <f t="shared" si="11"/>
        <v>0</v>
      </c>
      <c r="T61" s="38">
        <f t="shared" si="12"/>
        <v>0</v>
      </c>
      <c r="U61" s="38">
        <f t="shared" si="13"/>
        <v>0</v>
      </c>
      <c r="V61" s="38">
        <f t="shared" si="14"/>
        <v>0</v>
      </c>
      <c r="W61" s="38">
        <f t="shared" si="15"/>
        <v>0</v>
      </c>
      <c r="X61" s="18" t="s">
        <v>1658</v>
      </c>
      <c r="Y61" s="18"/>
      <c r="Z61" s="18"/>
      <c r="AA61" s="18"/>
      <c r="AB61" s="18"/>
      <c r="AC61" s="18"/>
      <c r="AD61" s="18"/>
      <c r="AE61" s="18"/>
      <c r="AF61" s="18"/>
      <c r="AG61" s="18"/>
      <c r="AH61" s="18"/>
      <c r="AI61" s="18"/>
      <c r="AJ61" s="18"/>
    </row>
    <row r="62" spans="1:36" ht="58.15">
      <c r="A62" s="74">
        <f>$A$11</f>
        <v>0</v>
      </c>
      <c r="B62" s="74" t="str">
        <f>$B$11</f>
        <v>Tithonia</v>
      </c>
      <c r="C62" s="74">
        <f>$K$11</f>
        <v>0</v>
      </c>
      <c r="D62" s="78">
        <v>0.05</v>
      </c>
      <c r="E62" s="78">
        <v>0.05</v>
      </c>
      <c r="F62" s="78">
        <v>0.05</v>
      </c>
      <c r="G62" s="78">
        <v>0.05</v>
      </c>
      <c r="H62" s="78">
        <v>0.05</v>
      </c>
      <c r="I62" s="78">
        <v>0.05</v>
      </c>
      <c r="J62" s="78">
        <v>0.05</v>
      </c>
      <c r="K62" s="78">
        <v>0.05</v>
      </c>
      <c r="L62" s="78">
        <v>0.05</v>
      </c>
      <c r="M62" s="78">
        <v>0.05</v>
      </c>
      <c r="N62" s="38">
        <f t="shared" si="6"/>
        <v>0</v>
      </c>
      <c r="O62" s="38">
        <f t="shared" si="7"/>
        <v>0</v>
      </c>
      <c r="P62" s="38">
        <f t="shared" si="8"/>
        <v>0</v>
      </c>
      <c r="Q62" s="38">
        <f t="shared" si="9"/>
        <v>0</v>
      </c>
      <c r="R62" s="38">
        <f t="shared" si="10"/>
        <v>0</v>
      </c>
      <c r="S62" s="38">
        <f t="shared" si="11"/>
        <v>0</v>
      </c>
      <c r="T62" s="38">
        <f t="shared" si="12"/>
        <v>0</v>
      </c>
      <c r="U62" s="38">
        <f t="shared" si="13"/>
        <v>0</v>
      </c>
      <c r="V62" s="38">
        <f t="shared" si="14"/>
        <v>0</v>
      </c>
      <c r="W62" s="38">
        <f t="shared" si="15"/>
        <v>0</v>
      </c>
      <c r="X62" s="18" t="s">
        <v>1659</v>
      </c>
      <c r="Y62" s="18"/>
      <c r="Z62" s="18"/>
      <c r="AA62" s="18"/>
      <c r="AB62" s="18"/>
      <c r="AC62" s="18"/>
      <c r="AD62" s="18"/>
      <c r="AE62" s="18"/>
      <c r="AF62" s="18"/>
      <c r="AG62" s="18"/>
      <c r="AH62" s="18"/>
      <c r="AI62" s="18"/>
      <c r="AJ62" s="18"/>
    </row>
    <row r="63" spans="1:36">
      <c r="A63" s="74">
        <f>$A$12</f>
        <v>0</v>
      </c>
      <c r="B63" s="74" t="str">
        <f>$B$12</f>
        <v>Tambahan 5</v>
      </c>
      <c r="C63" s="74">
        <f>$K$12</f>
        <v>0</v>
      </c>
      <c r="D63" s="78">
        <v>0</v>
      </c>
      <c r="E63" s="78">
        <v>0</v>
      </c>
      <c r="F63" s="78">
        <v>0</v>
      </c>
      <c r="G63" s="78">
        <v>0</v>
      </c>
      <c r="H63" s="78">
        <v>0</v>
      </c>
      <c r="I63" s="78">
        <v>0</v>
      </c>
      <c r="J63" s="78">
        <v>0</v>
      </c>
      <c r="K63" s="78">
        <v>0</v>
      </c>
      <c r="L63" s="78">
        <v>0</v>
      </c>
      <c r="M63" s="78">
        <v>0</v>
      </c>
      <c r="N63" s="38">
        <f t="shared" si="6"/>
        <v>0</v>
      </c>
      <c r="O63" s="38">
        <f t="shared" si="7"/>
        <v>0</v>
      </c>
      <c r="P63" s="38">
        <f t="shared" si="8"/>
        <v>0</v>
      </c>
      <c r="Q63" s="38">
        <f t="shared" si="9"/>
        <v>0</v>
      </c>
      <c r="R63" s="38">
        <f t="shared" si="10"/>
        <v>0</v>
      </c>
      <c r="S63" s="38">
        <f t="shared" si="11"/>
        <v>0</v>
      </c>
      <c r="T63" s="38">
        <f t="shared" si="12"/>
        <v>0</v>
      </c>
      <c r="U63" s="38">
        <f t="shared" si="13"/>
        <v>0</v>
      </c>
      <c r="V63" s="38">
        <f t="shared" si="14"/>
        <v>0</v>
      </c>
      <c r="W63" s="38">
        <f t="shared" si="15"/>
        <v>0</v>
      </c>
      <c r="X63" s="18"/>
      <c r="Y63" s="18"/>
      <c r="Z63" s="18"/>
      <c r="AA63" s="18"/>
      <c r="AB63" s="18"/>
      <c r="AC63" s="18"/>
      <c r="AD63" s="18"/>
      <c r="AE63" s="18"/>
      <c r="AF63" s="18"/>
      <c r="AG63" s="18"/>
      <c r="AH63" s="18"/>
      <c r="AI63" s="18"/>
      <c r="AJ63" s="18"/>
    </row>
    <row r="64" spans="1:36">
      <c r="A64" s="74">
        <f>$A$13</f>
        <v>0</v>
      </c>
      <c r="B64" s="74" t="str">
        <f>$B$13</f>
        <v>Tambahan 6</v>
      </c>
      <c r="C64" s="74">
        <f>$K$13</f>
        <v>0</v>
      </c>
      <c r="D64" s="78">
        <v>0</v>
      </c>
      <c r="E64" s="78">
        <v>0</v>
      </c>
      <c r="F64" s="78">
        <v>0</v>
      </c>
      <c r="G64" s="78">
        <v>0</v>
      </c>
      <c r="H64" s="78">
        <v>0</v>
      </c>
      <c r="I64" s="78">
        <v>0</v>
      </c>
      <c r="J64" s="78">
        <v>0</v>
      </c>
      <c r="K64" s="78">
        <v>0</v>
      </c>
      <c r="L64" s="78">
        <v>0</v>
      </c>
      <c r="M64" s="78">
        <v>0</v>
      </c>
      <c r="N64" s="38">
        <f t="shared" si="6"/>
        <v>0</v>
      </c>
      <c r="O64" s="38">
        <f t="shared" si="7"/>
        <v>0</v>
      </c>
      <c r="P64" s="38">
        <f t="shared" si="8"/>
        <v>0</v>
      </c>
      <c r="Q64" s="38">
        <f t="shared" si="9"/>
        <v>0</v>
      </c>
      <c r="R64" s="38">
        <f t="shared" si="10"/>
        <v>0</v>
      </c>
      <c r="S64" s="38">
        <f t="shared" si="11"/>
        <v>0</v>
      </c>
      <c r="T64" s="38">
        <f t="shared" si="12"/>
        <v>0</v>
      </c>
      <c r="U64" s="38">
        <f t="shared" si="13"/>
        <v>0</v>
      </c>
      <c r="V64" s="38">
        <f t="shared" si="14"/>
        <v>0</v>
      </c>
      <c r="W64" s="38">
        <f t="shared" si="15"/>
        <v>0</v>
      </c>
      <c r="X64" s="18"/>
      <c r="Y64" s="18"/>
      <c r="Z64" s="18"/>
      <c r="AA64" s="18"/>
      <c r="AB64" s="18"/>
      <c r="AC64" s="18"/>
      <c r="AD64" s="18"/>
      <c r="AE64" s="18"/>
      <c r="AF64" s="18"/>
      <c r="AG64" s="18"/>
      <c r="AH64" s="18"/>
      <c r="AI64" s="18"/>
      <c r="AJ64" s="18"/>
    </row>
    <row r="65" spans="1:36">
      <c r="A65" s="74">
        <f>$A$14</f>
        <v>0</v>
      </c>
      <c r="B65" s="74" t="str">
        <f>$B$14</f>
        <v>Tambahan 7</v>
      </c>
      <c r="C65" s="74">
        <f>$K$14</f>
        <v>0</v>
      </c>
      <c r="D65" s="78">
        <v>0</v>
      </c>
      <c r="E65" s="78">
        <v>0</v>
      </c>
      <c r="F65" s="78">
        <v>0</v>
      </c>
      <c r="G65" s="78">
        <v>0</v>
      </c>
      <c r="H65" s="78">
        <v>0</v>
      </c>
      <c r="I65" s="78">
        <v>0</v>
      </c>
      <c r="J65" s="78">
        <v>0</v>
      </c>
      <c r="K65" s="78">
        <v>0</v>
      </c>
      <c r="L65" s="78">
        <v>0</v>
      </c>
      <c r="M65" s="78">
        <v>0</v>
      </c>
      <c r="N65" s="38">
        <f t="shared" si="6"/>
        <v>0</v>
      </c>
      <c r="O65" s="38">
        <f t="shared" si="7"/>
        <v>0</v>
      </c>
      <c r="P65" s="38">
        <f t="shared" si="8"/>
        <v>0</v>
      </c>
      <c r="Q65" s="38">
        <f t="shared" si="9"/>
        <v>0</v>
      </c>
      <c r="R65" s="38">
        <f t="shared" si="10"/>
        <v>0</v>
      </c>
      <c r="S65" s="38">
        <f t="shared" si="11"/>
        <v>0</v>
      </c>
      <c r="T65" s="38">
        <f t="shared" si="12"/>
        <v>0</v>
      </c>
      <c r="U65" s="38">
        <f t="shared" si="13"/>
        <v>0</v>
      </c>
      <c r="V65" s="38">
        <f t="shared" si="14"/>
        <v>0</v>
      </c>
      <c r="W65" s="38">
        <f t="shared" si="15"/>
        <v>0</v>
      </c>
      <c r="X65" s="18"/>
      <c r="Y65" s="18"/>
      <c r="Z65" s="18"/>
      <c r="AA65" s="18"/>
      <c r="AB65" s="18"/>
      <c r="AC65" s="18"/>
      <c r="AD65" s="18"/>
      <c r="AE65" s="18"/>
      <c r="AF65" s="18"/>
      <c r="AG65" s="18"/>
      <c r="AH65" s="18"/>
      <c r="AI65" s="18"/>
      <c r="AJ65" s="18"/>
    </row>
    <row r="66" spans="1:36">
      <c r="A66" s="74">
        <f>$A$15</f>
        <v>0</v>
      </c>
      <c r="B66" s="74" t="str">
        <f>$B$15</f>
        <v>Tambahan 8</v>
      </c>
      <c r="C66" s="74">
        <f>$K$15</f>
        <v>0</v>
      </c>
      <c r="D66" s="78">
        <v>0</v>
      </c>
      <c r="E66" s="78">
        <v>0</v>
      </c>
      <c r="F66" s="78">
        <v>0</v>
      </c>
      <c r="G66" s="78">
        <v>0</v>
      </c>
      <c r="H66" s="78">
        <v>0</v>
      </c>
      <c r="I66" s="78">
        <v>0</v>
      </c>
      <c r="J66" s="78">
        <v>0</v>
      </c>
      <c r="K66" s="78">
        <v>0</v>
      </c>
      <c r="L66" s="78">
        <v>0</v>
      </c>
      <c r="M66" s="78">
        <v>0</v>
      </c>
      <c r="N66" s="38">
        <f t="shared" si="6"/>
        <v>0</v>
      </c>
      <c r="O66" s="38">
        <f t="shared" si="7"/>
        <v>0</v>
      </c>
      <c r="P66" s="38">
        <f t="shared" si="8"/>
        <v>0</v>
      </c>
      <c r="Q66" s="38">
        <f t="shared" si="9"/>
        <v>0</v>
      </c>
      <c r="R66" s="38">
        <f t="shared" si="10"/>
        <v>0</v>
      </c>
      <c r="S66" s="38">
        <f t="shared" si="11"/>
        <v>0</v>
      </c>
      <c r="T66" s="38">
        <f t="shared" si="12"/>
        <v>0</v>
      </c>
      <c r="U66" s="38">
        <f t="shared" si="13"/>
        <v>0</v>
      </c>
      <c r="V66" s="38">
        <f t="shared" si="14"/>
        <v>0</v>
      </c>
      <c r="W66" s="38">
        <f t="shared" si="15"/>
        <v>0</v>
      </c>
      <c r="X66" s="18"/>
      <c r="Y66" s="18"/>
      <c r="Z66" s="18"/>
      <c r="AA66" s="18"/>
      <c r="AB66" s="18"/>
      <c r="AC66" s="18"/>
      <c r="AD66" s="18"/>
      <c r="AE66" s="18"/>
      <c r="AF66" s="18"/>
      <c r="AG66" s="18"/>
      <c r="AH66" s="18"/>
      <c r="AI66" s="18"/>
      <c r="AJ66" s="18"/>
    </row>
    <row r="67" spans="1:36">
      <c r="A67" s="18"/>
      <c r="B67" s="18"/>
      <c r="C67" s="18"/>
      <c r="D67" s="18"/>
      <c r="E67" s="18"/>
      <c r="F67" s="18"/>
      <c r="G67" s="18"/>
      <c r="H67" s="18"/>
      <c r="I67" s="18"/>
      <c r="J67" s="18"/>
      <c r="K67" s="18"/>
      <c r="L67" s="18"/>
      <c r="M67" s="18"/>
      <c r="N67" s="38"/>
      <c r="O67" s="38"/>
      <c r="P67" s="38"/>
      <c r="Q67" s="38"/>
      <c r="R67" s="38"/>
      <c r="S67" s="38"/>
      <c r="T67" s="38"/>
      <c r="U67" s="38"/>
      <c r="V67" s="38"/>
      <c r="W67" s="38"/>
      <c r="X67" s="18"/>
      <c r="Y67" s="18"/>
      <c r="Z67" s="18"/>
      <c r="AA67" s="18"/>
      <c r="AB67" s="18"/>
      <c r="AC67" s="18"/>
      <c r="AD67" s="18"/>
      <c r="AE67" s="18"/>
      <c r="AF67" s="18"/>
      <c r="AG67" s="18"/>
      <c r="AH67" s="18"/>
      <c r="AI67" s="18"/>
      <c r="AJ67" s="18"/>
    </row>
    <row r="68" spans="1:36">
      <c r="A68" s="279" t="s">
        <v>1660</v>
      </c>
      <c r="B68" s="279"/>
      <c r="C68" s="279"/>
      <c r="D68" s="279"/>
      <c r="E68" s="279"/>
      <c r="F68" s="279"/>
      <c r="G68" s="279"/>
      <c r="H68" s="279"/>
      <c r="I68" s="279"/>
      <c r="J68" s="279"/>
      <c r="K68" s="279"/>
      <c r="L68" s="279"/>
      <c r="M68" s="279"/>
      <c r="N68" s="84">
        <f t="shared" ref="N68:W68" si="16">SUM(N57:N66)</f>
        <v>1350.8</v>
      </c>
      <c r="O68" s="84">
        <f t="shared" si="16"/>
        <v>1667.6</v>
      </c>
      <c r="P68" s="84">
        <f t="shared" si="16"/>
        <v>862.4</v>
      </c>
      <c r="Q68" s="84">
        <f t="shared" si="16"/>
        <v>114.4</v>
      </c>
      <c r="R68" s="84">
        <f t="shared" si="16"/>
        <v>114.4</v>
      </c>
      <c r="S68" s="84">
        <f t="shared" si="16"/>
        <v>114.4</v>
      </c>
      <c r="T68" s="84">
        <f t="shared" si="16"/>
        <v>114.4</v>
      </c>
      <c r="U68" s="84">
        <f t="shared" si="16"/>
        <v>114.4</v>
      </c>
      <c r="V68" s="84">
        <f t="shared" si="16"/>
        <v>114.4</v>
      </c>
      <c r="W68" s="84">
        <f t="shared" si="16"/>
        <v>114.4</v>
      </c>
      <c r="X68" s="84"/>
      <c r="Y68" s="18"/>
      <c r="Z68" s="18"/>
      <c r="AA68" s="18"/>
      <c r="AB68" s="18"/>
      <c r="AC68" s="18"/>
      <c r="AD68" s="18"/>
      <c r="AE68" s="18"/>
      <c r="AF68" s="18"/>
      <c r="AG68" s="18"/>
      <c r="AH68" s="18"/>
      <c r="AI68" s="18"/>
      <c r="AJ68" s="18"/>
    </row>
    <row r="69" spans="1:36">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row>
    <row r="70" spans="1:36">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row>
    <row r="71" spans="1:36" ht="20" customHeight="1">
      <c r="A71" s="278" t="s">
        <v>1661</v>
      </c>
      <c r="B71" s="278"/>
      <c r="C71" s="278"/>
      <c r="D71" s="278"/>
      <c r="E71" s="278"/>
      <c r="F71" s="278"/>
      <c r="G71" s="278"/>
      <c r="H71" s="278"/>
      <c r="I71" s="278"/>
      <c r="J71" s="278"/>
      <c r="K71" s="27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row>
    <row r="72" spans="1:36" ht="32" customHeight="1">
      <c r="A72" s="71" t="s">
        <v>473</v>
      </c>
      <c r="B72" s="71" t="s">
        <v>1662</v>
      </c>
      <c r="C72" s="71" t="s">
        <v>757</v>
      </c>
      <c r="D72" s="71" t="s">
        <v>1663</v>
      </c>
      <c r="E72" s="71" t="s">
        <v>137</v>
      </c>
      <c r="F72" s="71" t="s">
        <v>851</v>
      </c>
      <c r="G72" s="71" t="s">
        <v>758</v>
      </c>
      <c r="H72" s="71" t="s">
        <v>759</v>
      </c>
      <c r="I72" s="71" t="s">
        <v>852</v>
      </c>
      <c r="J72" s="71" t="s">
        <v>853</v>
      </c>
      <c r="K72" s="71" t="s">
        <v>140</v>
      </c>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row>
    <row r="73" spans="1:36">
      <c r="A73" s="79">
        <v>0</v>
      </c>
      <c r="B73" s="79" t="s">
        <v>1664</v>
      </c>
      <c r="C73" s="79" t="s">
        <v>1665</v>
      </c>
      <c r="D73" s="79">
        <v>1</v>
      </c>
      <c r="E73" s="79" t="s">
        <v>1666</v>
      </c>
      <c r="F73" s="77">
        <v>0</v>
      </c>
      <c r="G73" s="74">
        <f>$A73*$D73*IF($C73="ha bruto",'02_Assumptions'!$C$6,IF($C73="ha efektif",'02_Assumptions'!$C$24,IF($C73="lokasi",1,IF($C73="pohon kelapa",'04_Planting_Design'!$D$8,IF($C73="pohon durian",'04_Planting_Design'!$F$8,IF($C73="rumpun pisang",'04_Planting_Design'!$H$8,IF($C73="nanas hidup",$K$6,IF($C73="unit pendukung hidup",$K$7,1))))))))</f>
        <v>0</v>
      </c>
      <c r="H73" s="74">
        <f>$A73*$D73*IF($C73="ha bruto",'02_Assumptions'!$C$6,IF($C73="ha efektif",'02_Assumptions'!$C$24,IF($C73="lokasi",4,IF($C73="pohon kelapa",'04_Planting_Design'!$D$8,IF($C73="pohon durian",'04_Planting_Design'!$F$8,IF($C73="rumpun pisang",'04_Planting_Design'!$H$8,IF($C73="nanas hidup",$K$6,IF($C73="unit pendukung hidup",$K$7,1))))))))</f>
        <v>0</v>
      </c>
      <c r="I73" s="37">
        <f t="shared" ref="I73:I82" si="17">$F73*$G73</f>
        <v>0</v>
      </c>
      <c r="J73" s="37">
        <f t="shared" ref="J73:J82" si="18">$F73*$H73</f>
        <v>0</v>
      </c>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row>
    <row r="74" spans="1:36">
      <c r="A74" s="79">
        <v>0</v>
      </c>
      <c r="B74" s="79" t="s">
        <v>1667</v>
      </c>
      <c r="C74" s="79" t="s">
        <v>1665</v>
      </c>
      <c r="D74" s="79">
        <v>1</v>
      </c>
      <c r="E74" s="79" t="s">
        <v>1666</v>
      </c>
      <c r="F74" s="77">
        <v>0</v>
      </c>
      <c r="G74" s="74">
        <f>$A74*$D74*IF($C74="ha bruto",'02_Assumptions'!$C$6,IF($C74="ha efektif",'02_Assumptions'!$C$24,IF($C74="lokasi",1,IF($C74="pohon kelapa",'04_Planting_Design'!$D$8,IF($C74="pohon durian",'04_Planting_Design'!$F$8,IF($C74="rumpun pisang",'04_Planting_Design'!$H$8,IF($C74="nanas hidup",$K$6,IF($C74="unit pendukung hidup",$K$7,1))))))))</f>
        <v>0</v>
      </c>
      <c r="H74" s="74">
        <f>$A74*$D74*IF($C74="ha bruto",'02_Assumptions'!$C$6,IF($C74="ha efektif",'02_Assumptions'!$C$24,IF($C74="lokasi",4,IF($C74="pohon kelapa",'04_Planting_Design'!$D$8,IF($C74="pohon durian",'04_Planting_Design'!$F$8,IF($C74="rumpun pisang",'04_Planting_Design'!$H$8,IF($C74="nanas hidup",$K$6,IF($C74="unit pendukung hidup",$K$7,1))))))))</f>
        <v>0</v>
      </c>
      <c r="I74" s="37">
        <f t="shared" si="17"/>
        <v>0</v>
      </c>
      <c r="J74" s="37">
        <f t="shared" si="18"/>
        <v>0</v>
      </c>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row>
    <row r="75" spans="1:36">
      <c r="A75" s="79">
        <v>0</v>
      </c>
      <c r="B75" s="79" t="s">
        <v>1668</v>
      </c>
      <c r="C75" s="79" t="s">
        <v>1665</v>
      </c>
      <c r="D75" s="79">
        <v>1</v>
      </c>
      <c r="E75" s="79" t="s">
        <v>1666</v>
      </c>
      <c r="F75" s="77">
        <v>0</v>
      </c>
      <c r="G75" s="74">
        <f>$A75*$D75*IF($C75="ha bruto",'02_Assumptions'!$C$6,IF($C75="ha efektif",'02_Assumptions'!$C$24,IF($C75="lokasi",1,IF($C75="pohon kelapa",'04_Planting_Design'!$D$8,IF($C75="pohon durian",'04_Planting_Design'!$F$8,IF($C75="rumpun pisang",'04_Planting_Design'!$H$8,IF($C75="nanas hidup",$K$6,IF($C75="unit pendukung hidup",$K$7,1))))))))</f>
        <v>0</v>
      </c>
      <c r="H75" s="74">
        <f>$A75*$D75*IF($C75="ha bruto",'02_Assumptions'!$C$6,IF($C75="ha efektif",'02_Assumptions'!$C$24,IF($C75="lokasi",4,IF($C75="pohon kelapa",'04_Planting_Design'!$D$8,IF($C75="pohon durian",'04_Planting_Design'!$F$8,IF($C75="rumpun pisang",'04_Planting_Design'!$H$8,IF($C75="nanas hidup",$K$6,IF($C75="unit pendukung hidup",$K$7,1))))))))</f>
        <v>0</v>
      </c>
      <c r="I75" s="37">
        <f t="shared" si="17"/>
        <v>0</v>
      </c>
      <c r="J75" s="37">
        <f t="shared" si="18"/>
        <v>0</v>
      </c>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row>
    <row r="76" spans="1:36">
      <c r="A76" s="79">
        <v>0</v>
      </c>
      <c r="B76" s="79" t="s">
        <v>1669</v>
      </c>
      <c r="C76" s="79" t="s">
        <v>1665</v>
      </c>
      <c r="D76" s="79">
        <v>1</v>
      </c>
      <c r="E76" s="79" t="s">
        <v>1666</v>
      </c>
      <c r="F76" s="77">
        <v>0</v>
      </c>
      <c r="G76" s="74">
        <f>$A76*$D76*IF($C76="ha bruto",'02_Assumptions'!$C$6,IF($C76="ha efektif",'02_Assumptions'!$C$24,IF($C76="lokasi",1,IF($C76="pohon kelapa",'04_Planting_Design'!$D$8,IF($C76="pohon durian",'04_Planting_Design'!$F$8,IF($C76="rumpun pisang",'04_Planting_Design'!$H$8,IF($C76="nanas hidup",$K$6,IF($C76="unit pendukung hidup",$K$7,1))))))))</f>
        <v>0</v>
      </c>
      <c r="H76" s="74">
        <f>$A76*$D76*IF($C76="ha bruto",'02_Assumptions'!$C$6,IF($C76="ha efektif",'02_Assumptions'!$C$24,IF($C76="lokasi",4,IF($C76="pohon kelapa",'04_Planting_Design'!$D$8,IF($C76="pohon durian",'04_Planting_Design'!$F$8,IF($C76="rumpun pisang",'04_Planting_Design'!$H$8,IF($C76="nanas hidup",$K$6,IF($C76="unit pendukung hidup",$K$7,1))))))))</f>
        <v>0</v>
      </c>
      <c r="I76" s="37">
        <f t="shared" si="17"/>
        <v>0</v>
      </c>
      <c r="J76" s="37">
        <f t="shared" si="18"/>
        <v>0</v>
      </c>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row>
    <row r="77" spans="1:36">
      <c r="A77" s="79">
        <v>0</v>
      </c>
      <c r="B77" s="79" t="s">
        <v>1670</v>
      </c>
      <c r="C77" s="79" t="s">
        <v>1665</v>
      </c>
      <c r="D77" s="79">
        <v>1</v>
      </c>
      <c r="E77" s="79" t="s">
        <v>1666</v>
      </c>
      <c r="F77" s="77">
        <v>0</v>
      </c>
      <c r="G77" s="74">
        <f>$A77*$D77*IF($C77="ha bruto",'02_Assumptions'!$C$6,IF($C77="ha efektif",'02_Assumptions'!$C$24,IF($C77="lokasi",1,IF($C77="pohon kelapa",'04_Planting_Design'!$D$8,IF($C77="pohon durian",'04_Planting_Design'!$F$8,IF($C77="rumpun pisang",'04_Planting_Design'!$H$8,IF($C77="nanas hidup",$K$6,IF($C77="unit pendukung hidup",$K$7,1))))))))</f>
        <v>0</v>
      </c>
      <c r="H77" s="74">
        <f>$A77*$D77*IF($C77="ha bruto",'02_Assumptions'!$C$6,IF($C77="ha efektif",'02_Assumptions'!$C$24,IF($C77="lokasi",4,IF($C77="pohon kelapa",'04_Planting_Design'!$D$8,IF($C77="pohon durian",'04_Planting_Design'!$F$8,IF($C77="rumpun pisang",'04_Planting_Design'!$H$8,IF($C77="nanas hidup",$K$6,IF($C77="unit pendukung hidup",$K$7,1))))))))</f>
        <v>0</v>
      </c>
      <c r="I77" s="37">
        <f t="shared" si="17"/>
        <v>0</v>
      </c>
      <c r="J77" s="37">
        <f t="shared" si="18"/>
        <v>0</v>
      </c>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row>
    <row r="78" spans="1:36">
      <c r="A78" s="79">
        <v>0</v>
      </c>
      <c r="B78" s="79" t="s">
        <v>1671</v>
      </c>
      <c r="C78" s="79" t="s">
        <v>1665</v>
      </c>
      <c r="D78" s="79">
        <v>1</v>
      </c>
      <c r="E78" s="79" t="s">
        <v>1666</v>
      </c>
      <c r="F78" s="77">
        <v>0</v>
      </c>
      <c r="G78" s="74">
        <f>$A78*$D78*IF($C78="ha bruto",'02_Assumptions'!$C$6,IF($C78="ha efektif",'02_Assumptions'!$C$24,IF($C78="lokasi",1,IF($C78="pohon kelapa",'04_Planting_Design'!$D$8,IF($C78="pohon durian",'04_Planting_Design'!$F$8,IF($C78="rumpun pisang",'04_Planting_Design'!$H$8,IF($C78="nanas hidup",$K$6,IF($C78="unit pendukung hidup",$K$7,1))))))))</f>
        <v>0</v>
      </c>
      <c r="H78" s="74">
        <f>$A78*$D78*IF($C78="ha bruto",'02_Assumptions'!$C$6,IF($C78="ha efektif",'02_Assumptions'!$C$24,IF($C78="lokasi",4,IF($C78="pohon kelapa",'04_Planting_Design'!$D$8,IF($C78="pohon durian",'04_Planting_Design'!$F$8,IF($C78="rumpun pisang",'04_Planting_Design'!$H$8,IF($C78="nanas hidup",$K$6,IF($C78="unit pendukung hidup",$K$7,1))))))))</f>
        <v>0</v>
      </c>
      <c r="I78" s="37">
        <f t="shared" si="17"/>
        <v>0</v>
      </c>
      <c r="J78" s="37">
        <f t="shared" si="18"/>
        <v>0</v>
      </c>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row>
    <row r="79" spans="1:36">
      <c r="A79" s="79">
        <v>0</v>
      </c>
      <c r="B79" s="79" t="s">
        <v>1672</v>
      </c>
      <c r="C79" s="79" t="s">
        <v>1665</v>
      </c>
      <c r="D79" s="79">
        <v>1</v>
      </c>
      <c r="E79" s="79" t="s">
        <v>1666</v>
      </c>
      <c r="F79" s="77">
        <v>0</v>
      </c>
      <c r="G79" s="74">
        <f>$A79*$D79*IF($C79="ha bruto",'02_Assumptions'!$C$6,IF($C79="ha efektif",'02_Assumptions'!$C$24,IF($C79="lokasi",1,IF($C79="pohon kelapa",'04_Planting_Design'!$D$8,IF($C79="pohon durian",'04_Planting_Design'!$F$8,IF($C79="rumpun pisang",'04_Planting_Design'!$H$8,IF($C79="nanas hidup",$K$6,IF($C79="unit pendukung hidup",$K$7,1))))))))</f>
        <v>0</v>
      </c>
      <c r="H79" s="74">
        <f>$A79*$D79*IF($C79="ha bruto",'02_Assumptions'!$C$6,IF($C79="ha efektif",'02_Assumptions'!$C$24,IF($C79="lokasi",4,IF($C79="pohon kelapa",'04_Planting_Design'!$D$8,IF($C79="pohon durian",'04_Planting_Design'!$F$8,IF($C79="rumpun pisang",'04_Planting_Design'!$H$8,IF($C79="nanas hidup",$K$6,IF($C79="unit pendukung hidup",$K$7,1))))))))</f>
        <v>0</v>
      </c>
      <c r="I79" s="37">
        <f t="shared" si="17"/>
        <v>0</v>
      </c>
      <c r="J79" s="37">
        <f t="shared" si="18"/>
        <v>0</v>
      </c>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row>
    <row r="80" spans="1:36">
      <c r="A80" s="79">
        <v>0</v>
      </c>
      <c r="B80" s="79" t="s">
        <v>1673</v>
      </c>
      <c r="C80" s="79" t="s">
        <v>1665</v>
      </c>
      <c r="D80" s="79">
        <v>1</v>
      </c>
      <c r="E80" s="79" t="s">
        <v>1666</v>
      </c>
      <c r="F80" s="77">
        <v>0</v>
      </c>
      <c r="G80" s="74">
        <f>$A80*$D80*IF($C80="ha bruto",'02_Assumptions'!$C$6,IF($C80="ha efektif",'02_Assumptions'!$C$24,IF($C80="lokasi",1,IF($C80="pohon kelapa",'04_Planting_Design'!$D$8,IF($C80="pohon durian",'04_Planting_Design'!$F$8,IF($C80="rumpun pisang",'04_Planting_Design'!$H$8,IF($C80="nanas hidup",$K$6,IF($C80="unit pendukung hidup",$K$7,1))))))))</f>
        <v>0</v>
      </c>
      <c r="H80" s="74">
        <f>$A80*$D80*IF($C80="ha bruto",'02_Assumptions'!$C$6,IF($C80="ha efektif",'02_Assumptions'!$C$24,IF($C80="lokasi",4,IF($C80="pohon kelapa",'04_Planting_Design'!$D$8,IF($C80="pohon durian",'04_Planting_Design'!$F$8,IF($C80="rumpun pisang",'04_Planting_Design'!$H$8,IF($C80="nanas hidup",$K$6,IF($C80="unit pendukung hidup",$K$7,1))))))))</f>
        <v>0</v>
      </c>
      <c r="I80" s="37">
        <f t="shared" si="17"/>
        <v>0</v>
      </c>
      <c r="J80" s="37">
        <f t="shared" si="18"/>
        <v>0</v>
      </c>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row>
    <row r="81" spans="1:36">
      <c r="A81" s="79">
        <v>0</v>
      </c>
      <c r="B81" s="79" t="s">
        <v>1674</v>
      </c>
      <c r="C81" s="79" t="s">
        <v>1665</v>
      </c>
      <c r="D81" s="79">
        <v>1</v>
      </c>
      <c r="E81" s="79" t="s">
        <v>1666</v>
      </c>
      <c r="F81" s="77">
        <v>0</v>
      </c>
      <c r="G81" s="74">
        <f>$A81*$D81*IF($C81="ha bruto",'02_Assumptions'!$C$6,IF($C81="ha efektif",'02_Assumptions'!$C$24,IF($C81="lokasi",1,IF($C81="pohon kelapa",'04_Planting_Design'!$D$8,IF($C81="pohon durian",'04_Planting_Design'!$F$8,IF($C81="rumpun pisang",'04_Planting_Design'!$H$8,IF($C81="nanas hidup",$K$6,IF($C81="unit pendukung hidup",$K$7,1))))))))</f>
        <v>0</v>
      </c>
      <c r="H81" s="74">
        <f>$A81*$D81*IF($C81="ha bruto",'02_Assumptions'!$C$6,IF($C81="ha efektif",'02_Assumptions'!$C$24,IF($C81="lokasi",4,IF($C81="pohon kelapa",'04_Planting_Design'!$D$8,IF($C81="pohon durian",'04_Planting_Design'!$F$8,IF($C81="rumpun pisang",'04_Planting_Design'!$H$8,IF($C81="nanas hidup",$K$6,IF($C81="unit pendukung hidup",$K$7,1))))))))</f>
        <v>0</v>
      </c>
      <c r="I81" s="37">
        <f t="shared" si="17"/>
        <v>0</v>
      </c>
      <c r="J81" s="37">
        <f t="shared" si="18"/>
        <v>0</v>
      </c>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row>
    <row r="82" spans="1:36">
      <c r="A82" s="79">
        <v>0</v>
      </c>
      <c r="B82" s="79" t="s">
        <v>1675</v>
      </c>
      <c r="C82" s="79" t="s">
        <v>1665</v>
      </c>
      <c r="D82" s="79">
        <v>1</v>
      </c>
      <c r="E82" s="79" t="s">
        <v>1666</v>
      </c>
      <c r="F82" s="77">
        <v>0</v>
      </c>
      <c r="G82" s="74">
        <f>$A82*$D82*IF($C82="ha bruto",'02_Assumptions'!$C$6,IF($C82="ha efektif",'02_Assumptions'!$C$24,IF($C82="lokasi",1,IF($C82="pohon kelapa",'04_Planting_Design'!$D$8,IF($C82="pohon durian",'04_Planting_Design'!$F$8,IF($C82="rumpun pisang",'04_Planting_Design'!$H$8,IF($C82="nanas hidup",$K$6,IF($C82="unit pendukung hidup",$K$7,1))))))))</f>
        <v>0</v>
      </c>
      <c r="H82" s="74">
        <f>$A82*$D82*IF($C82="ha bruto",'02_Assumptions'!$C$6,IF($C82="ha efektif",'02_Assumptions'!$C$24,IF($C82="lokasi",4,IF($C82="pohon kelapa",'04_Planting_Design'!$D$8,IF($C82="pohon durian",'04_Planting_Design'!$F$8,IF($C82="rumpun pisang",'04_Planting_Design'!$H$8,IF($C82="nanas hidup",$K$6,IF($C82="unit pendukung hidup",$K$7,1))))))))</f>
        <v>0</v>
      </c>
      <c r="I82" s="37">
        <f t="shared" si="17"/>
        <v>0</v>
      </c>
      <c r="J82" s="37">
        <f t="shared" si="18"/>
        <v>0</v>
      </c>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row>
    <row r="83" spans="1:36">
      <c r="A83" s="18"/>
      <c r="B83" s="18"/>
      <c r="C83" s="18"/>
      <c r="D83" s="18"/>
      <c r="E83" s="18"/>
      <c r="F83" s="18"/>
      <c r="G83" s="18"/>
      <c r="H83" s="18"/>
      <c r="I83" s="37"/>
      <c r="J83" s="37"/>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row>
    <row r="84" spans="1:36">
      <c r="A84" s="263" t="s">
        <v>1676</v>
      </c>
      <c r="B84" s="263"/>
      <c r="C84" s="263"/>
      <c r="D84" s="263"/>
      <c r="E84" s="263"/>
      <c r="F84" s="263"/>
      <c r="G84" s="263"/>
      <c r="H84" s="263"/>
      <c r="I84" s="80">
        <f>SUM(I73:I82)</f>
        <v>0</v>
      </c>
      <c r="J84" s="80">
        <f>SUM(J73:J82)</f>
        <v>0</v>
      </c>
      <c r="K84" s="80"/>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row>
    <row r="85" spans="1:36">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row>
    <row r="86" spans="1:3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row>
    <row r="87" spans="1:36" ht="20" customHeight="1">
      <c r="A87" s="278" t="s">
        <v>1677</v>
      </c>
      <c r="B87" s="278"/>
      <c r="C87" s="278"/>
      <c r="D87" s="278"/>
      <c r="E87" s="278"/>
      <c r="F87" s="278"/>
      <c r="G87" s="278"/>
      <c r="H87" s="278"/>
      <c r="I87" s="278"/>
      <c r="J87" s="278"/>
      <c r="K87" s="278"/>
      <c r="L87" s="278"/>
      <c r="M87" s="278"/>
      <c r="N87" s="278"/>
      <c r="O87" s="278"/>
      <c r="P87" s="278"/>
      <c r="Q87" s="278"/>
      <c r="R87" s="278"/>
      <c r="S87" s="18"/>
      <c r="T87" s="18"/>
      <c r="U87" s="18"/>
      <c r="V87" s="18"/>
      <c r="W87" s="18"/>
      <c r="X87" s="18"/>
      <c r="Y87" s="18"/>
      <c r="Z87" s="18"/>
      <c r="AA87" s="18"/>
      <c r="AB87" s="18"/>
      <c r="AC87" s="18"/>
      <c r="AD87" s="18"/>
      <c r="AE87" s="18"/>
      <c r="AF87" s="18"/>
      <c r="AG87" s="18"/>
      <c r="AH87" s="18"/>
      <c r="AI87" s="18"/>
      <c r="AJ87" s="18"/>
    </row>
    <row r="88" spans="1:36" ht="32" customHeight="1">
      <c r="A88" s="71" t="s">
        <v>473</v>
      </c>
      <c r="B88" s="71" t="s">
        <v>1662</v>
      </c>
      <c r="C88" s="71" t="s">
        <v>757</v>
      </c>
      <c r="D88" s="71" t="s">
        <v>1663</v>
      </c>
      <c r="E88" s="71" t="s">
        <v>851</v>
      </c>
      <c r="F88" s="71" t="s">
        <v>1678</v>
      </c>
      <c r="G88" s="71" t="s">
        <v>1679</v>
      </c>
      <c r="H88" s="71" t="s">
        <v>440</v>
      </c>
      <c r="I88" s="71" t="s">
        <v>441</v>
      </c>
      <c r="J88" s="71" t="s">
        <v>442</v>
      </c>
      <c r="K88" s="71" t="s">
        <v>443</v>
      </c>
      <c r="L88" s="71" t="s">
        <v>444</v>
      </c>
      <c r="M88" s="71" t="s">
        <v>445</v>
      </c>
      <c r="N88" s="71" t="s">
        <v>446</v>
      </c>
      <c r="O88" s="71" t="s">
        <v>447</v>
      </c>
      <c r="P88" s="71" t="s">
        <v>448</v>
      </c>
      <c r="Q88" s="71" t="s">
        <v>449</v>
      </c>
      <c r="R88" s="71" t="s">
        <v>140</v>
      </c>
      <c r="S88" s="18"/>
      <c r="T88" s="18"/>
      <c r="U88" s="18"/>
      <c r="V88" s="18"/>
      <c r="W88" s="18"/>
      <c r="X88" s="18"/>
      <c r="Y88" s="18"/>
      <c r="Z88" s="18"/>
      <c r="AA88" s="18"/>
      <c r="AB88" s="18"/>
      <c r="AC88" s="18"/>
      <c r="AD88" s="18"/>
      <c r="AE88" s="18"/>
      <c r="AF88" s="18"/>
      <c r="AG88" s="18"/>
      <c r="AH88" s="18"/>
      <c r="AI88" s="18"/>
      <c r="AJ88" s="18"/>
    </row>
    <row r="89" spans="1:36">
      <c r="A89" s="79">
        <v>0</v>
      </c>
      <c r="B89" s="79" t="s">
        <v>1680</v>
      </c>
      <c r="C89" s="79" t="s">
        <v>1665</v>
      </c>
      <c r="D89" s="79">
        <v>1</v>
      </c>
      <c r="E89" s="77">
        <v>0</v>
      </c>
      <c r="F89" s="79">
        <v>1</v>
      </c>
      <c r="G89" s="79">
        <v>10</v>
      </c>
      <c r="H89" s="37">
        <f>IF(AND(1&gt;=$F89,1&lt;=$G89),$A89*$D89*$E89*IF($C89="ha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hidup",$K$7,1))))))))*(1+'02_Assumptions'!$C$11)^0,0)</f>
        <v>0</v>
      </c>
      <c r="I89" s="37">
        <f>IF(AND(2&gt;=$F89,2&lt;=$G89),$A89*$D89*$E89*IF($C89="ha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hidup",$K$7,1))))))))*(1+'02_Assumptions'!$C$11)^1,0)</f>
        <v>0</v>
      </c>
      <c r="J89" s="37">
        <f>IF(AND(3&gt;=$F89,3&lt;=$G89),$A89*$D89*$E89*IF($C89="ha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hidup",$K$7,1))))))))*(1+'02_Assumptions'!$C$11)^2,0)</f>
        <v>0</v>
      </c>
      <c r="K89" s="37">
        <f>IF(AND(4&gt;=$F89,4&lt;=$G89),$A89*$D89*$E89*IF($C89="ha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hidup",$K$7,1))))))))*(1+'02_Assumptions'!$C$11)^3,0)</f>
        <v>0</v>
      </c>
      <c r="L89" s="37">
        <f>IF(AND(5&gt;=$F89,5&lt;=$G89),$A89*$D89*$E89*IF($C89="ha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hidup",$K$7,1))))))))*(1+'02_Assumptions'!$C$11)^4,0)</f>
        <v>0</v>
      </c>
      <c r="M89" s="37">
        <f>IF(AND(6&gt;=$F89,6&lt;=$G89),$A89*$D89*$E89*IF($C89="ha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hidup",$K$7,1))))))))*(1+'02_Assumptions'!$C$11)^5,0)</f>
        <v>0</v>
      </c>
      <c r="N89" s="37">
        <f>IF(AND(7&gt;=$F89,7&lt;=$G89),$A89*$D89*$E89*IF($C89="ha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hidup",$K$7,1))))))))*(1+'02_Assumptions'!$C$11)^6,0)</f>
        <v>0</v>
      </c>
      <c r="O89" s="37">
        <f>IF(AND(8&gt;=$F89,8&lt;=$G89),$A89*$D89*$E89*IF($C89="ha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hidup",$K$7,1))))))))*(1+'02_Assumptions'!$C$11)^7,0)</f>
        <v>0</v>
      </c>
      <c r="P89" s="37">
        <f>IF(AND(9&gt;=$F89,9&lt;=$G89),$A89*$D89*$E89*IF($C89="ha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hidup",$K$7,1))))))))*(1+'02_Assumptions'!$C$11)^8,0)</f>
        <v>0</v>
      </c>
      <c r="Q89" s="37">
        <f>IF(AND(10&gt;=$F89,10&lt;=$G89),$A89*$D89*$E89*IF($C89="ha bruto",'02_Assumptions'!$C$6,IF($C89="ha efektif",'02_Assumptions'!$C$24,IF($C89="lokasi",'02_Assumptions'!$C$8,IF($C89="pohon kelapa",'04_Planting_Design'!$D$24,IF($C89="pohon durian",'04_Planting_Design'!$D$25,IF($C89="rumpun pisang",'04_Planting_Design'!$D$26,IF($C89="nanas hidup",$K$6,IF($C89="unit pendukung hidup",$K$7,1))))))))*(1+'02_Assumptions'!$C$11)^9,0)</f>
        <v>0</v>
      </c>
      <c r="R89" s="18"/>
      <c r="S89" s="18"/>
      <c r="T89" s="18"/>
      <c r="U89" s="18"/>
      <c r="V89" s="18"/>
      <c r="W89" s="18"/>
      <c r="X89" s="18"/>
      <c r="Y89" s="18"/>
      <c r="Z89" s="18"/>
      <c r="AA89" s="18"/>
      <c r="AB89" s="18"/>
      <c r="AC89" s="18"/>
      <c r="AD89" s="18"/>
      <c r="AE89" s="18"/>
      <c r="AF89" s="18"/>
      <c r="AG89" s="18"/>
      <c r="AH89" s="18"/>
      <c r="AI89" s="18"/>
      <c r="AJ89" s="18"/>
    </row>
    <row r="90" spans="1:36">
      <c r="A90" s="79">
        <v>0</v>
      </c>
      <c r="B90" s="79" t="s">
        <v>1681</v>
      </c>
      <c r="C90" s="79" t="s">
        <v>1665</v>
      </c>
      <c r="D90" s="79">
        <v>1</v>
      </c>
      <c r="E90" s="77">
        <v>0</v>
      </c>
      <c r="F90" s="79">
        <v>1</v>
      </c>
      <c r="G90" s="79">
        <v>10</v>
      </c>
      <c r="H90" s="37">
        <f>IF(AND(1&gt;=$F90,1&lt;=$G90),$A90*$D90*$E90*IF($C90="ha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hidup",$K$7,1))))))))*(1+'02_Assumptions'!$C$11)^0,0)</f>
        <v>0</v>
      </c>
      <c r="I90" s="37">
        <f>IF(AND(2&gt;=$F90,2&lt;=$G90),$A90*$D90*$E90*IF($C90="ha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hidup",$K$7,1))))))))*(1+'02_Assumptions'!$C$11)^1,0)</f>
        <v>0</v>
      </c>
      <c r="J90" s="37">
        <f>IF(AND(3&gt;=$F90,3&lt;=$G90),$A90*$D90*$E90*IF($C90="ha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hidup",$K$7,1))))))))*(1+'02_Assumptions'!$C$11)^2,0)</f>
        <v>0</v>
      </c>
      <c r="K90" s="37">
        <f>IF(AND(4&gt;=$F90,4&lt;=$G90),$A90*$D90*$E90*IF($C90="ha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hidup",$K$7,1))))))))*(1+'02_Assumptions'!$C$11)^3,0)</f>
        <v>0</v>
      </c>
      <c r="L90" s="37">
        <f>IF(AND(5&gt;=$F90,5&lt;=$G90),$A90*$D90*$E90*IF($C90="ha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hidup",$K$7,1))))))))*(1+'02_Assumptions'!$C$11)^4,0)</f>
        <v>0</v>
      </c>
      <c r="M90" s="37">
        <f>IF(AND(6&gt;=$F90,6&lt;=$G90),$A90*$D90*$E90*IF($C90="ha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hidup",$K$7,1))))))))*(1+'02_Assumptions'!$C$11)^5,0)</f>
        <v>0</v>
      </c>
      <c r="N90" s="37">
        <f>IF(AND(7&gt;=$F90,7&lt;=$G90),$A90*$D90*$E90*IF($C90="ha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hidup",$K$7,1))))))))*(1+'02_Assumptions'!$C$11)^6,0)</f>
        <v>0</v>
      </c>
      <c r="O90" s="37">
        <f>IF(AND(8&gt;=$F90,8&lt;=$G90),$A90*$D90*$E90*IF($C90="ha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hidup",$K$7,1))))))))*(1+'02_Assumptions'!$C$11)^7,0)</f>
        <v>0</v>
      </c>
      <c r="P90" s="37">
        <f>IF(AND(9&gt;=$F90,9&lt;=$G90),$A90*$D90*$E90*IF($C90="ha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hidup",$K$7,1))))))))*(1+'02_Assumptions'!$C$11)^8,0)</f>
        <v>0</v>
      </c>
      <c r="Q90" s="37">
        <f>IF(AND(10&gt;=$F90,10&lt;=$G90),$A90*$D90*$E90*IF($C90="ha bruto",'02_Assumptions'!$C$6,IF($C90="ha efektif",'02_Assumptions'!$C$24,IF($C90="lokasi",'02_Assumptions'!$C$8,IF($C90="pohon kelapa",'04_Planting_Design'!$D$24,IF($C90="pohon durian",'04_Planting_Design'!$D$25,IF($C90="rumpun pisang",'04_Planting_Design'!$D$26,IF($C90="nanas hidup",$K$6,IF($C90="unit pendukung hidup",$K$7,1))))))))*(1+'02_Assumptions'!$C$11)^9,0)</f>
        <v>0</v>
      </c>
      <c r="R90" s="18"/>
      <c r="S90" s="18"/>
      <c r="T90" s="18"/>
      <c r="U90" s="18"/>
      <c r="V90" s="18"/>
      <c r="W90" s="18"/>
      <c r="X90" s="18"/>
      <c r="Y90" s="18"/>
      <c r="Z90" s="18"/>
      <c r="AA90" s="18"/>
      <c r="AB90" s="18"/>
      <c r="AC90" s="18"/>
      <c r="AD90" s="18"/>
      <c r="AE90" s="18"/>
      <c r="AF90" s="18"/>
      <c r="AG90" s="18"/>
      <c r="AH90" s="18"/>
      <c r="AI90" s="18"/>
      <c r="AJ90" s="18"/>
    </row>
    <row r="91" spans="1:36">
      <c r="A91" s="79">
        <v>0</v>
      </c>
      <c r="B91" s="79" t="s">
        <v>1682</v>
      </c>
      <c r="C91" s="79" t="s">
        <v>1665</v>
      </c>
      <c r="D91" s="79">
        <v>1</v>
      </c>
      <c r="E91" s="77">
        <v>0</v>
      </c>
      <c r="F91" s="79">
        <v>1</v>
      </c>
      <c r="G91" s="79">
        <v>10</v>
      </c>
      <c r="H91" s="37">
        <f>IF(AND(1&gt;=$F91,1&lt;=$G91),$A91*$D91*$E91*IF($C91="ha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hidup",$K$7,1))))))))*(1+'02_Assumptions'!$C$11)^0,0)</f>
        <v>0</v>
      </c>
      <c r="I91" s="37">
        <f>IF(AND(2&gt;=$F91,2&lt;=$G91),$A91*$D91*$E91*IF($C91="ha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hidup",$K$7,1))))))))*(1+'02_Assumptions'!$C$11)^1,0)</f>
        <v>0</v>
      </c>
      <c r="J91" s="37">
        <f>IF(AND(3&gt;=$F91,3&lt;=$G91),$A91*$D91*$E91*IF($C91="ha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hidup",$K$7,1))))))))*(1+'02_Assumptions'!$C$11)^2,0)</f>
        <v>0</v>
      </c>
      <c r="K91" s="37">
        <f>IF(AND(4&gt;=$F91,4&lt;=$G91),$A91*$D91*$E91*IF($C91="ha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hidup",$K$7,1))))))))*(1+'02_Assumptions'!$C$11)^3,0)</f>
        <v>0</v>
      </c>
      <c r="L91" s="37">
        <f>IF(AND(5&gt;=$F91,5&lt;=$G91),$A91*$D91*$E91*IF($C91="ha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hidup",$K$7,1))))))))*(1+'02_Assumptions'!$C$11)^4,0)</f>
        <v>0</v>
      </c>
      <c r="M91" s="37">
        <f>IF(AND(6&gt;=$F91,6&lt;=$G91),$A91*$D91*$E91*IF($C91="ha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hidup",$K$7,1))))))))*(1+'02_Assumptions'!$C$11)^5,0)</f>
        <v>0</v>
      </c>
      <c r="N91" s="37">
        <f>IF(AND(7&gt;=$F91,7&lt;=$G91),$A91*$D91*$E91*IF($C91="ha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hidup",$K$7,1))))))))*(1+'02_Assumptions'!$C$11)^6,0)</f>
        <v>0</v>
      </c>
      <c r="O91" s="37">
        <f>IF(AND(8&gt;=$F91,8&lt;=$G91),$A91*$D91*$E91*IF($C91="ha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hidup",$K$7,1))))))))*(1+'02_Assumptions'!$C$11)^7,0)</f>
        <v>0</v>
      </c>
      <c r="P91" s="37">
        <f>IF(AND(9&gt;=$F91,9&lt;=$G91),$A91*$D91*$E91*IF($C91="ha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hidup",$K$7,1))))))))*(1+'02_Assumptions'!$C$11)^8,0)</f>
        <v>0</v>
      </c>
      <c r="Q91" s="37">
        <f>IF(AND(10&gt;=$F91,10&lt;=$G91),$A91*$D91*$E91*IF($C91="ha bruto",'02_Assumptions'!$C$6,IF($C91="ha efektif",'02_Assumptions'!$C$24,IF($C91="lokasi",'02_Assumptions'!$C$8,IF($C91="pohon kelapa",'04_Planting_Design'!$D$24,IF($C91="pohon durian",'04_Planting_Design'!$D$25,IF($C91="rumpun pisang",'04_Planting_Design'!$D$26,IF($C91="nanas hidup",$K$6,IF($C91="unit pendukung hidup",$K$7,1))))))))*(1+'02_Assumptions'!$C$11)^9,0)</f>
        <v>0</v>
      </c>
      <c r="R91" s="18"/>
      <c r="S91" s="18"/>
      <c r="T91" s="18"/>
      <c r="U91" s="18"/>
      <c r="V91" s="18"/>
      <c r="W91" s="18"/>
      <c r="X91" s="18"/>
      <c r="Y91" s="18"/>
      <c r="Z91" s="18"/>
      <c r="AA91" s="18"/>
      <c r="AB91" s="18"/>
      <c r="AC91" s="18"/>
      <c r="AD91" s="18"/>
      <c r="AE91" s="18"/>
      <c r="AF91" s="18"/>
      <c r="AG91" s="18"/>
      <c r="AH91" s="18"/>
      <c r="AI91" s="18"/>
      <c r="AJ91" s="18"/>
    </row>
    <row r="92" spans="1:36">
      <c r="A92" s="79">
        <v>0</v>
      </c>
      <c r="B92" s="79" t="s">
        <v>1683</v>
      </c>
      <c r="C92" s="79" t="s">
        <v>1665</v>
      </c>
      <c r="D92" s="79">
        <v>1</v>
      </c>
      <c r="E92" s="77">
        <v>0</v>
      </c>
      <c r="F92" s="79">
        <v>1</v>
      </c>
      <c r="G92" s="79">
        <v>10</v>
      </c>
      <c r="H92" s="37">
        <f>IF(AND(1&gt;=$F92,1&lt;=$G92),$A92*$D92*$E92*IF($C92="ha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hidup",$K$7,1))))))))*(1+'02_Assumptions'!$C$11)^0,0)</f>
        <v>0</v>
      </c>
      <c r="I92" s="37">
        <f>IF(AND(2&gt;=$F92,2&lt;=$G92),$A92*$D92*$E92*IF($C92="ha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hidup",$K$7,1))))))))*(1+'02_Assumptions'!$C$11)^1,0)</f>
        <v>0</v>
      </c>
      <c r="J92" s="37">
        <f>IF(AND(3&gt;=$F92,3&lt;=$G92),$A92*$D92*$E92*IF($C92="ha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hidup",$K$7,1))))))))*(1+'02_Assumptions'!$C$11)^2,0)</f>
        <v>0</v>
      </c>
      <c r="K92" s="37">
        <f>IF(AND(4&gt;=$F92,4&lt;=$G92),$A92*$D92*$E92*IF($C92="ha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hidup",$K$7,1))))))))*(1+'02_Assumptions'!$C$11)^3,0)</f>
        <v>0</v>
      </c>
      <c r="L92" s="37">
        <f>IF(AND(5&gt;=$F92,5&lt;=$G92),$A92*$D92*$E92*IF($C92="ha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hidup",$K$7,1))))))))*(1+'02_Assumptions'!$C$11)^4,0)</f>
        <v>0</v>
      </c>
      <c r="M92" s="37">
        <f>IF(AND(6&gt;=$F92,6&lt;=$G92),$A92*$D92*$E92*IF($C92="ha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hidup",$K$7,1))))))))*(1+'02_Assumptions'!$C$11)^5,0)</f>
        <v>0</v>
      </c>
      <c r="N92" s="37">
        <f>IF(AND(7&gt;=$F92,7&lt;=$G92),$A92*$D92*$E92*IF($C92="ha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hidup",$K$7,1))))))))*(1+'02_Assumptions'!$C$11)^6,0)</f>
        <v>0</v>
      </c>
      <c r="O92" s="37">
        <f>IF(AND(8&gt;=$F92,8&lt;=$G92),$A92*$D92*$E92*IF($C92="ha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hidup",$K$7,1))))))))*(1+'02_Assumptions'!$C$11)^7,0)</f>
        <v>0</v>
      </c>
      <c r="P92" s="37">
        <f>IF(AND(9&gt;=$F92,9&lt;=$G92),$A92*$D92*$E92*IF($C92="ha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hidup",$K$7,1))))))))*(1+'02_Assumptions'!$C$11)^8,0)</f>
        <v>0</v>
      </c>
      <c r="Q92" s="37">
        <f>IF(AND(10&gt;=$F92,10&lt;=$G92),$A92*$D92*$E92*IF($C92="ha bruto",'02_Assumptions'!$C$6,IF($C92="ha efektif",'02_Assumptions'!$C$24,IF($C92="lokasi",'02_Assumptions'!$C$8,IF($C92="pohon kelapa",'04_Planting_Design'!$D$24,IF($C92="pohon durian",'04_Planting_Design'!$D$25,IF($C92="rumpun pisang",'04_Planting_Design'!$D$26,IF($C92="nanas hidup",$K$6,IF($C92="unit pendukung hidup",$K$7,1))))))))*(1+'02_Assumptions'!$C$11)^9,0)</f>
        <v>0</v>
      </c>
      <c r="R92" s="18"/>
      <c r="S92" s="18"/>
      <c r="T92" s="18"/>
      <c r="U92" s="18"/>
      <c r="V92" s="18"/>
      <c r="W92" s="18"/>
      <c r="X92" s="18"/>
      <c r="Y92" s="18"/>
      <c r="Z92" s="18"/>
      <c r="AA92" s="18"/>
      <c r="AB92" s="18"/>
      <c r="AC92" s="18"/>
      <c r="AD92" s="18"/>
      <c r="AE92" s="18"/>
      <c r="AF92" s="18"/>
      <c r="AG92" s="18"/>
      <c r="AH92" s="18"/>
      <c r="AI92" s="18"/>
      <c r="AJ92" s="18"/>
    </row>
    <row r="93" spans="1:36">
      <c r="A93" s="79">
        <v>0</v>
      </c>
      <c r="B93" s="79" t="s">
        <v>1684</v>
      </c>
      <c r="C93" s="79" t="s">
        <v>1665</v>
      </c>
      <c r="D93" s="79">
        <v>1</v>
      </c>
      <c r="E93" s="77">
        <v>0</v>
      </c>
      <c r="F93" s="79">
        <v>1</v>
      </c>
      <c r="G93" s="79">
        <v>10</v>
      </c>
      <c r="H93" s="37">
        <f>IF(AND(1&gt;=$F93,1&lt;=$G93),$A93*$D93*$E93*IF($C93="ha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hidup",$K$7,1))))))))*(1+'02_Assumptions'!$C$11)^0,0)</f>
        <v>0</v>
      </c>
      <c r="I93" s="37">
        <f>IF(AND(2&gt;=$F93,2&lt;=$G93),$A93*$D93*$E93*IF($C93="ha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hidup",$K$7,1))))))))*(1+'02_Assumptions'!$C$11)^1,0)</f>
        <v>0</v>
      </c>
      <c r="J93" s="37">
        <f>IF(AND(3&gt;=$F93,3&lt;=$G93),$A93*$D93*$E93*IF($C93="ha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hidup",$K$7,1))))))))*(1+'02_Assumptions'!$C$11)^2,0)</f>
        <v>0</v>
      </c>
      <c r="K93" s="37">
        <f>IF(AND(4&gt;=$F93,4&lt;=$G93),$A93*$D93*$E93*IF($C93="ha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hidup",$K$7,1))))))))*(1+'02_Assumptions'!$C$11)^3,0)</f>
        <v>0</v>
      </c>
      <c r="L93" s="37">
        <f>IF(AND(5&gt;=$F93,5&lt;=$G93),$A93*$D93*$E93*IF($C93="ha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hidup",$K$7,1))))))))*(1+'02_Assumptions'!$C$11)^4,0)</f>
        <v>0</v>
      </c>
      <c r="M93" s="37">
        <f>IF(AND(6&gt;=$F93,6&lt;=$G93),$A93*$D93*$E93*IF($C93="ha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hidup",$K$7,1))))))))*(1+'02_Assumptions'!$C$11)^5,0)</f>
        <v>0</v>
      </c>
      <c r="N93" s="37">
        <f>IF(AND(7&gt;=$F93,7&lt;=$G93),$A93*$D93*$E93*IF($C93="ha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hidup",$K$7,1))))))))*(1+'02_Assumptions'!$C$11)^6,0)</f>
        <v>0</v>
      </c>
      <c r="O93" s="37">
        <f>IF(AND(8&gt;=$F93,8&lt;=$G93),$A93*$D93*$E93*IF($C93="ha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hidup",$K$7,1))))))))*(1+'02_Assumptions'!$C$11)^7,0)</f>
        <v>0</v>
      </c>
      <c r="P93" s="37">
        <f>IF(AND(9&gt;=$F93,9&lt;=$G93),$A93*$D93*$E93*IF($C93="ha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hidup",$K$7,1))))))))*(1+'02_Assumptions'!$C$11)^8,0)</f>
        <v>0</v>
      </c>
      <c r="Q93" s="37">
        <f>IF(AND(10&gt;=$F93,10&lt;=$G93),$A93*$D93*$E93*IF($C93="ha bruto",'02_Assumptions'!$C$6,IF($C93="ha efektif",'02_Assumptions'!$C$24,IF($C93="lokasi",'02_Assumptions'!$C$8,IF($C93="pohon kelapa",'04_Planting_Design'!$D$24,IF($C93="pohon durian",'04_Planting_Design'!$D$25,IF($C93="rumpun pisang",'04_Planting_Design'!$D$26,IF($C93="nanas hidup",$K$6,IF($C93="unit pendukung hidup",$K$7,1))))))))*(1+'02_Assumptions'!$C$11)^9,0)</f>
        <v>0</v>
      </c>
      <c r="R93" s="18"/>
      <c r="S93" s="18"/>
      <c r="T93" s="18"/>
      <c r="U93" s="18"/>
      <c r="V93" s="18"/>
      <c r="W93" s="18"/>
      <c r="X93" s="18"/>
      <c r="Y93" s="18"/>
      <c r="Z93" s="18"/>
      <c r="AA93" s="18"/>
      <c r="AB93" s="18"/>
      <c r="AC93" s="18"/>
      <c r="AD93" s="18"/>
      <c r="AE93" s="18"/>
      <c r="AF93" s="18"/>
      <c r="AG93" s="18"/>
      <c r="AH93" s="18"/>
      <c r="AI93" s="18"/>
      <c r="AJ93" s="18"/>
    </row>
    <row r="94" spans="1:36">
      <c r="A94" s="79">
        <v>0</v>
      </c>
      <c r="B94" s="79" t="s">
        <v>1685</v>
      </c>
      <c r="C94" s="79" t="s">
        <v>1665</v>
      </c>
      <c r="D94" s="79">
        <v>1</v>
      </c>
      <c r="E94" s="77">
        <v>0</v>
      </c>
      <c r="F94" s="79">
        <v>1</v>
      </c>
      <c r="G94" s="79">
        <v>10</v>
      </c>
      <c r="H94" s="37">
        <f>IF(AND(1&gt;=$F94,1&lt;=$G94),$A94*$D94*$E94*IF($C94="ha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hidup",$K$7,1))))))))*(1+'02_Assumptions'!$C$11)^0,0)</f>
        <v>0</v>
      </c>
      <c r="I94" s="37">
        <f>IF(AND(2&gt;=$F94,2&lt;=$G94),$A94*$D94*$E94*IF($C94="ha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hidup",$K$7,1))))))))*(1+'02_Assumptions'!$C$11)^1,0)</f>
        <v>0</v>
      </c>
      <c r="J94" s="37">
        <f>IF(AND(3&gt;=$F94,3&lt;=$G94),$A94*$D94*$E94*IF($C94="ha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hidup",$K$7,1))))))))*(1+'02_Assumptions'!$C$11)^2,0)</f>
        <v>0</v>
      </c>
      <c r="K94" s="37">
        <f>IF(AND(4&gt;=$F94,4&lt;=$G94),$A94*$D94*$E94*IF($C94="ha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hidup",$K$7,1))))))))*(1+'02_Assumptions'!$C$11)^3,0)</f>
        <v>0</v>
      </c>
      <c r="L94" s="37">
        <f>IF(AND(5&gt;=$F94,5&lt;=$G94),$A94*$D94*$E94*IF($C94="ha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hidup",$K$7,1))))))))*(1+'02_Assumptions'!$C$11)^4,0)</f>
        <v>0</v>
      </c>
      <c r="M94" s="37">
        <f>IF(AND(6&gt;=$F94,6&lt;=$G94),$A94*$D94*$E94*IF($C94="ha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hidup",$K$7,1))))))))*(1+'02_Assumptions'!$C$11)^5,0)</f>
        <v>0</v>
      </c>
      <c r="N94" s="37">
        <f>IF(AND(7&gt;=$F94,7&lt;=$G94),$A94*$D94*$E94*IF($C94="ha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hidup",$K$7,1))))))))*(1+'02_Assumptions'!$C$11)^6,0)</f>
        <v>0</v>
      </c>
      <c r="O94" s="37">
        <f>IF(AND(8&gt;=$F94,8&lt;=$G94),$A94*$D94*$E94*IF($C94="ha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hidup",$K$7,1))))))))*(1+'02_Assumptions'!$C$11)^7,0)</f>
        <v>0</v>
      </c>
      <c r="P94" s="37">
        <f>IF(AND(9&gt;=$F94,9&lt;=$G94),$A94*$D94*$E94*IF($C94="ha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hidup",$K$7,1))))))))*(1+'02_Assumptions'!$C$11)^8,0)</f>
        <v>0</v>
      </c>
      <c r="Q94" s="37">
        <f>IF(AND(10&gt;=$F94,10&lt;=$G94),$A94*$D94*$E94*IF($C94="ha bruto",'02_Assumptions'!$C$6,IF($C94="ha efektif",'02_Assumptions'!$C$24,IF($C94="lokasi",'02_Assumptions'!$C$8,IF($C94="pohon kelapa",'04_Planting_Design'!$D$24,IF($C94="pohon durian",'04_Planting_Design'!$D$25,IF($C94="rumpun pisang",'04_Planting_Design'!$D$26,IF($C94="nanas hidup",$K$6,IF($C94="unit pendukung hidup",$K$7,1))))))))*(1+'02_Assumptions'!$C$11)^9,0)</f>
        <v>0</v>
      </c>
      <c r="R94" s="18"/>
      <c r="S94" s="18"/>
      <c r="T94" s="18"/>
      <c r="U94" s="18"/>
      <c r="V94" s="18"/>
      <c r="W94" s="18"/>
      <c r="X94" s="18"/>
      <c r="Y94" s="18"/>
      <c r="Z94" s="18"/>
      <c r="AA94" s="18"/>
      <c r="AB94" s="18"/>
      <c r="AC94" s="18"/>
      <c r="AD94" s="18"/>
      <c r="AE94" s="18"/>
      <c r="AF94" s="18"/>
      <c r="AG94" s="18"/>
      <c r="AH94" s="18"/>
      <c r="AI94" s="18"/>
      <c r="AJ94" s="18"/>
    </row>
    <row r="95" spans="1:36">
      <c r="A95" s="79">
        <v>0</v>
      </c>
      <c r="B95" s="79" t="s">
        <v>1686</v>
      </c>
      <c r="C95" s="79" t="s">
        <v>1665</v>
      </c>
      <c r="D95" s="79">
        <v>1</v>
      </c>
      <c r="E95" s="77">
        <v>0</v>
      </c>
      <c r="F95" s="79">
        <v>1</v>
      </c>
      <c r="G95" s="79">
        <v>10</v>
      </c>
      <c r="H95" s="37">
        <f>IF(AND(1&gt;=$F95,1&lt;=$G95),$A95*$D95*$E95*IF($C95="ha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hidup",$K$7,1))))))))*(1+'02_Assumptions'!$C$11)^0,0)</f>
        <v>0</v>
      </c>
      <c r="I95" s="37">
        <f>IF(AND(2&gt;=$F95,2&lt;=$G95),$A95*$D95*$E95*IF($C95="ha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hidup",$K$7,1))))))))*(1+'02_Assumptions'!$C$11)^1,0)</f>
        <v>0</v>
      </c>
      <c r="J95" s="37">
        <f>IF(AND(3&gt;=$F95,3&lt;=$G95),$A95*$D95*$E95*IF($C95="ha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hidup",$K$7,1))))))))*(1+'02_Assumptions'!$C$11)^2,0)</f>
        <v>0</v>
      </c>
      <c r="K95" s="37">
        <f>IF(AND(4&gt;=$F95,4&lt;=$G95),$A95*$D95*$E95*IF($C95="ha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hidup",$K$7,1))))))))*(1+'02_Assumptions'!$C$11)^3,0)</f>
        <v>0</v>
      </c>
      <c r="L95" s="37">
        <f>IF(AND(5&gt;=$F95,5&lt;=$G95),$A95*$D95*$E95*IF($C95="ha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hidup",$K$7,1))))))))*(1+'02_Assumptions'!$C$11)^4,0)</f>
        <v>0</v>
      </c>
      <c r="M95" s="37">
        <f>IF(AND(6&gt;=$F95,6&lt;=$G95),$A95*$D95*$E95*IF($C95="ha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hidup",$K$7,1))))))))*(1+'02_Assumptions'!$C$11)^5,0)</f>
        <v>0</v>
      </c>
      <c r="N95" s="37">
        <f>IF(AND(7&gt;=$F95,7&lt;=$G95),$A95*$D95*$E95*IF($C95="ha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hidup",$K$7,1))))))))*(1+'02_Assumptions'!$C$11)^6,0)</f>
        <v>0</v>
      </c>
      <c r="O95" s="37">
        <f>IF(AND(8&gt;=$F95,8&lt;=$G95),$A95*$D95*$E95*IF($C95="ha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hidup",$K$7,1))))))))*(1+'02_Assumptions'!$C$11)^7,0)</f>
        <v>0</v>
      </c>
      <c r="P95" s="37">
        <f>IF(AND(9&gt;=$F95,9&lt;=$G95),$A95*$D95*$E95*IF($C95="ha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hidup",$K$7,1))))))))*(1+'02_Assumptions'!$C$11)^8,0)</f>
        <v>0</v>
      </c>
      <c r="Q95" s="37">
        <f>IF(AND(10&gt;=$F95,10&lt;=$G95),$A95*$D95*$E95*IF($C95="ha bruto",'02_Assumptions'!$C$6,IF($C95="ha efektif",'02_Assumptions'!$C$24,IF($C95="lokasi",'02_Assumptions'!$C$8,IF($C95="pohon kelapa",'04_Planting_Design'!$D$24,IF($C95="pohon durian",'04_Planting_Design'!$D$25,IF($C95="rumpun pisang",'04_Planting_Design'!$D$26,IF($C95="nanas hidup",$K$6,IF($C95="unit pendukung hidup",$K$7,1))))))))*(1+'02_Assumptions'!$C$11)^9,0)</f>
        <v>0</v>
      </c>
      <c r="R95" s="18"/>
      <c r="S95" s="18"/>
      <c r="T95" s="18"/>
      <c r="U95" s="18"/>
      <c r="V95" s="18"/>
      <c r="W95" s="18"/>
      <c r="X95" s="18"/>
      <c r="Y95" s="18"/>
      <c r="Z95" s="18"/>
      <c r="AA95" s="18"/>
      <c r="AB95" s="18"/>
      <c r="AC95" s="18"/>
      <c r="AD95" s="18"/>
      <c r="AE95" s="18"/>
      <c r="AF95" s="18"/>
      <c r="AG95" s="18"/>
      <c r="AH95" s="18"/>
      <c r="AI95" s="18"/>
      <c r="AJ95" s="18"/>
    </row>
    <row r="96" spans="1:36">
      <c r="A96" s="79">
        <v>0</v>
      </c>
      <c r="B96" s="79" t="s">
        <v>1687</v>
      </c>
      <c r="C96" s="79" t="s">
        <v>1665</v>
      </c>
      <c r="D96" s="79">
        <v>1</v>
      </c>
      <c r="E96" s="77">
        <v>0</v>
      </c>
      <c r="F96" s="79">
        <v>1</v>
      </c>
      <c r="G96" s="79">
        <v>10</v>
      </c>
      <c r="H96" s="37">
        <f>IF(AND(1&gt;=$F96,1&lt;=$G96),$A96*$D96*$E96*IF($C96="ha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hidup",$K$7,1))))))))*(1+'02_Assumptions'!$C$11)^0,0)</f>
        <v>0</v>
      </c>
      <c r="I96" s="37">
        <f>IF(AND(2&gt;=$F96,2&lt;=$G96),$A96*$D96*$E96*IF($C96="ha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hidup",$K$7,1))))))))*(1+'02_Assumptions'!$C$11)^1,0)</f>
        <v>0</v>
      </c>
      <c r="J96" s="37">
        <f>IF(AND(3&gt;=$F96,3&lt;=$G96),$A96*$D96*$E96*IF($C96="ha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hidup",$K$7,1))))))))*(1+'02_Assumptions'!$C$11)^2,0)</f>
        <v>0</v>
      </c>
      <c r="K96" s="37">
        <f>IF(AND(4&gt;=$F96,4&lt;=$G96),$A96*$D96*$E96*IF($C96="ha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hidup",$K$7,1))))))))*(1+'02_Assumptions'!$C$11)^3,0)</f>
        <v>0</v>
      </c>
      <c r="L96" s="37">
        <f>IF(AND(5&gt;=$F96,5&lt;=$G96),$A96*$D96*$E96*IF($C96="ha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hidup",$K$7,1))))))))*(1+'02_Assumptions'!$C$11)^4,0)</f>
        <v>0</v>
      </c>
      <c r="M96" s="37">
        <f>IF(AND(6&gt;=$F96,6&lt;=$G96),$A96*$D96*$E96*IF($C96="ha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hidup",$K$7,1))))))))*(1+'02_Assumptions'!$C$11)^5,0)</f>
        <v>0</v>
      </c>
      <c r="N96" s="37">
        <f>IF(AND(7&gt;=$F96,7&lt;=$G96),$A96*$D96*$E96*IF($C96="ha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hidup",$K$7,1))))))))*(1+'02_Assumptions'!$C$11)^6,0)</f>
        <v>0</v>
      </c>
      <c r="O96" s="37">
        <f>IF(AND(8&gt;=$F96,8&lt;=$G96),$A96*$D96*$E96*IF($C96="ha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hidup",$K$7,1))))))))*(1+'02_Assumptions'!$C$11)^7,0)</f>
        <v>0</v>
      </c>
      <c r="P96" s="37">
        <f>IF(AND(9&gt;=$F96,9&lt;=$G96),$A96*$D96*$E96*IF($C96="ha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hidup",$K$7,1))))))))*(1+'02_Assumptions'!$C$11)^8,0)</f>
        <v>0</v>
      </c>
      <c r="Q96" s="37">
        <f>IF(AND(10&gt;=$F96,10&lt;=$G96),$A96*$D96*$E96*IF($C96="ha bruto",'02_Assumptions'!$C$6,IF($C96="ha efektif",'02_Assumptions'!$C$24,IF($C96="lokasi",'02_Assumptions'!$C$8,IF($C96="pohon kelapa",'04_Planting_Design'!$D$24,IF($C96="pohon durian",'04_Planting_Design'!$D$25,IF($C96="rumpun pisang",'04_Planting_Design'!$D$26,IF($C96="nanas hidup",$K$6,IF($C96="unit pendukung hidup",$K$7,1))))))))*(1+'02_Assumptions'!$C$11)^9,0)</f>
        <v>0</v>
      </c>
      <c r="R96" s="18"/>
      <c r="S96" s="18"/>
      <c r="T96" s="18"/>
      <c r="U96" s="18"/>
      <c r="V96" s="18"/>
      <c r="W96" s="18"/>
      <c r="X96" s="18"/>
      <c r="Y96" s="18"/>
      <c r="Z96" s="18"/>
      <c r="AA96" s="18"/>
      <c r="AB96" s="18"/>
      <c r="AC96" s="18"/>
      <c r="AD96" s="18"/>
      <c r="AE96" s="18"/>
      <c r="AF96" s="18"/>
      <c r="AG96" s="18"/>
      <c r="AH96" s="18"/>
      <c r="AI96" s="18"/>
      <c r="AJ96" s="18"/>
    </row>
    <row r="97" spans="1:36">
      <c r="A97" s="79">
        <v>0</v>
      </c>
      <c r="B97" s="79" t="s">
        <v>1688</v>
      </c>
      <c r="C97" s="79" t="s">
        <v>1665</v>
      </c>
      <c r="D97" s="79">
        <v>1</v>
      </c>
      <c r="E97" s="77">
        <v>0</v>
      </c>
      <c r="F97" s="79">
        <v>1</v>
      </c>
      <c r="G97" s="79">
        <v>10</v>
      </c>
      <c r="H97" s="37">
        <f>IF(AND(1&gt;=$F97,1&lt;=$G97),$A97*$D97*$E97*IF($C97="ha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hidup",$K$7,1))))))))*(1+'02_Assumptions'!$C$11)^0,0)</f>
        <v>0</v>
      </c>
      <c r="I97" s="37">
        <f>IF(AND(2&gt;=$F97,2&lt;=$G97),$A97*$D97*$E97*IF($C97="ha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hidup",$K$7,1))))))))*(1+'02_Assumptions'!$C$11)^1,0)</f>
        <v>0</v>
      </c>
      <c r="J97" s="37">
        <f>IF(AND(3&gt;=$F97,3&lt;=$G97),$A97*$D97*$E97*IF($C97="ha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hidup",$K$7,1))))))))*(1+'02_Assumptions'!$C$11)^2,0)</f>
        <v>0</v>
      </c>
      <c r="K97" s="37">
        <f>IF(AND(4&gt;=$F97,4&lt;=$G97),$A97*$D97*$E97*IF($C97="ha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hidup",$K$7,1))))))))*(1+'02_Assumptions'!$C$11)^3,0)</f>
        <v>0</v>
      </c>
      <c r="L97" s="37">
        <f>IF(AND(5&gt;=$F97,5&lt;=$G97),$A97*$D97*$E97*IF($C97="ha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hidup",$K$7,1))))))))*(1+'02_Assumptions'!$C$11)^4,0)</f>
        <v>0</v>
      </c>
      <c r="M97" s="37">
        <f>IF(AND(6&gt;=$F97,6&lt;=$G97),$A97*$D97*$E97*IF($C97="ha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hidup",$K$7,1))))))))*(1+'02_Assumptions'!$C$11)^5,0)</f>
        <v>0</v>
      </c>
      <c r="N97" s="37">
        <f>IF(AND(7&gt;=$F97,7&lt;=$G97),$A97*$D97*$E97*IF($C97="ha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hidup",$K$7,1))))))))*(1+'02_Assumptions'!$C$11)^6,0)</f>
        <v>0</v>
      </c>
      <c r="O97" s="37">
        <f>IF(AND(8&gt;=$F97,8&lt;=$G97),$A97*$D97*$E97*IF($C97="ha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hidup",$K$7,1))))))))*(1+'02_Assumptions'!$C$11)^7,0)</f>
        <v>0</v>
      </c>
      <c r="P97" s="37">
        <f>IF(AND(9&gt;=$F97,9&lt;=$G97),$A97*$D97*$E97*IF($C97="ha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hidup",$K$7,1))))))))*(1+'02_Assumptions'!$C$11)^8,0)</f>
        <v>0</v>
      </c>
      <c r="Q97" s="37">
        <f>IF(AND(10&gt;=$F97,10&lt;=$G97),$A97*$D97*$E97*IF($C97="ha bruto",'02_Assumptions'!$C$6,IF($C97="ha efektif",'02_Assumptions'!$C$24,IF($C97="lokasi",'02_Assumptions'!$C$8,IF($C97="pohon kelapa",'04_Planting_Design'!$D$24,IF($C97="pohon durian",'04_Planting_Design'!$D$25,IF($C97="rumpun pisang",'04_Planting_Design'!$D$26,IF($C97="nanas hidup",$K$6,IF($C97="unit pendukung hidup",$K$7,1))))))))*(1+'02_Assumptions'!$C$11)^9,0)</f>
        <v>0</v>
      </c>
      <c r="R97" s="18"/>
      <c r="S97" s="18"/>
      <c r="T97" s="18"/>
      <c r="U97" s="18"/>
      <c r="V97" s="18"/>
      <c r="W97" s="18"/>
      <c r="X97" s="18"/>
      <c r="Y97" s="18"/>
      <c r="Z97" s="18"/>
      <c r="AA97" s="18"/>
      <c r="AB97" s="18"/>
      <c r="AC97" s="18"/>
      <c r="AD97" s="18"/>
      <c r="AE97" s="18"/>
      <c r="AF97" s="18"/>
      <c r="AG97" s="18"/>
      <c r="AH97" s="18"/>
      <c r="AI97" s="18"/>
      <c r="AJ97" s="18"/>
    </row>
    <row r="98" spans="1:36">
      <c r="A98" s="79">
        <v>0</v>
      </c>
      <c r="B98" s="79" t="s">
        <v>1689</v>
      </c>
      <c r="C98" s="79" t="s">
        <v>1665</v>
      </c>
      <c r="D98" s="79">
        <v>1</v>
      </c>
      <c r="E98" s="77">
        <v>0</v>
      </c>
      <c r="F98" s="79">
        <v>1</v>
      </c>
      <c r="G98" s="79">
        <v>10</v>
      </c>
      <c r="H98" s="37">
        <f>IF(AND(1&gt;=$F98,1&lt;=$G98),$A98*$D98*$E98*IF($C98="ha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hidup",$K$7,1))))))))*(1+'02_Assumptions'!$C$11)^0,0)</f>
        <v>0</v>
      </c>
      <c r="I98" s="37">
        <f>IF(AND(2&gt;=$F98,2&lt;=$G98),$A98*$D98*$E98*IF($C98="ha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hidup",$K$7,1))))))))*(1+'02_Assumptions'!$C$11)^1,0)</f>
        <v>0</v>
      </c>
      <c r="J98" s="37">
        <f>IF(AND(3&gt;=$F98,3&lt;=$G98),$A98*$D98*$E98*IF($C98="ha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hidup",$K$7,1))))))))*(1+'02_Assumptions'!$C$11)^2,0)</f>
        <v>0</v>
      </c>
      <c r="K98" s="37">
        <f>IF(AND(4&gt;=$F98,4&lt;=$G98),$A98*$D98*$E98*IF($C98="ha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hidup",$K$7,1))))))))*(1+'02_Assumptions'!$C$11)^3,0)</f>
        <v>0</v>
      </c>
      <c r="L98" s="37">
        <f>IF(AND(5&gt;=$F98,5&lt;=$G98),$A98*$D98*$E98*IF($C98="ha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hidup",$K$7,1))))))))*(1+'02_Assumptions'!$C$11)^4,0)</f>
        <v>0</v>
      </c>
      <c r="M98" s="37">
        <f>IF(AND(6&gt;=$F98,6&lt;=$G98),$A98*$D98*$E98*IF($C98="ha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hidup",$K$7,1))))))))*(1+'02_Assumptions'!$C$11)^5,0)</f>
        <v>0</v>
      </c>
      <c r="N98" s="37">
        <f>IF(AND(7&gt;=$F98,7&lt;=$G98),$A98*$D98*$E98*IF($C98="ha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hidup",$K$7,1))))))))*(1+'02_Assumptions'!$C$11)^6,0)</f>
        <v>0</v>
      </c>
      <c r="O98" s="37">
        <f>IF(AND(8&gt;=$F98,8&lt;=$G98),$A98*$D98*$E98*IF($C98="ha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hidup",$K$7,1))))))))*(1+'02_Assumptions'!$C$11)^7,0)</f>
        <v>0</v>
      </c>
      <c r="P98" s="37">
        <f>IF(AND(9&gt;=$F98,9&lt;=$G98),$A98*$D98*$E98*IF($C98="ha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hidup",$K$7,1))))))))*(1+'02_Assumptions'!$C$11)^8,0)</f>
        <v>0</v>
      </c>
      <c r="Q98" s="37">
        <f>IF(AND(10&gt;=$F98,10&lt;=$G98),$A98*$D98*$E98*IF($C98="ha bruto",'02_Assumptions'!$C$6,IF($C98="ha efektif",'02_Assumptions'!$C$24,IF($C98="lokasi",'02_Assumptions'!$C$8,IF($C98="pohon kelapa",'04_Planting_Design'!$D$24,IF($C98="pohon durian",'04_Planting_Design'!$D$25,IF($C98="rumpun pisang",'04_Planting_Design'!$D$26,IF($C98="nanas hidup",$K$6,IF($C98="unit pendukung hidup",$K$7,1))))))))*(1+'02_Assumptions'!$C$11)^9,0)</f>
        <v>0</v>
      </c>
      <c r="R98" s="18"/>
      <c r="S98" s="18"/>
      <c r="T98" s="18"/>
      <c r="U98" s="18"/>
      <c r="V98" s="18"/>
      <c r="W98" s="18"/>
      <c r="X98" s="18"/>
      <c r="Y98" s="18"/>
      <c r="Z98" s="18"/>
      <c r="AA98" s="18"/>
      <c r="AB98" s="18"/>
      <c r="AC98" s="18"/>
      <c r="AD98" s="18"/>
      <c r="AE98" s="18"/>
      <c r="AF98" s="18"/>
      <c r="AG98" s="18"/>
      <c r="AH98" s="18"/>
      <c r="AI98" s="18"/>
      <c r="AJ98" s="18"/>
    </row>
    <row r="99" spans="1:36">
      <c r="A99" s="18"/>
      <c r="B99" s="18"/>
      <c r="C99" s="18"/>
      <c r="D99" s="18"/>
      <c r="E99" s="18"/>
      <c r="F99" s="18"/>
      <c r="G99" s="18"/>
      <c r="H99" s="37"/>
      <c r="I99" s="37"/>
      <c r="J99" s="37"/>
      <c r="K99" s="37"/>
      <c r="L99" s="37"/>
      <c r="M99" s="37"/>
      <c r="N99" s="37"/>
      <c r="O99" s="37"/>
      <c r="P99" s="37"/>
      <c r="Q99" s="37"/>
      <c r="R99" s="18"/>
      <c r="S99" s="18"/>
      <c r="T99" s="18"/>
      <c r="U99" s="18"/>
      <c r="V99" s="18"/>
      <c r="W99" s="18"/>
      <c r="X99" s="18"/>
      <c r="Y99" s="18"/>
      <c r="Z99" s="18"/>
      <c r="AA99" s="18"/>
      <c r="AB99" s="18"/>
      <c r="AC99" s="18"/>
      <c r="AD99" s="18"/>
      <c r="AE99" s="18"/>
      <c r="AF99" s="18"/>
      <c r="AG99" s="18"/>
      <c r="AH99" s="18"/>
      <c r="AI99" s="18"/>
      <c r="AJ99" s="18"/>
    </row>
    <row r="100" spans="1:36">
      <c r="A100" s="263" t="s">
        <v>1690</v>
      </c>
      <c r="B100" s="263"/>
      <c r="C100" s="263"/>
      <c r="D100" s="263"/>
      <c r="E100" s="263"/>
      <c r="F100" s="263"/>
      <c r="G100" s="263"/>
      <c r="H100" s="80">
        <f t="shared" ref="H100:Q100" si="19">SUM(H89:H98)</f>
        <v>0</v>
      </c>
      <c r="I100" s="80">
        <f t="shared" si="19"/>
        <v>0</v>
      </c>
      <c r="J100" s="80">
        <f t="shared" si="19"/>
        <v>0</v>
      </c>
      <c r="K100" s="80">
        <f t="shared" si="19"/>
        <v>0</v>
      </c>
      <c r="L100" s="80">
        <f t="shared" si="19"/>
        <v>0</v>
      </c>
      <c r="M100" s="80">
        <f t="shared" si="19"/>
        <v>0</v>
      </c>
      <c r="N100" s="80">
        <f t="shared" si="19"/>
        <v>0</v>
      </c>
      <c r="O100" s="80">
        <f t="shared" si="19"/>
        <v>0</v>
      </c>
      <c r="P100" s="80">
        <f t="shared" si="19"/>
        <v>0</v>
      </c>
      <c r="Q100" s="80">
        <f t="shared" si="19"/>
        <v>0</v>
      </c>
      <c r="R100" s="80"/>
      <c r="S100" s="18"/>
      <c r="T100" s="18"/>
      <c r="U100" s="18"/>
      <c r="V100" s="18"/>
      <c r="W100" s="18"/>
      <c r="X100" s="18"/>
      <c r="Y100" s="18"/>
      <c r="Z100" s="18"/>
      <c r="AA100" s="18"/>
      <c r="AB100" s="18"/>
      <c r="AC100" s="18"/>
      <c r="AD100" s="18"/>
      <c r="AE100" s="18"/>
      <c r="AF100" s="18"/>
      <c r="AG100" s="18"/>
      <c r="AH100" s="18"/>
      <c r="AI100" s="18"/>
      <c r="AJ100" s="18"/>
    </row>
    <row r="101" spans="1:36">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row>
    <row r="102" spans="1:36">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row>
    <row r="103" spans="1:36" ht="20" customHeight="1">
      <c r="A103" s="278" t="s">
        <v>1691</v>
      </c>
      <c r="B103" s="278"/>
      <c r="C103" s="278"/>
      <c r="D103" s="278"/>
      <c r="E103" s="278"/>
      <c r="F103" s="278"/>
      <c r="G103" s="278"/>
      <c r="H103" s="278"/>
      <c r="I103" s="278"/>
      <c r="J103" s="278"/>
      <c r="K103" s="278"/>
      <c r="L103" s="278"/>
      <c r="M103" s="278"/>
      <c r="N103" s="278"/>
      <c r="O103" s="278"/>
      <c r="P103" s="278"/>
      <c r="Q103" s="278"/>
      <c r="R103" s="278"/>
      <c r="S103" s="18"/>
      <c r="T103" s="18"/>
      <c r="U103" s="18"/>
      <c r="V103" s="18"/>
      <c r="W103" s="18"/>
      <c r="X103" s="18"/>
      <c r="Y103" s="18"/>
      <c r="Z103" s="18"/>
      <c r="AA103" s="18"/>
      <c r="AB103" s="18"/>
      <c r="AC103" s="18"/>
      <c r="AD103" s="18"/>
      <c r="AE103" s="18"/>
      <c r="AF103" s="18"/>
      <c r="AG103" s="18"/>
      <c r="AH103" s="18"/>
      <c r="AI103" s="18"/>
      <c r="AJ103" s="18"/>
    </row>
    <row r="104" spans="1:36" ht="32" customHeight="1">
      <c r="A104" s="71" t="s">
        <v>473</v>
      </c>
      <c r="B104" s="71" t="s">
        <v>1692</v>
      </c>
      <c r="C104" s="71" t="s">
        <v>757</v>
      </c>
      <c r="D104" s="71" t="s">
        <v>1693</v>
      </c>
      <c r="E104" s="71" t="s">
        <v>1694</v>
      </c>
      <c r="F104" s="71" t="s">
        <v>1678</v>
      </c>
      <c r="G104" s="71" t="s">
        <v>1679</v>
      </c>
      <c r="H104" s="71" t="s">
        <v>440</v>
      </c>
      <c r="I104" s="71" t="s">
        <v>441</v>
      </c>
      <c r="J104" s="71" t="s">
        <v>442</v>
      </c>
      <c r="K104" s="71" t="s">
        <v>443</v>
      </c>
      <c r="L104" s="71" t="s">
        <v>444</v>
      </c>
      <c r="M104" s="71" t="s">
        <v>445</v>
      </c>
      <c r="N104" s="71" t="s">
        <v>446</v>
      </c>
      <c r="O104" s="71" t="s">
        <v>447</v>
      </c>
      <c r="P104" s="71" t="s">
        <v>448</v>
      </c>
      <c r="Q104" s="71" t="s">
        <v>449</v>
      </c>
      <c r="R104" s="71" t="s">
        <v>140</v>
      </c>
      <c r="S104" s="18"/>
      <c r="T104" s="18"/>
      <c r="U104" s="18"/>
      <c r="V104" s="18"/>
      <c r="W104" s="18"/>
      <c r="X104" s="18"/>
      <c r="Y104" s="18"/>
      <c r="Z104" s="18"/>
      <c r="AA104" s="18"/>
      <c r="AB104" s="18"/>
      <c r="AC104" s="18"/>
      <c r="AD104" s="18"/>
      <c r="AE104" s="18"/>
      <c r="AF104" s="18"/>
      <c r="AG104" s="18"/>
      <c r="AH104" s="18"/>
      <c r="AI104" s="18"/>
      <c r="AJ104" s="18"/>
    </row>
    <row r="105" spans="1:36">
      <c r="A105" s="79">
        <v>0</v>
      </c>
      <c r="B105" s="79" t="s">
        <v>1695</v>
      </c>
      <c r="C105" s="79" t="s">
        <v>1665</v>
      </c>
      <c r="D105" s="79">
        <v>1</v>
      </c>
      <c r="E105" s="77">
        <v>0</v>
      </c>
      <c r="F105" s="79">
        <v>1</v>
      </c>
      <c r="G105" s="79">
        <v>10</v>
      </c>
      <c r="H105" s="37">
        <f>IF(AND(1&gt;=$F105,1&lt;=$G105),$A105*$D105*$E105*IF($C105="ha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hidup",$K$7,1))))))))*(1+'02_Assumptions'!$C$12)^0,0)</f>
        <v>0</v>
      </c>
      <c r="I105" s="37">
        <f>IF(AND(2&gt;=$F105,2&lt;=$G105),$A105*$D105*$E105*IF($C105="ha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hidup",$K$7,1))))))))*(1+'02_Assumptions'!$C$12)^1,0)</f>
        <v>0</v>
      </c>
      <c r="J105" s="37">
        <f>IF(AND(3&gt;=$F105,3&lt;=$G105),$A105*$D105*$E105*IF($C105="ha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hidup",$K$7,1))))))))*(1+'02_Assumptions'!$C$12)^2,0)</f>
        <v>0</v>
      </c>
      <c r="K105" s="37">
        <f>IF(AND(4&gt;=$F105,4&lt;=$G105),$A105*$D105*$E105*IF($C105="ha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hidup",$K$7,1))))))))*(1+'02_Assumptions'!$C$12)^3,0)</f>
        <v>0</v>
      </c>
      <c r="L105" s="37">
        <f>IF(AND(5&gt;=$F105,5&lt;=$G105),$A105*$D105*$E105*IF($C105="ha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hidup",$K$7,1))))))))*(1+'02_Assumptions'!$C$12)^4,0)</f>
        <v>0</v>
      </c>
      <c r="M105" s="37">
        <f>IF(AND(6&gt;=$F105,6&lt;=$G105),$A105*$D105*$E105*IF($C105="ha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hidup",$K$7,1))))))))*(1+'02_Assumptions'!$C$12)^5,0)</f>
        <v>0</v>
      </c>
      <c r="N105" s="37">
        <f>IF(AND(7&gt;=$F105,7&lt;=$G105),$A105*$D105*$E105*IF($C105="ha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hidup",$K$7,1))))))))*(1+'02_Assumptions'!$C$12)^6,0)</f>
        <v>0</v>
      </c>
      <c r="O105" s="37">
        <f>IF(AND(8&gt;=$F105,8&lt;=$G105),$A105*$D105*$E105*IF($C105="ha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hidup",$K$7,1))))))))*(1+'02_Assumptions'!$C$12)^7,0)</f>
        <v>0</v>
      </c>
      <c r="P105" s="37">
        <f>IF(AND(9&gt;=$F105,9&lt;=$G105),$A105*$D105*$E105*IF($C105="ha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hidup",$K$7,1))))))))*(1+'02_Assumptions'!$C$12)^8,0)</f>
        <v>0</v>
      </c>
      <c r="Q105" s="37">
        <f>IF(AND(10&gt;=$F105,10&lt;=$G105),$A105*$D105*$E105*IF($C105="ha bruto",'02_Assumptions'!$C$6,IF($C105="ha efektif",'02_Assumptions'!$C$24,IF($C105="lokasi",'02_Assumptions'!$C$8,IF($C105="pohon kelapa",'04_Planting_Design'!$D$24,IF($C105="pohon durian",'04_Planting_Design'!$D$25,IF($C105="rumpun pisang",'04_Planting_Design'!$D$26,IF($C105="nanas hidup",$K$6,IF($C105="unit pendukung hidup",$K$7,1))))))))*(1+'02_Assumptions'!$C$12)^9,0)</f>
        <v>0</v>
      </c>
      <c r="R105" s="18"/>
      <c r="S105" s="18"/>
      <c r="T105" s="18"/>
      <c r="U105" s="18"/>
      <c r="V105" s="18"/>
      <c r="W105" s="18"/>
      <c r="X105" s="18"/>
      <c r="Y105" s="18"/>
      <c r="Z105" s="18"/>
      <c r="AA105" s="18"/>
      <c r="AB105" s="18"/>
      <c r="AC105" s="18"/>
      <c r="AD105" s="18"/>
      <c r="AE105" s="18"/>
      <c r="AF105" s="18"/>
      <c r="AG105" s="18"/>
      <c r="AH105" s="18"/>
      <c r="AI105" s="18"/>
      <c r="AJ105" s="18"/>
    </row>
    <row r="106" spans="1:36">
      <c r="A106" s="79">
        <v>0</v>
      </c>
      <c r="B106" s="79" t="s">
        <v>1696</v>
      </c>
      <c r="C106" s="79" t="s">
        <v>1665</v>
      </c>
      <c r="D106" s="79">
        <v>1</v>
      </c>
      <c r="E106" s="77">
        <v>0</v>
      </c>
      <c r="F106" s="79">
        <v>1</v>
      </c>
      <c r="G106" s="79">
        <v>10</v>
      </c>
      <c r="H106" s="37">
        <f>IF(AND(1&gt;=$F106,1&lt;=$G106),$A106*$D106*$E106*IF($C106="ha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hidup",$K$7,1))))))))*(1+'02_Assumptions'!$C$12)^0,0)</f>
        <v>0</v>
      </c>
      <c r="I106" s="37">
        <f>IF(AND(2&gt;=$F106,2&lt;=$G106),$A106*$D106*$E106*IF($C106="ha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hidup",$K$7,1))))))))*(1+'02_Assumptions'!$C$12)^1,0)</f>
        <v>0</v>
      </c>
      <c r="J106" s="37">
        <f>IF(AND(3&gt;=$F106,3&lt;=$G106),$A106*$D106*$E106*IF($C106="ha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hidup",$K$7,1))))))))*(1+'02_Assumptions'!$C$12)^2,0)</f>
        <v>0</v>
      </c>
      <c r="K106" s="37">
        <f>IF(AND(4&gt;=$F106,4&lt;=$G106),$A106*$D106*$E106*IF($C106="ha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hidup",$K$7,1))))))))*(1+'02_Assumptions'!$C$12)^3,0)</f>
        <v>0</v>
      </c>
      <c r="L106" s="37">
        <f>IF(AND(5&gt;=$F106,5&lt;=$G106),$A106*$D106*$E106*IF($C106="ha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hidup",$K$7,1))))))))*(1+'02_Assumptions'!$C$12)^4,0)</f>
        <v>0</v>
      </c>
      <c r="M106" s="37">
        <f>IF(AND(6&gt;=$F106,6&lt;=$G106),$A106*$D106*$E106*IF($C106="ha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hidup",$K$7,1))))))))*(1+'02_Assumptions'!$C$12)^5,0)</f>
        <v>0</v>
      </c>
      <c r="N106" s="37">
        <f>IF(AND(7&gt;=$F106,7&lt;=$G106),$A106*$D106*$E106*IF($C106="ha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hidup",$K$7,1))))))))*(1+'02_Assumptions'!$C$12)^6,0)</f>
        <v>0</v>
      </c>
      <c r="O106" s="37">
        <f>IF(AND(8&gt;=$F106,8&lt;=$G106),$A106*$D106*$E106*IF($C106="ha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hidup",$K$7,1))))))))*(1+'02_Assumptions'!$C$12)^7,0)</f>
        <v>0</v>
      </c>
      <c r="P106" s="37">
        <f>IF(AND(9&gt;=$F106,9&lt;=$G106),$A106*$D106*$E106*IF($C106="ha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hidup",$K$7,1))))))))*(1+'02_Assumptions'!$C$12)^8,0)</f>
        <v>0</v>
      </c>
      <c r="Q106" s="37">
        <f>IF(AND(10&gt;=$F106,10&lt;=$G106),$A106*$D106*$E106*IF($C106="ha bruto",'02_Assumptions'!$C$6,IF($C106="ha efektif",'02_Assumptions'!$C$24,IF($C106="lokasi",'02_Assumptions'!$C$8,IF($C106="pohon kelapa",'04_Planting_Design'!$D$24,IF($C106="pohon durian",'04_Planting_Design'!$D$25,IF($C106="rumpun pisang",'04_Planting_Design'!$D$26,IF($C106="nanas hidup",$K$6,IF($C106="unit pendukung hidup",$K$7,1))))))))*(1+'02_Assumptions'!$C$12)^9,0)</f>
        <v>0</v>
      </c>
      <c r="R106" s="18"/>
      <c r="S106" s="18"/>
      <c r="T106" s="18"/>
      <c r="U106" s="18"/>
      <c r="V106" s="18"/>
      <c r="W106" s="18"/>
      <c r="X106" s="18"/>
      <c r="Y106" s="18"/>
      <c r="Z106" s="18"/>
      <c r="AA106" s="18"/>
      <c r="AB106" s="18"/>
      <c r="AC106" s="18"/>
      <c r="AD106" s="18"/>
      <c r="AE106" s="18"/>
      <c r="AF106" s="18"/>
      <c r="AG106" s="18"/>
      <c r="AH106" s="18"/>
      <c r="AI106" s="18"/>
      <c r="AJ106" s="18"/>
    </row>
    <row r="107" spans="1:36">
      <c r="A107" s="79">
        <v>0</v>
      </c>
      <c r="B107" s="79" t="s">
        <v>1697</v>
      </c>
      <c r="C107" s="79" t="s">
        <v>1665</v>
      </c>
      <c r="D107" s="79">
        <v>1</v>
      </c>
      <c r="E107" s="77">
        <v>0</v>
      </c>
      <c r="F107" s="79">
        <v>1</v>
      </c>
      <c r="G107" s="79">
        <v>10</v>
      </c>
      <c r="H107" s="37">
        <f>IF(AND(1&gt;=$F107,1&lt;=$G107),$A107*$D107*$E107*IF($C107="ha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hidup",$K$7,1))))))))*(1+'02_Assumptions'!$C$12)^0,0)</f>
        <v>0</v>
      </c>
      <c r="I107" s="37">
        <f>IF(AND(2&gt;=$F107,2&lt;=$G107),$A107*$D107*$E107*IF($C107="ha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hidup",$K$7,1))))))))*(1+'02_Assumptions'!$C$12)^1,0)</f>
        <v>0</v>
      </c>
      <c r="J107" s="37">
        <f>IF(AND(3&gt;=$F107,3&lt;=$G107),$A107*$D107*$E107*IF($C107="ha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hidup",$K$7,1))))))))*(1+'02_Assumptions'!$C$12)^2,0)</f>
        <v>0</v>
      </c>
      <c r="K107" s="37">
        <f>IF(AND(4&gt;=$F107,4&lt;=$G107),$A107*$D107*$E107*IF($C107="ha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hidup",$K$7,1))))))))*(1+'02_Assumptions'!$C$12)^3,0)</f>
        <v>0</v>
      </c>
      <c r="L107" s="37">
        <f>IF(AND(5&gt;=$F107,5&lt;=$G107),$A107*$D107*$E107*IF($C107="ha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hidup",$K$7,1))))))))*(1+'02_Assumptions'!$C$12)^4,0)</f>
        <v>0</v>
      </c>
      <c r="M107" s="37">
        <f>IF(AND(6&gt;=$F107,6&lt;=$G107),$A107*$D107*$E107*IF($C107="ha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hidup",$K$7,1))))))))*(1+'02_Assumptions'!$C$12)^5,0)</f>
        <v>0</v>
      </c>
      <c r="N107" s="37">
        <f>IF(AND(7&gt;=$F107,7&lt;=$G107),$A107*$D107*$E107*IF($C107="ha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hidup",$K$7,1))))))))*(1+'02_Assumptions'!$C$12)^6,0)</f>
        <v>0</v>
      </c>
      <c r="O107" s="37">
        <f>IF(AND(8&gt;=$F107,8&lt;=$G107),$A107*$D107*$E107*IF($C107="ha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hidup",$K$7,1))))))))*(1+'02_Assumptions'!$C$12)^7,0)</f>
        <v>0</v>
      </c>
      <c r="P107" s="37">
        <f>IF(AND(9&gt;=$F107,9&lt;=$G107),$A107*$D107*$E107*IF($C107="ha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hidup",$K$7,1))))))))*(1+'02_Assumptions'!$C$12)^8,0)</f>
        <v>0</v>
      </c>
      <c r="Q107" s="37">
        <f>IF(AND(10&gt;=$F107,10&lt;=$G107),$A107*$D107*$E107*IF($C107="ha bruto",'02_Assumptions'!$C$6,IF($C107="ha efektif",'02_Assumptions'!$C$24,IF($C107="lokasi",'02_Assumptions'!$C$8,IF($C107="pohon kelapa",'04_Planting_Design'!$D$24,IF($C107="pohon durian",'04_Planting_Design'!$D$25,IF($C107="rumpun pisang",'04_Planting_Design'!$D$26,IF($C107="nanas hidup",$K$6,IF($C107="unit pendukung hidup",$K$7,1))))))))*(1+'02_Assumptions'!$C$12)^9,0)</f>
        <v>0</v>
      </c>
      <c r="R107" s="18"/>
      <c r="S107" s="18"/>
      <c r="T107" s="18"/>
      <c r="U107" s="18"/>
      <c r="V107" s="18"/>
      <c r="W107" s="18"/>
      <c r="X107" s="18"/>
      <c r="Y107" s="18"/>
      <c r="Z107" s="18"/>
      <c r="AA107" s="18"/>
      <c r="AB107" s="18"/>
      <c r="AC107" s="18"/>
      <c r="AD107" s="18"/>
      <c r="AE107" s="18"/>
      <c r="AF107" s="18"/>
      <c r="AG107" s="18"/>
      <c r="AH107" s="18"/>
      <c r="AI107" s="18"/>
      <c r="AJ107" s="18"/>
    </row>
    <row r="108" spans="1:36">
      <c r="A108" s="79">
        <v>0</v>
      </c>
      <c r="B108" s="79" t="s">
        <v>1698</v>
      </c>
      <c r="C108" s="79" t="s">
        <v>1665</v>
      </c>
      <c r="D108" s="79">
        <v>1</v>
      </c>
      <c r="E108" s="77">
        <v>0</v>
      </c>
      <c r="F108" s="79">
        <v>1</v>
      </c>
      <c r="G108" s="79">
        <v>10</v>
      </c>
      <c r="H108" s="37">
        <f>IF(AND(1&gt;=$F108,1&lt;=$G108),$A108*$D108*$E108*IF($C108="ha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hidup",$K$7,1))))))))*(1+'02_Assumptions'!$C$12)^0,0)</f>
        <v>0</v>
      </c>
      <c r="I108" s="37">
        <f>IF(AND(2&gt;=$F108,2&lt;=$G108),$A108*$D108*$E108*IF($C108="ha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hidup",$K$7,1))))))))*(1+'02_Assumptions'!$C$12)^1,0)</f>
        <v>0</v>
      </c>
      <c r="J108" s="37">
        <f>IF(AND(3&gt;=$F108,3&lt;=$G108),$A108*$D108*$E108*IF($C108="ha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hidup",$K$7,1))))))))*(1+'02_Assumptions'!$C$12)^2,0)</f>
        <v>0</v>
      </c>
      <c r="K108" s="37">
        <f>IF(AND(4&gt;=$F108,4&lt;=$G108),$A108*$D108*$E108*IF($C108="ha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hidup",$K$7,1))))))))*(1+'02_Assumptions'!$C$12)^3,0)</f>
        <v>0</v>
      </c>
      <c r="L108" s="37">
        <f>IF(AND(5&gt;=$F108,5&lt;=$G108),$A108*$D108*$E108*IF($C108="ha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hidup",$K$7,1))))))))*(1+'02_Assumptions'!$C$12)^4,0)</f>
        <v>0</v>
      </c>
      <c r="M108" s="37">
        <f>IF(AND(6&gt;=$F108,6&lt;=$G108),$A108*$D108*$E108*IF($C108="ha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hidup",$K$7,1))))))))*(1+'02_Assumptions'!$C$12)^5,0)</f>
        <v>0</v>
      </c>
      <c r="N108" s="37">
        <f>IF(AND(7&gt;=$F108,7&lt;=$G108),$A108*$D108*$E108*IF($C108="ha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hidup",$K$7,1))))))))*(1+'02_Assumptions'!$C$12)^6,0)</f>
        <v>0</v>
      </c>
      <c r="O108" s="37">
        <f>IF(AND(8&gt;=$F108,8&lt;=$G108),$A108*$D108*$E108*IF($C108="ha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hidup",$K$7,1))))))))*(1+'02_Assumptions'!$C$12)^7,0)</f>
        <v>0</v>
      </c>
      <c r="P108" s="37">
        <f>IF(AND(9&gt;=$F108,9&lt;=$G108),$A108*$D108*$E108*IF($C108="ha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hidup",$K$7,1))))))))*(1+'02_Assumptions'!$C$12)^8,0)</f>
        <v>0</v>
      </c>
      <c r="Q108" s="37">
        <f>IF(AND(10&gt;=$F108,10&lt;=$G108),$A108*$D108*$E108*IF($C108="ha bruto",'02_Assumptions'!$C$6,IF($C108="ha efektif",'02_Assumptions'!$C$24,IF($C108="lokasi",'02_Assumptions'!$C$8,IF($C108="pohon kelapa",'04_Planting_Design'!$D$24,IF($C108="pohon durian",'04_Planting_Design'!$D$25,IF($C108="rumpun pisang",'04_Planting_Design'!$D$26,IF($C108="nanas hidup",$K$6,IF($C108="unit pendukung hidup",$K$7,1))))))))*(1+'02_Assumptions'!$C$12)^9,0)</f>
        <v>0</v>
      </c>
      <c r="R108" s="18"/>
      <c r="S108" s="18"/>
      <c r="T108" s="18"/>
      <c r="U108" s="18"/>
      <c r="V108" s="18"/>
      <c r="W108" s="18"/>
      <c r="X108" s="18"/>
      <c r="Y108" s="18"/>
      <c r="Z108" s="18"/>
      <c r="AA108" s="18"/>
      <c r="AB108" s="18"/>
      <c r="AC108" s="18"/>
      <c r="AD108" s="18"/>
      <c r="AE108" s="18"/>
      <c r="AF108" s="18"/>
      <c r="AG108" s="18"/>
      <c r="AH108" s="18"/>
      <c r="AI108" s="18"/>
      <c r="AJ108" s="18"/>
    </row>
    <row r="109" spans="1:36">
      <c r="A109" s="79">
        <v>0</v>
      </c>
      <c r="B109" s="79" t="s">
        <v>1699</v>
      </c>
      <c r="C109" s="79" t="s">
        <v>1665</v>
      </c>
      <c r="D109" s="79">
        <v>1</v>
      </c>
      <c r="E109" s="77">
        <v>0</v>
      </c>
      <c r="F109" s="79">
        <v>1</v>
      </c>
      <c r="G109" s="79">
        <v>10</v>
      </c>
      <c r="H109" s="37">
        <f>IF(AND(1&gt;=$F109,1&lt;=$G109),$A109*$D109*$E109*IF($C109="ha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hidup",$K$7,1))))))))*(1+'02_Assumptions'!$C$12)^0,0)</f>
        <v>0</v>
      </c>
      <c r="I109" s="37">
        <f>IF(AND(2&gt;=$F109,2&lt;=$G109),$A109*$D109*$E109*IF($C109="ha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hidup",$K$7,1))))))))*(1+'02_Assumptions'!$C$12)^1,0)</f>
        <v>0</v>
      </c>
      <c r="J109" s="37">
        <f>IF(AND(3&gt;=$F109,3&lt;=$G109),$A109*$D109*$E109*IF($C109="ha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hidup",$K$7,1))))))))*(1+'02_Assumptions'!$C$12)^2,0)</f>
        <v>0</v>
      </c>
      <c r="K109" s="37">
        <f>IF(AND(4&gt;=$F109,4&lt;=$G109),$A109*$D109*$E109*IF($C109="ha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hidup",$K$7,1))))))))*(1+'02_Assumptions'!$C$12)^3,0)</f>
        <v>0</v>
      </c>
      <c r="L109" s="37">
        <f>IF(AND(5&gt;=$F109,5&lt;=$G109),$A109*$D109*$E109*IF($C109="ha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hidup",$K$7,1))))))))*(1+'02_Assumptions'!$C$12)^4,0)</f>
        <v>0</v>
      </c>
      <c r="M109" s="37">
        <f>IF(AND(6&gt;=$F109,6&lt;=$G109),$A109*$D109*$E109*IF($C109="ha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hidup",$K$7,1))))))))*(1+'02_Assumptions'!$C$12)^5,0)</f>
        <v>0</v>
      </c>
      <c r="N109" s="37">
        <f>IF(AND(7&gt;=$F109,7&lt;=$G109),$A109*$D109*$E109*IF($C109="ha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hidup",$K$7,1))))))))*(1+'02_Assumptions'!$C$12)^6,0)</f>
        <v>0</v>
      </c>
      <c r="O109" s="37">
        <f>IF(AND(8&gt;=$F109,8&lt;=$G109),$A109*$D109*$E109*IF($C109="ha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hidup",$K$7,1))))))))*(1+'02_Assumptions'!$C$12)^7,0)</f>
        <v>0</v>
      </c>
      <c r="P109" s="37">
        <f>IF(AND(9&gt;=$F109,9&lt;=$G109),$A109*$D109*$E109*IF($C109="ha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hidup",$K$7,1))))))))*(1+'02_Assumptions'!$C$12)^8,0)</f>
        <v>0</v>
      </c>
      <c r="Q109" s="37">
        <f>IF(AND(10&gt;=$F109,10&lt;=$G109),$A109*$D109*$E109*IF($C109="ha bruto",'02_Assumptions'!$C$6,IF($C109="ha efektif",'02_Assumptions'!$C$24,IF($C109="lokasi",'02_Assumptions'!$C$8,IF($C109="pohon kelapa",'04_Planting_Design'!$D$24,IF($C109="pohon durian",'04_Planting_Design'!$D$25,IF($C109="rumpun pisang",'04_Planting_Design'!$D$26,IF($C109="nanas hidup",$K$6,IF($C109="unit pendukung hidup",$K$7,1))))))))*(1+'02_Assumptions'!$C$12)^9,0)</f>
        <v>0</v>
      </c>
      <c r="R109" s="18"/>
      <c r="S109" s="18"/>
      <c r="T109" s="18"/>
      <c r="U109" s="18"/>
      <c r="V109" s="18"/>
      <c r="W109" s="18"/>
      <c r="X109" s="18"/>
      <c r="Y109" s="18"/>
      <c r="Z109" s="18"/>
      <c r="AA109" s="18"/>
      <c r="AB109" s="18"/>
      <c r="AC109" s="18"/>
      <c r="AD109" s="18"/>
      <c r="AE109" s="18"/>
      <c r="AF109" s="18"/>
      <c r="AG109" s="18"/>
      <c r="AH109" s="18"/>
      <c r="AI109" s="18"/>
      <c r="AJ109" s="18"/>
    </row>
    <row r="110" spans="1:36">
      <c r="A110" s="79">
        <v>0</v>
      </c>
      <c r="B110" s="79" t="s">
        <v>1700</v>
      </c>
      <c r="C110" s="79" t="s">
        <v>1665</v>
      </c>
      <c r="D110" s="79">
        <v>1</v>
      </c>
      <c r="E110" s="77">
        <v>0</v>
      </c>
      <c r="F110" s="79">
        <v>1</v>
      </c>
      <c r="G110" s="79">
        <v>10</v>
      </c>
      <c r="H110" s="37">
        <f>IF(AND(1&gt;=$F110,1&lt;=$G110),$A110*$D110*$E110*IF($C110="ha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hidup",$K$7,1))))))))*(1+'02_Assumptions'!$C$12)^0,0)</f>
        <v>0</v>
      </c>
      <c r="I110" s="37">
        <f>IF(AND(2&gt;=$F110,2&lt;=$G110),$A110*$D110*$E110*IF($C110="ha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hidup",$K$7,1))))))))*(1+'02_Assumptions'!$C$12)^1,0)</f>
        <v>0</v>
      </c>
      <c r="J110" s="37">
        <f>IF(AND(3&gt;=$F110,3&lt;=$G110),$A110*$D110*$E110*IF($C110="ha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hidup",$K$7,1))))))))*(1+'02_Assumptions'!$C$12)^2,0)</f>
        <v>0</v>
      </c>
      <c r="K110" s="37">
        <f>IF(AND(4&gt;=$F110,4&lt;=$G110),$A110*$D110*$E110*IF($C110="ha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hidup",$K$7,1))))))))*(1+'02_Assumptions'!$C$12)^3,0)</f>
        <v>0</v>
      </c>
      <c r="L110" s="37">
        <f>IF(AND(5&gt;=$F110,5&lt;=$G110),$A110*$D110*$E110*IF($C110="ha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hidup",$K$7,1))))))))*(1+'02_Assumptions'!$C$12)^4,0)</f>
        <v>0</v>
      </c>
      <c r="M110" s="37">
        <f>IF(AND(6&gt;=$F110,6&lt;=$G110),$A110*$D110*$E110*IF($C110="ha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hidup",$K$7,1))))))))*(1+'02_Assumptions'!$C$12)^5,0)</f>
        <v>0</v>
      </c>
      <c r="N110" s="37">
        <f>IF(AND(7&gt;=$F110,7&lt;=$G110),$A110*$D110*$E110*IF($C110="ha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hidup",$K$7,1))))))))*(1+'02_Assumptions'!$C$12)^6,0)</f>
        <v>0</v>
      </c>
      <c r="O110" s="37">
        <f>IF(AND(8&gt;=$F110,8&lt;=$G110),$A110*$D110*$E110*IF($C110="ha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hidup",$K$7,1))))))))*(1+'02_Assumptions'!$C$12)^7,0)</f>
        <v>0</v>
      </c>
      <c r="P110" s="37">
        <f>IF(AND(9&gt;=$F110,9&lt;=$G110),$A110*$D110*$E110*IF($C110="ha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hidup",$K$7,1))))))))*(1+'02_Assumptions'!$C$12)^8,0)</f>
        <v>0</v>
      </c>
      <c r="Q110" s="37">
        <f>IF(AND(10&gt;=$F110,10&lt;=$G110),$A110*$D110*$E110*IF($C110="ha bruto",'02_Assumptions'!$C$6,IF($C110="ha efektif",'02_Assumptions'!$C$24,IF($C110="lokasi",'02_Assumptions'!$C$8,IF($C110="pohon kelapa",'04_Planting_Design'!$D$24,IF($C110="pohon durian",'04_Planting_Design'!$D$25,IF($C110="rumpun pisang",'04_Planting_Design'!$D$26,IF($C110="nanas hidup",$K$6,IF($C110="unit pendukung hidup",$K$7,1))))))))*(1+'02_Assumptions'!$C$12)^9,0)</f>
        <v>0</v>
      </c>
      <c r="R110" s="18"/>
      <c r="S110" s="18"/>
      <c r="T110" s="18"/>
      <c r="U110" s="18"/>
      <c r="V110" s="18"/>
      <c r="W110" s="18"/>
      <c r="X110" s="18"/>
      <c r="Y110" s="18"/>
      <c r="Z110" s="18"/>
      <c r="AA110" s="18"/>
      <c r="AB110" s="18"/>
      <c r="AC110" s="18"/>
      <c r="AD110" s="18"/>
      <c r="AE110" s="18"/>
      <c r="AF110" s="18"/>
      <c r="AG110" s="18"/>
      <c r="AH110" s="18"/>
      <c r="AI110" s="18"/>
      <c r="AJ110" s="18"/>
    </row>
    <row r="111" spans="1:36">
      <c r="A111" s="79">
        <v>0</v>
      </c>
      <c r="B111" s="79" t="s">
        <v>1701</v>
      </c>
      <c r="C111" s="79" t="s">
        <v>1665</v>
      </c>
      <c r="D111" s="79">
        <v>1</v>
      </c>
      <c r="E111" s="77">
        <v>0</v>
      </c>
      <c r="F111" s="79">
        <v>1</v>
      </c>
      <c r="G111" s="79">
        <v>10</v>
      </c>
      <c r="H111" s="37">
        <f>IF(AND(1&gt;=$F111,1&lt;=$G111),$A111*$D111*$E111*IF($C111="ha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hidup",$K$7,1))))))))*(1+'02_Assumptions'!$C$12)^0,0)</f>
        <v>0</v>
      </c>
      <c r="I111" s="37">
        <f>IF(AND(2&gt;=$F111,2&lt;=$G111),$A111*$D111*$E111*IF($C111="ha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hidup",$K$7,1))))))))*(1+'02_Assumptions'!$C$12)^1,0)</f>
        <v>0</v>
      </c>
      <c r="J111" s="37">
        <f>IF(AND(3&gt;=$F111,3&lt;=$G111),$A111*$D111*$E111*IF($C111="ha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hidup",$K$7,1))))))))*(1+'02_Assumptions'!$C$12)^2,0)</f>
        <v>0</v>
      </c>
      <c r="K111" s="37">
        <f>IF(AND(4&gt;=$F111,4&lt;=$G111),$A111*$D111*$E111*IF($C111="ha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hidup",$K$7,1))))))))*(1+'02_Assumptions'!$C$12)^3,0)</f>
        <v>0</v>
      </c>
      <c r="L111" s="37">
        <f>IF(AND(5&gt;=$F111,5&lt;=$G111),$A111*$D111*$E111*IF($C111="ha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hidup",$K$7,1))))))))*(1+'02_Assumptions'!$C$12)^4,0)</f>
        <v>0</v>
      </c>
      <c r="M111" s="37">
        <f>IF(AND(6&gt;=$F111,6&lt;=$G111),$A111*$D111*$E111*IF($C111="ha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hidup",$K$7,1))))))))*(1+'02_Assumptions'!$C$12)^5,0)</f>
        <v>0</v>
      </c>
      <c r="N111" s="37">
        <f>IF(AND(7&gt;=$F111,7&lt;=$G111),$A111*$D111*$E111*IF($C111="ha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hidup",$K$7,1))))))))*(1+'02_Assumptions'!$C$12)^6,0)</f>
        <v>0</v>
      </c>
      <c r="O111" s="37">
        <f>IF(AND(8&gt;=$F111,8&lt;=$G111),$A111*$D111*$E111*IF($C111="ha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hidup",$K$7,1))))))))*(1+'02_Assumptions'!$C$12)^7,0)</f>
        <v>0</v>
      </c>
      <c r="P111" s="37">
        <f>IF(AND(9&gt;=$F111,9&lt;=$G111),$A111*$D111*$E111*IF($C111="ha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hidup",$K$7,1))))))))*(1+'02_Assumptions'!$C$12)^8,0)</f>
        <v>0</v>
      </c>
      <c r="Q111" s="37">
        <f>IF(AND(10&gt;=$F111,10&lt;=$G111),$A111*$D111*$E111*IF($C111="ha bruto",'02_Assumptions'!$C$6,IF($C111="ha efektif",'02_Assumptions'!$C$24,IF($C111="lokasi",'02_Assumptions'!$C$8,IF($C111="pohon kelapa",'04_Planting_Design'!$D$24,IF($C111="pohon durian",'04_Planting_Design'!$D$25,IF($C111="rumpun pisang",'04_Planting_Design'!$D$26,IF($C111="nanas hidup",$K$6,IF($C111="unit pendukung hidup",$K$7,1))))))))*(1+'02_Assumptions'!$C$12)^9,0)</f>
        <v>0</v>
      </c>
      <c r="R111" s="18"/>
      <c r="S111" s="18"/>
      <c r="T111" s="18"/>
      <c r="U111" s="18"/>
      <c r="V111" s="18"/>
      <c r="W111" s="18"/>
      <c r="X111" s="18"/>
      <c r="Y111" s="18"/>
      <c r="Z111" s="18"/>
      <c r="AA111" s="18"/>
      <c r="AB111" s="18"/>
      <c r="AC111" s="18"/>
      <c r="AD111" s="18"/>
      <c r="AE111" s="18"/>
      <c r="AF111" s="18"/>
      <c r="AG111" s="18"/>
      <c r="AH111" s="18"/>
      <c r="AI111" s="18"/>
      <c r="AJ111" s="18"/>
    </row>
    <row r="112" spans="1:36">
      <c r="A112" s="79">
        <v>0</v>
      </c>
      <c r="B112" s="79" t="s">
        <v>1702</v>
      </c>
      <c r="C112" s="79" t="s">
        <v>1665</v>
      </c>
      <c r="D112" s="79">
        <v>1</v>
      </c>
      <c r="E112" s="77">
        <v>0</v>
      </c>
      <c r="F112" s="79">
        <v>1</v>
      </c>
      <c r="G112" s="79">
        <v>10</v>
      </c>
      <c r="H112" s="37">
        <f>IF(AND(1&gt;=$F112,1&lt;=$G112),$A112*$D112*$E112*IF($C112="ha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hidup",$K$7,1))))))))*(1+'02_Assumptions'!$C$12)^0,0)</f>
        <v>0</v>
      </c>
      <c r="I112" s="37">
        <f>IF(AND(2&gt;=$F112,2&lt;=$G112),$A112*$D112*$E112*IF($C112="ha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hidup",$K$7,1))))))))*(1+'02_Assumptions'!$C$12)^1,0)</f>
        <v>0</v>
      </c>
      <c r="J112" s="37">
        <f>IF(AND(3&gt;=$F112,3&lt;=$G112),$A112*$D112*$E112*IF($C112="ha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hidup",$K$7,1))))))))*(1+'02_Assumptions'!$C$12)^2,0)</f>
        <v>0</v>
      </c>
      <c r="K112" s="37">
        <f>IF(AND(4&gt;=$F112,4&lt;=$G112),$A112*$D112*$E112*IF($C112="ha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hidup",$K$7,1))))))))*(1+'02_Assumptions'!$C$12)^3,0)</f>
        <v>0</v>
      </c>
      <c r="L112" s="37">
        <f>IF(AND(5&gt;=$F112,5&lt;=$G112),$A112*$D112*$E112*IF($C112="ha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hidup",$K$7,1))))))))*(1+'02_Assumptions'!$C$12)^4,0)</f>
        <v>0</v>
      </c>
      <c r="M112" s="37">
        <f>IF(AND(6&gt;=$F112,6&lt;=$G112),$A112*$D112*$E112*IF($C112="ha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hidup",$K$7,1))))))))*(1+'02_Assumptions'!$C$12)^5,0)</f>
        <v>0</v>
      </c>
      <c r="N112" s="37">
        <f>IF(AND(7&gt;=$F112,7&lt;=$G112),$A112*$D112*$E112*IF($C112="ha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hidup",$K$7,1))))))))*(1+'02_Assumptions'!$C$12)^6,0)</f>
        <v>0</v>
      </c>
      <c r="O112" s="37">
        <f>IF(AND(8&gt;=$F112,8&lt;=$G112),$A112*$D112*$E112*IF($C112="ha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hidup",$K$7,1))))))))*(1+'02_Assumptions'!$C$12)^7,0)</f>
        <v>0</v>
      </c>
      <c r="P112" s="37">
        <f>IF(AND(9&gt;=$F112,9&lt;=$G112),$A112*$D112*$E112*IF($C112="ha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hidup",$K$7,1))))))))*(1+'02_Assumptions'!$C$12)^8,0)</f>
        <v>0</v>
      </c>
      <c r="Q112" s="37">
        <f>IF(AND(10&gt;=$F112,10&lt;=$G112),$A112*$D112*$E112*IF($C112="ha bruto",'02_Assumptions'!$C$6,IF($C112="ha efektif",'02_Assumptions'!$C$24,IF($C112="lokasi",'02_Assumptions'!$C$8,IF($C112="pohon kelapa",'04_Planting_Design'!$D$24,IF($C112="pohon durian",'04_Planting_Design'!$D$25,IF($C112="rumpun pisang",'04_Planting_Design'!$D$26,IF($C112="nanas hidup",$K$6,IF($C112="unit pendukung hidup",$K$7,1))))))))*(1+'02_Assumptions'!$C$12)^9,0)</f>
        <v>0</v>
      </c>
      <c r="R112" s="18"/>
      <c r="S112" s="18"/>
      <c r="T112" s="18"/>
      <c r="U112" s="18"/>
      <c r="V112" s="18"/>
      <c r="W112" s="18"/>
      <c r="X112" s="18"/>
      <c r="Y112" s="18"/>
      <c r="Z112" s="18"/>
      <c r="AA112" s="18"/>
      <c r="AB112" s="18"/>
      <c r="AC112" s="18"/>
      <c r="AD112" s="18"/>
      <c r="AE112" s="18"/>
      <c r="AF112" s="18"/>
      <c r="AG112" s="18"/>
      <c r="AH112" s="18"/>
      <c r="AI112" s="18"/>
      <c r="AJ112" s="18"/>
    </row>
    <row r="113" spans="1:36">
      <c r="A113" s="79">
        <v>0</v>
      </c>
      <c r="B113" s="79" t="s">
        <v>1703</v>
      </c>
      <c r="C113" s="79" t="s">
        <v>1665</v>
      </c>
      <c r="D113" s="79">
        <v>1</v>
      </c>
      <c r="E113" s="77">
        <v>0</v>
      </c>
      <c r="F113" s="79">
        <v>1</v>
      </c>
      <c r="G113" s="79">
        <v>10</v>
      </c>
      <c r="H113" s="37">
        <f>IF(AND(1&gt;=$F113,1&lt;=$G113),$A113*$D113*$E113*IF($C113="ha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hidup",$K$7,1))))))))*(1+'02_Assumptions'!$C$12)^0,0)</f>
        <v>0</v>
      </c>
      <c r="I113" s="37">
        <f>IF(AND(2&gt;=$F113,2&lt;=$G113),$A113*$D113*$E113*IF($C113="ha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hidup",$K$7,1))))))))*(1+'02_Assumptions'!$C$12)^1,0)</f>
        <v>0</v>
      </c>
      <c r="J113" s="37">
        <f>IF(AND(3&gt;=$F113,3&lt;=$G113),$A113*$D113*$E113*IF($C113="ha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hidup",$K$7,1))))))))*(1+'02_Assumptions'!$C$12)^2,0)</f>
        <v>0</v>
      </c>
      <c r="K113" s="37">
        <f>IF(AND(4&gt;=$F113,4&lt;=$G113),$A113*$D113*$E113*IF($C113="ha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hidup",$K$7,1))))))))*(1+'02_Assumptions'!$C$12)^3,0)</f>
        <v>0</v>
      </c>
      <c r="L113" s="37">
        <f>IF(AND(5&gt;=$F113,5&lt;=$G113),$A113*$D113*$E113*IF($C113="ha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hidup",$K$7,1))))))))*(1+'02_Assumptions'!$C$12)^4,0)</f>
        <v>0</v>
      </c>
      <c r="M113" s="37">
        <f>IF(AND(6&gt;=$F113,6&lt;=$G113),$A113*$D113*$E113*IF($C113="ha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hidup",$K$7,1))))))))*(1+'02_Assumptions'!$C$12)^5,0)</f>
        <v>0</v>
      </c>
      <c r="N113" s="37">
        <f>IF(AND(7&gt;=$F113,7&lt;=$G113),$A113*$D113*$E113*IF($C113="ha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hidup",$K$7,1))))))))*(1+'02_Assumptions'!$C$12)^6,0)</f>
        <v>0</v>
      </c>
      <c r="O113" s="37">
        <f>IF(AND(8&gt;=$F113,8&lt;=$G113),$A113*$D113*$E113*IF($C113="ha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hidup",$K$7,1))))))))*(1+'02_Assumptions'!$C$12)^7,0)</f>
        <v>0</v>
      </c>
      <c r="P113" s="37">
        <f>IF(AND(9&gt;=$F113,9&lt;=$G113),$A113*$D113*$E113*IF($C113="ha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hidup",$K$7,1))))))))*(1+'02_Assumptions'!$C$12)^8,0)</f>
        <v>0</v>
      </c>
      <c r="Q113" s="37">
        <f>IF(AND(10&gt;=$F113,10&lt;=$G113),$A113*$D113*$E113*IF($C113="ha bruto",'02_Assumptions'!$C$6,IF($C113="ha efektif",'02_Assumptions'!$C$24,IF($C113="lokasi",'02_Assumptions'!$C$8,IF($C113="pohon kelapa",'04_Planting_Design'!$D$24,IF($C113="pohon durian",'04_Planting_Design'!$D$25,IF($C113="rumpun pisang",'04_Planting_Design'!$D$26,IF($C113="nanas hidup",$K$6,IF($C113="unit pendukung hidup",$K$7,1))))))))*(1+'02_Assumptions'!$C$12)^9,0)</f>
        <v>0</v>
      </c>
      <c r="R113" s="18"/>
      <c r="S113" s="18"/>
      <c r="T113" s="18"/>
      <c r="U113" s="18"/>
      <c r="V113" s="18"/>
      <c r="W113" s="18"/>
      <c r="X113" s="18"/>
      <c r="Y113" s="18"/>
      <c r="Z113" s="18"/>
      <c r="AA113" s="18"/>
      <c r="AB113" s="18"/>
      <c r="AC113" s="18"/>
      <c r="AD113" s="18"/>
      <c r="AE113" s="18"/>
      <c r="AF113" s="18"/>
      <c r="AG113" s="18"/>
      <c r="AH113" s="18"/>
      <c r="AI113" s="18"/>
      <c r="AJ113" s="18"/>
    </row>
    <row r="114" spans="1:36">
      <c r="A114" s="79">
        <v>0</v>
      </c>
      <c r="B114" s="79" t="s">
        <v>1704</v>
      </c>
      <c r="C114" s="79" t="s">
        <v>1665</v>
      </c>
      <c r="D114" s="79">
        <v>1</v>
      </c>
      <c r="E114" s="77">
        <v>0</v>
      </c>
      <c r="F114" s="79">
        <v>1</v>
      </c>
      <c r="G114" s="79">
        <v>10</v>
      </c>
      <c r="H114" s="37">
        <f>IF(AND(1&gt;=$F114,1&lt;=$G114),$A114*$D114*$E114*IF($C114="ha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hidup",$K$7,1))))))))*(1+'02_Assumptions'!$C$12)^0,0)</f>
        <v>0</v>
      </c>
      <c r="I114" s="37">
        <f>IF(AND(2&gt;=$F114,2&lt;=$G114),$A114*$D114*$E114*IF($C114="ha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hidup",$K$7,1))))))))*(1+'02_Assumptions'!$C$12)^1,0)</f>
        <v>0</v>
      </c>
      <c r="J114" s="37">
        <f>IF(AND(3&gt;=$F114,3&lt;=$G114),$A114*$D114*$E114*IF($C114="ha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hidup",$K$7,1))))))))*(1+'02_Assumptions'!$C$12)^2,0)</f>
        <v>0</v>
      </c>
      <c r="K114" s="37">
        <f>IF(AND(4&gt;=$F114,4&lt;=$G114),$A114*$D114*$E114*IF($C114="ha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hidup",$K$7,1))))))))*(1+'02_Assumptions'!$C$12)^3,0)</f>
        <v>0</v>
      </c>
      <c r="L114" s="37">
        <f>IF(AND(5&gt;=$F114,5&lt;=$G114),$A114*$D114*$E114*IF($C114="ha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hidup",$K$7,1))))))))*(1+'02_Assumptions'!$C$12)^4,0)</f>
        <v>0</v>
      </c>
      <c r="M114" s="37">
        <f>IF(AND(6&gt;=$F114,6&lt;=$G114),$A114*$D114*$E114*IF($C114="ha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hidup",$K$7,1))))))))*(1+'02_Assumptions'!$C$12)^5,0)</f>
        <v>0</v>
      </c>
      <c r="N114" s="37">
        <f>IF(AND(7&gt;=$F114,7&lt;=$G114),$A114*$D114*$E114*IF($C114="ha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hidup",$K$7,1))))))))*(1+'02_Assumptions'!$C$12)^6,0)</f>
        <v>0</v>
      </c>
      <c r="O114" s="37">
        <f>IF(AND(8&gt;=$F114,8&lt;=$G114),$A114*$D114*$E114*IF($C114="ha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hidup",$K$7,1))))))))*(1+'02_Assumptions'!$C$12)^7,0)</f>
        <v>0</v>
      </c>
      <c r="P114" s="37">
        <f>IF(AND(9&gt;=$F114,9&lt;=$G114),$A114*$D114*$E114*IF($C114="ha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hidup",$K$7,1))))))))*(1+'02_Assumptions'!$C$12)^8,0)</f>
        <v>0</v>
      </c>
      <c r="Q114" s="37">
        <f>IF(AND(10&gt;=$F114,10&lt;=$G114),$A114*$D114*$E114*IF($C114="ha bruto",'02_Assumptions'!$C$6,IF($C114="ha efektif",'02_Assumptions'!$C$24,IF($C114="lokasi",'02_Assumptions'!$C$8,IF($C114="pohon kelapa",'04_Planting_Design'!$D$24,IF($C114="pohon durian",'04_Planting_Design'!$D$25,IF($C114="rumpun pisang",'04_Planting_Design'!$D$26,IF($C114="nanas hidup",$K$6,IF($C114="unit pendukung hidup",$K$7,1))))))))*(1+'02_Assumptions'!$C$12)^9,0)</f>
        <v>0</v>
      </c>
      <c r="R114" s="18"/>
      <c r="S114" s="18"/>
      <c r="T114" s="18"/>
      <c r="U114" s="18"/>
      <c r="V114" s="18"/>
      <c r="W114" s="18"/>
      <c r="X114" s="18"/>
      <c r="Y114" s="18"/>
      <c r="Z114" s="18"/>
      <c r="AA114" s="18"/>
      <c r="AB114" s="18"/>
      <c r="AC114" s="18"/>
      <c r="AD114" s="18"/>
      <c r="AE114" s="18"/>
      <c r="AF114" s="18"/>
      <c r="AG114" s="18"/>
      <c r="AH114" s="18"/>
      <c r="AI114" s="18"/>
      <c r="AJ114" s="18"/>
    </row>
    <row r="115" spans="1:36">
      <c r="A115" s="18"/>
      <c r="B115" s="18"/>
      <c r="C115" s="18"/>
      <c r="D115" s="18"/>
      <c r="E115" s="18"/>
      <c r="F115" s="18"/>
      <c r="G115" s="18"/>
      <c r="H115" s="37"/>
      <c r="I115" s="37"/>
      <c r="J115" s="37"/>
      <c r="K115" s="37"/>
      <c r="L115" s="37"/>
      <c r="M115" s="37"/>
      <c r="N115" s="37"/>
      <c r="O115" s="37"/>
      <c r="P115" s="37"/>
      <c r="Q115" s="37"/>
      <c r="R115" s="18"/>
      <c r="S115" s="18"/>
      <c r="T115" s="18"/>
      <c r="U115" s="18"/>
      <c r="V115" s="18"/>
      <c r="W115" s="18"/>
      <c r="X115" s="18"/>
      <c r="Y115" s="18"/>
      <c r="Z115" s="18"/>
      <c r="AA115" s="18"/>
      <c r="AB115" s="18"/>
      <c r="AC115" s="18"/>
      <c r="AD115" s="18"/>
      <c r="AE115" s="18"/>
      <c r="AF115" s="18"/>
      <c r="AG115" s="18"/>
      <c r="AH115" s="18"/>
      <c r="AI115" s="18"/>
      <c r="AJ115" s="18"/>
    </row>
    <row r="116" spans="1:36">
      <c r="A116" s="263" t="s">
        <v>1705</v>
      </c>
      <c r="B116" s="263"/>
      <c r="C116" s="263"/>
      <c r="D116" s="263"/>
      <c r="E116" s="263"/>
      <c r="F116" s="263"/>
      <c r="G116" s="263"/>
      <c r="H116" s="80">
        <f t="shared" ref="H116:Q116" si="20">SUM(H105:H114)</f>
        <v>0</v>
      </c>
      <c r="I116" s="80">
        <f t="shared" si="20"/>
        <v>0</v>
      </c>
      <c r="J116" s="80">
        <f t="shared" si="20"/>
        <v>0</v>
      </c>
      <c r="K116" s="80">
        <f t="shared" si="20"/>
        <v>0</v>
      </c>
      <c r="L116" s="80">
        <f t="shared" si="20"/>
        <v>0</v>
      </c>
      <c r="M116" s="80">
        <f t="shared" si="20"/>
        <v>0</v>
      </c>
      <c r="N116" s="80">
        <f t="shared" si="20"/>
        <v>0</v>
      </c>
      <c r="O116" s="80">
        <f t="shared" si="20"/>
        <v>0</v>
      </c>
      <c r="P116" s="80">
        <f t="shared" si="20"/>
        <v>0</v>
      </c>
      <c r="Q116" s="80">
        <f t="shared" si="20"/>
        <v>0</v>
      </c>
      <c r="R116" s="80"/>
      <c r="S116" s="18"/>
      <c r="T116" s="18"/>
      <c r="U116" s="18"/>
      <c r="V116" s="18"/>
      <c r="W116" s="18"/>
      <c r="X116" s="18"/>
      <c r="Y116" s="18"/>
      <c r="Z116" s="18"/>
      <c r="AA116" s="18"/>
      <c r="AB116" s="18"/>
      <c r="AC116" s="18"/>
      <c r="AD116" s="18"/>
      <c r="AE116" s="18"/>
      <c r="AF116" s="18"/>
      <c r="AG116" s="18"/>
      <c r="AH116" s="18"/>
      <c r="AI116" s="18"/>
      <c r="AJ116" s="18"/>
    </row>
    <row r="117" spans="1:36">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spans="1:36">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spans="1:36" ht="20" customHeight="1">
      <c r="A119" s="278" t="s">
        <v>1706</v>
      </c>
      <c r="B119" s="278"/>
      <c r="C119" s="278"/>
      <c r="D119" s="278"/>
      <c r="E119" s="278"/>
      <c r="F119" s="278"/>
      <c r="G119" s="278"/>
      <c r="H119" s="27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spans="1:36" ht="32" customHeight="1">
      <c r="A120" s="71" t="s">
        <v>1707</v>
      </c>
      <c r="B120" s="71" t="s">
        <v>1708</v>
      </c>
      <c r="C120" s="71" t="s">
        <v>1709</v>
      </c>
      <c r="D120" s="71" t="s">
        <v>1710</v>
      </c>
      <c r="E120" s="71" t="s">
        <v>1711</v>
      </c>
      <c r="F120" s="71" t="s">
        <v>1712</v>
      </c>
      <c r="G120" s="71" t="s">
        <v>1713</v>
      </c>
      <c r="H120" s="71" t="s">
        <v>120</v>
      </c>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spans="1:36">
      <c r="A121" s="18" t="s">
        <v>142</v>
      </c>
      <c r="B121" s="18" t="s">
        <v>1714</v>
      </c>
      <c r="C121" s="18" t="s">
        <v>1715</v>
      </c>
      <c r="D121" s="18" t="s">
        <v>1716</v>
      </c>
      <c r="E121" s="18" t="s">
        <v>1717</v>
      </c>
      <c r="F121" s="18" t="s">
        <v>1718</v>
      </c>
      <c r="G121" s="18" t="s">
        <v>1719</v>
      </c>
      <c r="H121" s="18" t="s">
        <v>1720</v>
      </c>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spans="1:36" ht="23.25">
      <c r="A122" s="18" t="s">
        <v>1721</v>
      </c>
      <c r="B122" s="18" t="s">
        <v>1722</v>
      </c>
      <c r="C122" s="18" t="s">
        <v>1723</v>
      </c>
      <c r="D122" s="18" t="s">
        <v>1724</v>
      </c>
      <c r="E122" s="18" t="s">
        <v>1725</v>
      </c>
      <c r="F122" s="18" t="s">
        <v>1726</v>
      </c>
      <c r="G122" s="18" t="s">
        <v>1727</v>
      </c>
      <c r="H122" s="18" t="s">
        <v>1720</v>
      </c>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spans="1:36" ht="23.25">
      <c r="A123" s="18" t="s">
        <v>1728</v>
      </c>
      <c r="B123" s="18" t="s">
        <v>1729</v>
      </c>
      <c r="C123" s="18" t="s">
        <v>1730</v>
      </c>
      <c r="D123" s="18" t="s">
        <v>1731</v>
      </c>
      <c r="E123" s="18" t="s">
        <v>1732</v>
      </c>
      <c r="F123" s="18" t="s">
        <v>1733</v>
      </c>
      <c r="G123" s="18" t="s">
        <v>1734</v>
      </c>
      <c r="H123" s="18" t="s">
        <v>1720</v>
      </c>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spans="1:36" ht="23.25">
      <c r="A124" s="18" t="s">
        <v>1735</v>
      </c>
      <c r="B124" s="18" t="s">
        <v>1736</v>
      </c>
      <c r="C124" s="18" t="s">
        <v>1737</v>
      </c>
      <c r="D124" s="18" t="s">
        <v>1738</v>
      </c>
      <c r="E124" s="18" t="s">
        <v>1739</v>
      </c>
      <c r="F124" s="18" t="s">
        <v>1740</v>
      </c>
      <c r="G124" s="18" t="s">
        <v>1741</v>
      </c>
      <c r="H124" s="18" t="s">
        <v>1720</v>
      </c>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spans="1:36">
      <c r="A125" s="18" t="s">
        <v>851</v>
      </c>
      <c r="B125" s="18" t="s">
        <v>1742</v>
      </c>
      <c r="C125" s="18" t="s">
        <v>1743</v>
      </c>
      <c r="D125" s="18" t="s">
        <v>1744</v>
      </c>
      <c r="E125" s="18" t="s">
        <v>1745</v>
      </c>
      <c r="F125" s="18" t="s">
        <v>1746</v>
      </c>
      <c r="G125" s="18" t="s">
        <v>1747</v>
      </c>
      <c r="H125" s="18" t="s">
        <v>1720</v>
      </c>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spans="1:36" ht="23.25">
      <c r="A126" s="18" t="s">
        <v>1748</v>
      </c>
      <c r="B126" s="18" t="s">
        <v>1749</v>
      </c>
      <c r="C126" s="18" t="s">
        <v>1750</v>
      </c>
      <c r="D126" s="18" t="s">
        <v>1751</v>
      </c>
      <c r="E126" s="18" t="s">
        <v>1732</v>
      </c>
      <c r="F126" s="18" t="s">
        <v>1746</v>
      </c>
      <c r="G126" s="18" t="s">
        <v>1752</v>
      </c>
      <c r="H126" s="18" t="s">
        <v>1720</v>
      </c>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spans="1:36">
      <c r="A127" s="18" t="s">
        <v>1753</v>
      </c>
      <c r="B127" s="18" t="s">
        <v>1754</v>
      </c>
      <c r="C127" s="18" t="s">
        <v>1755</v>
      </c>
      <c r="D127" s="18" t="s">
        <v>1756</v>
      </c>
      <c r="E127" s="18" t="s">
        <v>1732</v>
      </c>
      <c r="F127" s="18" t="s">
        <v>1757</v>
      </c>
      <c r="G127" s="18" t="s">
        <v>1758</v>
      </c>
      <c r="H127" s="18" t="s">
        <v>1720</v>
      </c>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sheetData>
  <mergeCells count="18">
    <mergeCell ref="A103:R103"/>
    <mergeCell ref="A116:G116"/>
    <mergeCell ref="A119:H119"/>
    <mergeCell ref="A68:M68"/>
    <mergeCell ref="A71:K71"/>
    <mergeCell ref="A84:H84"/>
    <mergeCell ref="A87:R87"/>
    <mergeCell ref="A100:G100"/>
    <mergeCell ref="A34:O34"/>
    <mergeCell ref="A35:Y35"/>
    <mergeCell ref="A38:Y38"/>
    <mergeCell ref="A52:N52"/>
    <mergeCell ref="A55:X55"/>
    <mergeCell ref="A1:AJ1"/>
    <mergeCell ref="A2:AJ2"/>
    <mergeCell ref="A4:N4"/>
    <mergeCell ref="A18:H18"/>
    <mergeCell ref="A21:AJ21"/>
  </mergeCells>
  <dataValidations count="2">
    <dataValidation type="list" sqref="A8:A15 A105:A114 A89:A98 A73:A82" xr:uid="{00000000-0002-0000-1100-000000000000}">
      <formula1>"0,1"</formula1>
    </dataValidation>
    <dataValidation type="list" sqref="C73:C82 C105:C114 C89:C98" xr:uid="{00000000-0002-0000-1100-000002000000}">
      <formula1>"Nilai tetap,ha bruto,ha efektif,lokasi,pohon kelapa,pohon durian,rumpun pisang,nanas hidup,unit pendukung hidup"</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90"/>
  <sheetViews>
    <sheetView showGridLines="0" workbookViewId="0"/>
  </sheetViews>
  <sheetFormatPr defaultRowHeight="13.5"/>
  <cols>
    <col min="1" max="1" width="18" customWidth="1"/>
    <col min="2" max="2" width="35" customWidth="1"/>
    <col min="3" max="3" width="16" customWidth="1"/>
    <col min="4" max="4" width="15" customWidth="1"/>
    <col min="5" max="15" width="11" customWidth="1"/>
    <col min="16" max="16" width="12" customWidth="1"/>
    <col min="17" max="21" width="16" customWidth="1"/>
    <col min="22" max="22" width="46" customWidth="1"/>
  </cols>
  <sheetData>
    <row r="1" spans="1:22" ht="28.05" customHeight="1">
      <c r="A1" s="290" t="s">
        <v>1892</v>
      </c>
      <c r="B1" s="290"/>
      <c r="C1" s="290"/>
      <c r="D1" s="290"/>
      <c r="E1" s="290"/>
      <c r="F1" s="290"/>
      <c r="G1" s="290"/>
      <c r="H1" s="290"/>
      <c r="I1" s="290"/>
      <c r="J1" s="290"/>
      <c r="K1" s="290"/>
      <c r="L1" s="290"/>
      <c r="M1" s="290"/>
      <c r="N1" s="290"/>
      <c r="O1" s="290"/>
      <c r="P1" s="290"/>
      <c r="Q1" s="290"/>
      <c r="R1" s="290"/>
      <c r="S1" s="290"/>
      <c r="T1" s="290"/>
      <c r="U1" s="290"/>
      <c r="V1" s="290"/>
    </row>
    <row r="2" spans="1:22" ht="38" customHeight="1">
      <c r="A2" s="291" t="s">
        <v>1893</v>
      </c>
      <c r="B2" s="291"/>
      <c r="C2" s="291"/>
      <c r="D2" s="291"/>
      <c r="E2" s="291"/>
      <c r="F2" s="291"/>
      <c r="G2" s="291"/>
      <c r="H2" s="291"/>
      <c r="I2" s="291"/>
      <c r="J2" s="291"/>
      <c r="K2" s="291"/>
      <c r="L2" s="291"/>
      <c r="M2" s="291"/>
      <c r="N2" s="291"/>
      <c r="O2" s="291"/>
      <c r="P2" s="291"/>
      <c r="Q2" s="291"/>
      <c r="R2" s="291"/>
      <c r="S2" s="291"/>
      <c r="T2" s="291"/>
      <c r="U2" s="291"/>
      <c r="V2" s="291"/>
    </row>
    <row r="3" spans="1:22">
      <c r="A3" s="5"/>
      <c r="B3" s="5"/>
      <c r="C3" s="5"/>
      <c r="D3" s="5"/>
      <c r="E3" s="5"/>
      <c r="F3" s="5"/>
      <c r="G3" s="5"/>
      <c r="H3" s="5"/>
      <c r="I3" s="5"/>
      <c r="J3" s="5"/>
      <c r="K3" s="5"/>
      <c r="L3" s="5"/>
      <c r="M3" s="5"/>
      <c r="N3" s="5"/>
      <c r="O3" s="5"/>
      <c r="P3" s="5"/>
      <c r="Q3" s="5"/>
      <c r="R3" s="5"/>
      <c r="S3" s="5"/>
      <c r="T3" s="5"/>
      <c r="U3" s="5"/>
      <c r="V3" s="5"/>
    </row>
    <row r="4" spans="1:22" ht="20" customHeight="1">
      <c r="A4" s="249" t="s">
        <v>1894</v>
      </c>
      <c r="B4" s="249"/>
      <c r="C4" s="249"/>
      <c r="D4" s="249"/>
      <c r="E4" s="249"/>
      <c r="F4" s="249"/>
      <c r="G4" s="249"/>
      <c r="H4" s="249"/>
      <c r="I4" s="249"/>
      <c r="J4" s="249"/>
      <c r="K4" s="249"/>
      <c r="L4" s="249"/>
      <c r="M4" s="249"/>
      <c r="N4" s="249"/>
      <c r="O4" s="249"/>
      <c r="P4" s="249"/>
      <c r="Q4" s="249"/>
      <c r="R4" s="249"/>
      <c r="S4" s="249"/>
      <c r="T4" s="249"/>
      <c r="U4" s="249"/>
      <c r="V4" s="249"/>
    </row>
    <row r="5" spans="1:22" ht="32" customHeight="1">
      <c r="A5" s="130" t="s">
        <v>473</v>
      </c>
      <c r="B5" s="131" t="s">
        <v>1895</v>
      </c>
      <c r="C5" s="131" t="s">
        <v>1896</v>
      </c>
      <c r="D5" s="131" t="s">
        <v>1897</v>
      </c>
      <c r="E5" s="131" t="s">
        <v>1898</v>
      </c>
      <c r="F5" s="131" t="s">
        <v>1899</v>
      </c>
      <c r="G5" s="131" t="s">
        <v>1900</v>
      </c>
      <c r="H5" s="131" t="s">
        <v>1901</v>
      </c>
      <c r="I5" s="131" t="s">
        <v>1902</v>
      </c>
      <c r="J5" s="131" t="s">
        <v>1903</v>
      </c>
      <c r="K5" s="131" t="s">
        <v>1904</v>
      </c>
      <c r="L5" s="131" t="s">
        <v>1905</v>
      </c>
      <c r="M5" s="131" t="s">
        <v>1906</v>
      </c>
      <c r="N5" s="131" t="s">
        <v>1907</v>
      </c>
      <c r="O5" s="131" t="s">
        <v>1908</v>
      </c>
      <c r="P5" s="131" t="s">
        <v>850</v>
      </c>
      <c r="Q5" s="131" t="s">
        <v>1909</v>
      </c>
      <c r="R5" s="131" t="s">
        <v>1910</v>
      </c>
      <c r="S5" s="131" t="s">
        <v>1911</v>
      </c>
      <c r="T5" s="131" t="s">
        <v>1912</v>
      </c>
      <c r="U5" s="131" t="s">
        <v>1913</v>
      </c>
      <c r="V5" s="132" t="s">
        <v>1914</v>
      </c>
    </row>
    <row r="6" spans="1:22">
      <c r="A6" s="133">
        <v>1</v>
      </c>
      <c r="B6" s="133" t="s">
        <v>1915</v>
      </c>
      <c r="C6" s="134">
        <f>IF('02_Assumptions'!$C$8=1,'06_Equipment_Tools'!$I$29+'06_Equipment_Tools'!$I$30,'06_Equipment_Tools'!$I$29+'06_Equipment_Tools'!$I$30+(('06_Equipment_Tools'!$J$29+'06_Equipment_Tools'!$J$30)-('06_Equipment_Tools'!$I$29+'06_Equipment_Tools'!$I$30))*('02_Assumptions'!$C$8-1)/3)</f>
        <v>410000000</v>
      </c>
      <c r="D6" s="196">
        <v>3200000</v>
      </c>
      <c r="E6" s="135">
        <f>ROUNDUP(MAX(1*'02_Assumptions'!$C$8,45*'02_Assumptions'!$C$6/100),0)</f>
        <v>45</v>
      </c>
      <c r="F6" s="135">
        <f>ROUNDUP(MAX(1*'02_Assumptions'!$C$8,18*'02_Assumptions'!$C$6/100),0)</f>
        <v>18</v>
      </c>
      <c r="G6" s="135">
        <f>ROUNDUP(MAX(1*'02_Assumptions'!$C$8,12*'02_Assumptions'!$C$6/100),0)</f>
        <v>12</v>
      </c>
      <c r="H6" s="135">
        <f>ROUNDUP(MAX(1*'02_Assumptions'!$C$8,12*'02_Assumptions'!$C$6/100),0)</f>
        <v>12</v>
      </c>
      <c r="I6" s="135">
        <f>ROUNDUP(MAX(1*'02_Assumptions'!$C$8,8*'02_Assumptions'!$C$6/100),0)</f>
        <v>8</v>
      </c>
      <c r="J6" s="135">
        <f>ROUNDUP(MAX(1*'02_Assumptions'!$C$8,6*'02_Assumptions'!$C$6/100),0)</f>
        <v>6</v>
      </c>
      <c r="K6" s="135">
        <f>ROUNDUP(MAX(1*'02_Assumptions'!$C$8,6*'02_Assumptions'!$C$6/100),0)</f>
        <v>6</v>
      </c>
      <c r="L6" s="135">
        <f>ROUNDUP(MAX(1*'02_Assumptions'!$C$8,6*'02_Assumptions'!$C$6/100),0)</f>
        <v>6</v>
      </c>
      <c r="M6" s="135">
        <f>ROUNDUP(MAX(1*'02_Assumptions'!$C$8,6*'02_Assumptions'!$C$6/100),0)</f>
        <v>6</v>
      </c>
      <c r="N6" s="135">
        <f>ROUNDUP(MAX(1*'02_Assumptions'!$C$8,6*'02_Assumptions'!$C$6/100),0)</f>
        <v>6</v>
      </c>
      <c r="O6" s="135">
        <f>ROUNDUP(MAX(1*'02_Assumptions'!$C$8,6*'02_Assumptions'!$C$6/100),0)</f>
        <v>6</v>
      </c>
      <c r="P6" s="195" t="str">
        <f>U6</f>
        <v>Sewa</v>
      </c>
      <c r="Q6" s="8">
        <f>IF($A6=0,0,IF($P6="Beli",$C6,$D6*$E6))</f>
        <v>144000000</v>
      </c>
      <c r="R6" s="8">
        <f>IF(OR($A6=0,$P6&lt;&gt;"Sewa"),0,$D6*F6*(1+'02_Assumptions'!$C$11)^0+$D6*G6*(1+'02_Assumptions'!$C$11)^1+$D6*H6*(1+'02_Assumptions'!$C$11)^2+$D6*I6*(1+'02_Assumptions'!$C$11)^3+$D6*J6*(1+'02_Assumptions'!$C$11)^4+$D6*K6*(1+'02_Assumptions'!$C$11)^5+$D6*L6*(1+'02_Assumptions'!$C$11)^6+$D6*M6*(1+'02_Assumptions'!$C$11)^7+$D6*N6*(1+'02_Assumptions'!$C$11)^8+$D6*O6*(1+'02_Assumptions'!$C$11)^9)</f>
        <v>316851106.36080509</v>
      </c>
      <c r="S6" s="8">
        <f>IF($A6=0,0,$C6+$C6*'02_Assumptions'!$C$113*SUMPRODUCT((1+'02_Assumptions'!$C$11)^{0,1,2,3,4,5,6,7,8,9})+$C6*'02_Assumptions'!$C$183*(1+'02_Assumptions'!$C$11)^4+$C6*'02_Assumptions'!$C$184*(1+'02_Assumptions'!$C$11)^7)</f>
        <v>806006800.88932061</v>
      </c>
      <c r="T6" s="8">
        <f>IF($A6=0,0,$D6*$E6+$D6*F6*(1+'02_Assumptions'!$C$11)^0+$D6*G6*(1+'02_Assumptions'!$C$11)^1+$D6*H6*(1+'02_Assumptions'!$C$11)^2+$D6*I6*(1+'02_Assumptions'!$C$11)^3+$D6*J6*(1+'02_Assumptions'!$C$11)^4+$D6*K6*(1+'02_Assumptions'!$C$11)^5+$D6*L6*(1+'02_Assumptions'!$C$11)^6+$D6*M6*(1+'02_Assumptions'!$C$11)^7+$D6*N6*(1+'02_Assumptions'!$C$11)^8+$D6*O6*(1+'02_Assumptions'!$C$11)^9)</f>
        <v>460851106.36080509</v>
      </c>
      <c r="U6" s="70" t="str">
        <f>IF($A6=0,"Nonaktif",IF($S6&lt;=$T6,"Beli","Sewa"))</f>
        <v>Sewa</v>
      </c>
      <c r="V6" s="5" t="s">
        <v>1916</v>
      </c>
    </row>
    <row r="7" spans="1:22">
      <c r="A7" s="133">
        <v>1</v>
      </c>
      <c r="B7" s="133" t="s">
        <v>1917</v>
      </c>
      <c r="C7" s="134">
        <f>IF('02_Assumptions'!$C$8=1,'06_Equipment_Tools'!$I$33,'06_Equipment_Tools'!$I$33+('06_Equipment_Tools'!$J$33-'06_Equipment_Tools'!$I$33)*('02_Assumptions'!$C$8-1)/3)</f>
        <v>50000000</v>
      </c>
      <c r="D7" s="196">
        <v>500000</v>
      </c>
      <c r="E7" s="135">
        <f>ROUNDUP(MAX(1*'02_Assumptions'!$C$8,10*'02_Assumptions'!$C$6/100),0)</f>
        <v>10</v>
      </c>
      <c r="F7" s="135">
        <f>ROUNDUP(MAX(1*'02_Assumptions'!$C$8,5*'02_Assumptions'!$C$6/100),0)</f>
        <v>5</v>
      </c>
      <c r="G7" s="135">
        <f>ROUNDUP(MAX(1*'02_Assumptions'!$C$8,5*'02_Assumptions'!$C$6/100),0)</f>
        <v>5</v>
      </c>
      <c r="H7" s="135">
        <f>ROUNDUP(MAX(1*'02_Assumptions'!$C$8,5*'02_Assumptions'!$C$6/100),0)</f>
        <v>5</v>
      </c>
      <c r="I7" s="135">
        <f>ROUNDUP(MAX(1*'02_Assumptions'!$C$8,5*'02_Assumptions'!$C$6/100),0)</f>
        <v>5</v>
      </c>
      <c r="J7" s="135">
        <f>ROUNDUP(MAX(1*'02_Assumptions'!$C$8,5*'02_Assumptions'!$C$6/100),0)</f>
        <v>5</v>
      </c>
      <c r="K7" s="135">
        <f>ROUNDUP(MAX(1*'02_Assumptions'!$C$8,5*'02_Assumptions'!$C$6/100),0)</f>
        <v>5</v>
      </c>
      <c r="L7" s="135">
        <f>ROUNDUP(MAX(1*'02_Assumptions'!$C$8,5*'02_Assumptions'!$C$6/100),0)</f>
        <v>5</v>
      </c>
      <c r="M7" s="135">
        <f>ROUNDUP(MAX(1*'02_Assumptions'!$C$8,5*'02_Assumptions'!$C$6/100),0)</f>
        <v>5</v>
      </c>
      <c r="N7" s="135">
        <f>ROUNDUP(MAX(1*'02_Assumptions'!$C$8,5*'02_Assumptions'!$C$6/100),0)</f>
        <v>5</v>
      </c>
      <c r="O7" s="135">
        <f>ROUNDUP(MAX(1*'02_Assumptions'!$C$8,5*'02_Assumptions'!$C$6/100),0)</f>
        <v>5</v>
      </c>
      <c r="P7" s="195" t="str">
        <f>U7</f>
        <v>Sewa</v>
      </c>
      <c r="Q7" s="8">
        <f>IF($A7=0,0,IF($P7="Beli",$C7,$D7*$E7))</f>
        <v>5000000</v>
      </c>
      <c r="R7" s="8">
        <f>IF(OR($A7=0,$P7&lt;&gt;"Sewa"),0,$D7*F7*(1+'02_Assumptions'!$C$11)^0+$D7*G7*(1+'02_Assumptions'!$C$11)^1+$D7*H7*(1+'02_Assumptions'!$C$11)^2+$D7*I7*(1+'02_Assumptions'!$C$11)^3+$D7*J7*(1+'02_Assumptions'!$C$11)^4+$D7*K7*(1+'02_Assumptions'!$C$11)^5+$D7*L7*(1+'02_Assumptions'!$C$11)^6+$D7*M7*(1+'02_Assumptions'!$C$11)^7+$D7*N7*(1+'02_Assumptions'!$C$11)^8+$D7*O7*(1+'02_Assumptions'!$C$11)^9)</f>
        <v>30015267.807396501</v>
      </c>
      <c r="S7" s="8">
        <f>IF($A7=0,0,$C7+$C7*'02_Assumptions'!$C$113*SUMPRODUCT((1+'02_Assumptions'!$C$11)^{0,1,2,3,4,5,6,7,8,9})+$C7*'02_Assumptions'!$C$183*(1+'02_Assumptions'!$C$11)^4+$C7*'02_Assumptions'!$C$184*(1+'02_Assumptions'!$C$11)^7)</f>
        <v>98293512.303575695</v>
      </c>
      <c r="T7" s="8">
        <f>IF($A7=0,0,$D7*$E7+$D7*F7*(1+'02_Assumptions'!$C$11)^0+$D7*G7*(1+'02_Assumptions'!$C$11)^1+$D7*H7*(1+'02_Assumptions'!$C$11)^2+$D7*I7*(1+'02_Assumptions'!$C$11)^3+$D7*J7*(1+'02_Assumptions'!$C$11)^4+$D7*K7*(1+'02_Assumptions'!$C$11)^5+$D7*L7*(1+'02_Assumptions'!$C$11)^6+$D7*M7*(1+'02_Assumptions'!$C$11)^7+$D7*N7*(1+'02_Assumptions'!$C$11)^8+$D7*O7*(1+'02_Assumptions'!$C$11)^9)</f>
        <v>35015267.807396501</v>
      </c>
      <c r="U7" s="70" t="str">
        <f>IF($A7=0,"Nonaktif",IF($S7&lt;=$T7,"Beli","Sewa"))</f>
        <v>Sewa</v>
      </c>
      <c r="V7" s="5" t="s">
        <v>1918</v>
      </c>
    </row>
    <row r="8" spans="1:22">
      <c r="A8" s="133">
        <v>1</v>
      </c>
      <c r="B8" s="133" t="s">
        <v>1919</v>
      </c>
      <c r="C8" s="134">
        <f>IF('02_Assumptions'!$C$8=1,'06_Equipment_Tools'!$I$31,'06_Equipment_Tools'!$I$31+('06_Equipment_Tools'!$J$31-'06_Equipment_Tools'!$I$31)*('02_Assumptions'!$C$8-1)/3)</f>
        <v>700000000</v>
      </c>
      <c r="D8" s="196">
        <v>809190</v>
      </c>
      <c r="E8" s="135">
        <v>0</v>
      </c>
      <c r="F8" s="135">
        <f>ROUNDUP(MAX(120*'02_Assumptions'!$C$8,500*'02_Assumptions'!$C$6/100),0)</f>
        <v>500</v>
      </c>
      <c r="G8" s="135">
        <f>ROUNDUP(MAX(120*'02_Assumptions'!$C$8,500*'02_Assumptions'!$C$6/100),0)</f>
        <v>500</v>
      </c>
      <c r="H8" s="135">
        <f>ROUNDUP(MAX(120*'02_Assumptions'!$C$8,500*'02_Assumptions'!$C$6/100),0)</f>
        <v>500</v>
      </c>
      <c r="I8" s="135">
        <f>ROUNDUP(MAX(120*'02_Assumptions'!$C$8,500*'02_Assumptions'!$C$6/100),0)</f>
        <v>500</v>
      </c>
      <c r="J8" s="135">
        <f>ROUNDUP(MAX(120*'02_Assumptions'!$C$8,500*'02_Assumptions'!$C$6/100),0)</f>
        <v>500</v>
      </c>
      <c r="K8" s="135">
        <f>ROUNDUP(MAX(120*'02_Assumptions'!$C$8,500*'02_Assumptions'!$C$6/100),0)</f>
        <v>500</v>
      </c>
      <c r="L8" s="135">
        <f>ROUNDUP(MAX(120*'02_Assumptions'!$C$8,500*'02_Assumptions'!$C$6/100),0)</f>
        <v>500</v>
      </c>
      <c r="M8" s="135">
        <f>ROUNDUP(MAX(120*'02_Assumptions'!$C$8,500*'02_Assumptions'!$C$6/100),0)</f>
        <v>500</v>
      </c>
      <c r="N8" s="135">
        <f>ROUNDUP(MAX(120*'02_Assumptions'!$C$8,500*'02_Assumptions'!$C$6/100),0)</f>
        <v>500</v>
      </c>
      <c r="O8" s="135">
        <f>ROUNDUP(MAX(120*'02_Assumptions'!$C$8,500*'02_Assumptions'!$C$6/100),0)</f>
        <v>500</v>
      </c>
      <c r="P8" s="195" t="str">
        <f>U8</f>
        <v>Beli</v>
      </c>
      <c r="Q8" s="8">
        <f>IF($A8=0,0,IF($P8="Beli",$C8,$D8*$E8))</f>
        <v>700000000</v>
      </c>
      <c r="R8" s="8">
        <f>IF(OR($A8=0,$P8&lt;&gt;"Sewa"),0,$D8*F8*(1+'02_Assumptions'!$C$11)^0+$D8*G8*(1+'02_Assumptions'!$C$11)^1+$D8*H8*(1+'02_Assumptions'!$C$11)^2+$D8*I8*(1+'02_Assumptions'!$C$11)^3+$D8*J8*(1+'02_Assumptions'!$C$11)^4+$D8*K8*(1+'02_Assumptions'!$C$11)^5+$D8*L8*(1+'02_Assumptions'!$C$11)^6+$D8*M8*(1+'02_Assumptions'!$C$11)^7+$D8*N8*(1+'02_Assumptions'!$C$11)^8+$D8*O8*(1+'02_Assumptions'!$C$11)^9)</f>
        <v>0</v>
      </c>
      <c r="S8" s="8">
        <f>IF($A8=0,0,$C8+$C8*'02_Assumptions'!$C$113*SUMPRODUCT((1+'02_Assumptions'!$C$11)^{0,1,2,3,4,5,6,7,8,9})+$C8*'02_Assumptions'!$C$183*(1+'02_Assumptions'!$C$11)^4+$C8*'02_Assumptions'!$C$184*(1+'02_Assumptions'!$C$11)^7)</f>
        <v>1376109172.2500598</v>
      </c>
      <c r="T8" s="8">
        <f>IF($A8=0,0,$D8*$E8+$D8*F8*(1+'02_Assumptions'!$C$11)^0+$D8*G8*(1+'02_Assumptions'!$C$11)^1+$D8*H8*(1+'02_Assumptions'!$C$11)^2+$D8*I8*(1+'02_Assumptions'!$C$11)^3+$D8*J8*(1+'02_Assumptions'!$C$11)^4+$D8*K8*(1+'02_Assumptions'!$C$11)^5+$D8*L8*(1+'02_Assumptions'!$C$11)^6+$D8*M8*(1+'02_Assumptions'!$C$11)^7+$D8*N8*(1+'02_Assumptions'!$C$11)^8+$D8*O8*(1+'02_Assumptions'!$C$11)^9)</f>
        <v>4857610911.413435</v>
      </c>
      <c r="U8" s="70" t="str">
        <f>IF($A8=0,"Nonaktif",IF($S8&lt;=$T8,"Beli","Sewa"))</f>
        <v>Beli</v>
      </c>
      <c r="V8" s="5" t="s">
        <v>1920</v>
      </c>
    </row>
    <row r="9" spans="1:22">
      <c r="A9" s="5"/>
      <c r="B9" s="5"/>
      <c r="C9" s="5"/>
      <c r="D9" s="5"/>
      <c r="E9" s="5"/>
      <c r="F9" s="5"/>
      <c r="G9" s="5"/>
      <c r="H9" s="5"/>
      <c r="I9" s="5"/>
      <c r="J9" s="5"/>
      <c r="K9" s="5"/>
      <c r="L9" s="5"/>
      <c r="M9" s="5"/>
      <c r="N9" s="5"/>
      <c r="O9" s="5"/>
      <c r="P9" s="5"/>
      <c r="Q9" s="5"/>
      <c r="R9" s="5"/>
      <c r="S9" s="5"/>
      <c r="T9" s="5"/>
      <c r="U9" s="5"/>
      <c r="V9" s="5"/>
    </row>
    <row r="10" spans="1:22">
      <c r="A10" s="5"/>
      <c r="B10" s="5"/>
      <c r="C10" s="5"/>
      <c r="D10" s="5"/>
      <c r="E10" s="5"/>
      <c r="F10" s="5"/>
      <c r="G10" s="5"/>
      <c r="H10" s="5"/>
      <c r="I10" s="5"/>
      <c r="J10" s="5"/>
      <c r="K10" s="5"/>
      <c r="L10" s="5"/>
      <c r="M10" s="5"/>
      <c r="N10" s="5"/>
      <c r="O10" s="5"/>
      <c r="P10" s="5"/>
      <c r="Q10" s="5"/>
      <c r="R10" s="5"/>
      <c r="S10" s="5"/>
      <c r="T10" s="5"/>
      <c r="U10" s="5"/>
      <c r="V10" s="5"/>
    </row>
    <row r="11" spans="1:22" ht="20" customHeight="1">
      <c r="A11" s="249" t="s">
        <v>1921</v>
      </c>
      <c r="B11" s="249"/>
      <c r="C11" s="249"/>
      <c r="D11" s="249"/>
      <c r="E11" s="249"/>
      <c r="F11" s="249"/>
      <c r="G11" s="249"/>
      <c r="H11" s="249"/>
      <c r="I11" s="5"/>
      <c r="J11" s="5"/>
      <c r="K11" s="5"/>
      <c r="L11" s="5"/>
      <c r="M11" s="5"/>
      <c r="N11" s="5"/>
      <c r="O11" s="5"/>
      <c r="P11" s="5"/>
      <c r="Q11" s="5"/>
      <c r="R11" s="5"/>
      <c r="S11" s="5"/>
      <c r="T11" s="5"/>
      <c r="U11" s="5"/>
      <c r="V11" s="5"/>
    </row>
    <row r="12" spans="1:22" ht="32" customHeight="1">
      <c r="A12" s="130" t="s">
        <v>473</v>
      </c>
      <c r="B12" s="131" t="s">
        <v>1922</v>
      </c>
      <c r="C12" s="131" t="s">
        <v>1923</v>
      </c>
      <c r="D12" s="131" t="s">
        <v>1924</v>
      </c>
      <c r="E12" s="131" t="s">
        <v>1925</v>
      </c>
      <c r="F12" s="131" t="s">
        <v>1926</v>
      </c>
      <c r="G12" s="131" t="s">
        <v>1927</v>
      </c>
      <c r="H12" s="132" t="s">
        <v>1928</v>
      </c>
      <c r="I12" s="5"/>
      <c r="J12" s="293" t="s">
        <v>1929</v>
      </c>
      <c r="K12" s="293"/>
      <c r="L12" s="293"/>
      <c r="M12" s="293"/>
      <c r="N12" s="293"/>
      <c r="O12" s="293"/>
      <c r="P12" s="293"/>
      <c r="Q12" s="293"/>
      <c r="R12" s="293"/>
      <c r="S12" s="293"/>
      <c r="T12" s="293"/>
      <c r="U12" s="293"/>
      <c r="V12" s="293"/>
    </row>
    <row r="13" spans="1:22">
      <c r="A13" s="133">
        <v>1</v>
      </c>
      <c r="B13" s="133" t="s">
        <v>1930</v>
      </c>
      <c r="C13" s="197">
        <f>IF('02_Assumptions'!$C$8=1,'06_Equipment_Tools'!$D$34,'06_Equipment_Tools'!$D$34+('06_Equipment_Tools'!$E$34-'06_Equipment_Tools'!$D$34)*('02_Assumptions'!$C$8-1)/3)</f>
        <v>150</v>
      </c>
      <c r="D13" s="197">
        <f>ROUNDUP(MAX('05_Workplan_Labor'!$Z$27*1.3,'02_Assumptions'!$C$8*10),0)</f>
        <v>92</v>
      </c>
      <c r="E13" s="134">
        <v>1200000</v>
      </c>
      <c r="F13" s="5">
        <f t="shared" ref="F13:F18" si="0">$A13*$C13*$E13</f>
        <v>180000000</v>
      </c>
      <c r="G13" s="5">
        <f t="shared" ref="G13:G18" si="1">$A13*$D13*$E13</f>
        <v>110400000</v>
      </c>
      <c r="H13" s="5">
        <f t="shared" ref="H13:H18" si="2">MAX(0,$F13-$G13)</f>
        <v>69600000</v>
      </c>
      <c r="I13" s="5"/>
      <c r="J13" s="293"/>
      <c r="K13" s="293"/>
      <c r="L13" s="293"/>
      <c r="M13" s="293"/>
      <c r="N13" s="293"/>
      <c r="O13" s="293"/>
      <c r="P13" s="293"/>
      <c r="Q13" s="293"/>
      <c r="R13" s="293"/>
      <c r="S13" s="293"/>
      <c r="T13" s="293"/>
      <c r="U13" s="293"/>
      <c r="V13" s="293"/>
    </row>
    <row r="14" spans="1:22">
      <c r="A14" s="133">
        <v>1</v>
      </c>
      <c r="B14" s="133" t="s">
        <v>914</v>
      </c>
      <c r="C14" s="197">
        <f>IF('02_Assumptions'!$C$8=1,'06_Equipment_Tools'!$D$19,'06_Equipment_Tools'!$D$19+('06_Equipment_Tools'!$E$19-'06_Equipment_Tools'!$D$19)*('02_Assumptions'!$C$8-1)/3)</f>
        <v>2</v>
      </c>
      <c r="D14" s="197">
        <f>MAX('02_Assumptions'!$C$8,ROUNDUP('02_Assumptions'!$C$6/100,0))</f>
        <v>1</v>
      </c>
      <c r="E14" s="134">
        <v>15000000</v>
      </c>
      <c r="F14" s="5">
        <f t="shared" si="0"/>
        <v>30000000</v>
      </c>
      <c r="G14" s="5">
        <f t="shared" si="1"/>
        <v>15000000</v>
      </c>
      <c r="H14" s="5">
        <f t="shared" si="2"/>
        <v>15000000</v>
      </c>
      <c r="I14" s="5"/>
      <c r="J14" s="293"/>
      <c r="K14" s="293"/>
      <c r="L14" s="293"/>
      <c r="M14" s="293"/>
      <c r="N14" s="293"/>
      <c r="O14" s="293"/>
      <c r="P14" s="293"/>
      <c r="Q14" s="293"/>
      <c r="R14" s="293"/>
      <c r="S14" s="293"/>
      <c r="T14" s="293"/>
      <c r="U14" s="293"/>
      <c r="V14" s="293"/>
    </row>
    <row r="15" spans="1:22">
      <c r="A15" s="133">
        <v>1</v>
      </c>
      <c r="B15" s="133" t="s">
        <v>1931</v>
      </c>
      <c r="C15" s="197">
        <f>IF('02_Assumptions'!$C$8=1,'06_Equipment_Tools'!$D$21,'06_Equipment_Tools'!$D$21+('06_Equipment_Tools'!$E$21-'06_Equipment_Tools'!$D$21)*('02_Assumptions'!$C$8-1)/3)</f>
        <v>20</v>
      </c>
      <c r="D15" s="197">
        <f>MAX('02_Assumptions'!$C$8*3,ROUNDUP('05_Workplan_Labor'!$Z$27/6,0))</f>
        <v>12</v>
      </c>
      <c r="E15" s="134">
        <v>1200000</v>
      </c>
      <c r="F15" s="5">
        <f t="shared" si="0"/>
        <v>24000000</v>
      </c>
      <c r="G15" s="5">
        <f t="shared" si="1"/>
        <v>14400000</v>
      </c>
      <c r="H15" s="5">
        <f t="shared" si="2"/>
        <v>9600000</v>
      </c>
      <c r="I15" s="5"/>
      <c r="J15" s="293"/>
      <c r="K15" s="293"/>
      <c r="L15" s="293"/>
      <c r="M15" s="293"/>
      <c r="N15" s="293"/>
      <c r="O15" s="293"/>
      <c r="P15" s="293"/>
      <c r="Q15" s="293"/>
      <c r="R15" s="293"/>
      <c r="S15" s="293"/>
      <c r="T15" s="293"/>
      <c r="U15" s="293"/>
      <c r="V15" s="293"/>
    </row>
    <row r="16" spans="1:22">
      <c r="A16" s="133">
        <v>1</v>
      </c>
      <c r="B16" s="133" t="s">
        <v>902</v>
      </c>
      <c r="C16" s="197">
        <f>IF('02_Assumptions'!$C$8=1,'06_Equipment_Tools'!$D$16,'06_Equipment_Tools'!$D$16+('06_Equipment_Tools'!$E$16-'06_Equipment_Tools'!$D$16)*('02_Assumptions'!$C$8-1)/3)</f>
        <v>4</v>
      </c>
      <c r="D16" s="197">
        <f>MAX('02_Assumptions'!$C$8,ROUNDUP('02_Assumptions'!$C$6/50,0))</f>
        <v>2</v>
      </c>
      <c r="E16" s="134">
        <v>3000000</v>
      </c>
      <c r="F16" s="5">
        <f t="shared" si="0"/>
        <v>12000000</v>
      </c>
      <c r="G16" s="5">
        <f t="shared" si="1"/>
        <v>6000000</v>
      </c>
      <c r="H16" s="5">
        <f t="shared" si="2"/>
        <v>6000000</v>
      </c>
      <c r="I16" s="5"/>
      <c r="J16" s="293"/>
      <c r="K16" s="293"/>
      <c r="L16" s="293"/>
      <c r="M16" s="293"/>
      <c r="N16" s="293"/>
      <c r="O16" s="293"/>
      <c r="P16" s="293"/>
      <c r="Q16" s="293"/>
      <c r="R16" s="293"/>
      <c r="S16" s="293"/>
      <c r="T16" s="293"/>
      <c r="U16" s="293"/>
      <c r="V16" s="293"/>
    </row>
    <row r="17" spans="1:22">
      <c r="A17" s="133">
        <v>1</v>
      </c>
      <c r="B17" s="133" t="s">
        <v>1932</v>
      </c>
      <c r="C17" s="197">
        <f>IF('02_Assumptions'!$C$8=1,'06_Equipment_Tools'!$D$17,'06_Equipment_Tools'!$D$17+('06_Equipment_Tools'!$E$17-'06_Equipment_Tools'!$D$17)*('02_Assumptions'!$C$8-1)/3)</f>
        <v>4</v>
      </c>
      <c r="D17" s="197">
        <f>MAX('02_Assumptions'!$C$8,ROUNDUP('02_Assumptions'!$C$6/50,0))</f>
        <v>2</v>
      </c>
      <c r="E17" s="134">
        <v>5000000</v>
      </c>
      <c r="F17" s="5">
        <f t="shared" si="0"/>
        <v>20000000</v>
      </c>
      <c r="G17" s="5">
        <f t="shared" si="1"/>
        <v>10000000</v>
      </c>
      <c r="H17" s="5">
        <f t="shared" si="2"/>
        <v>10000000</v>
      </c>
      <c r="I17" s="5"/>
      <c r="J17" s="293"/>
      <c r="K17" s="293"/>
      <c r="L17" s="293"/>
      <c r="M17" s="293"/>
      <c r="N17" s="293"/>
      <c r="O17" s="293"/>
      <c r="P17" s="293"/>
      <c r="Q17" s="293"/>
      <c r="R17" s="293"/>
      <c r="S17" s="293"/>
      <c r="T17" s="293"/>
      <c r="U17" s="293"/>
      <c r="V17" s="293"/>
    </row>
    <row r="18" spans="1:22">
      <c r="A18" s="133">
        <v>1</v>
      </c>
      <c r="B18" s="133" t="s">
        <v>1933</v>
      </c>
      <c r="C18" s="197">
        <f>IF('02_Assumptions'!$C$8=1,'06_Equipment_Tools'!$D$18,'06_Equipment_Tools'!$D$18+('06_Equipment_Tools'!$E$18-'06_Equipment_Tools'!$D$18)*('02_Assumptions'!$C$8-1)/3)</f>
        <v>2</v>
      </c>
      <c r="D18" s="197">
        <f>MAX('02_Assumptions'!$C$8,ROUNDUP('02_Assumptions'!$C$6/100,0))</f>
        <v>1</v>
      </c>
      <c r="E18" s="134">
        <v>8000000</v>
      </c>
      <c r="F18" s="5">
        <f t="shared" si="0"/>
        <v>16000000</v>
      </c>
      <c r="G18" s="5">
        <f t="shared" si="1"/>
        <v>8000000</v>
      </c>
      <c r="H18" s="5">
        <f t="shared" si="2"/>
        <v>8000000</v>
      </c>
      <c r="I18" s="5"/>
      <c r="J18" s="293"/>
      <c r="K18" s="293"/>
      <c r="L18" s="293"/>
      <c r="M18" s="293"/>
      <c r="N18" s="293"/>
      <c r="O18" s="293"/>
      <c r="P18" s="293"/>
      <c r="Q18" s="293"/>
      <c r="R18" s="293"/>
      <c r="S18" s="293"/>
      <c r="T18" s="293"/>
      <c r="U18" s="293"/>
      <c r="V18" s="293"/>
    </row>
    <row r="19" spans="1:22">
      <c r="A19" s="292" t="s">
        <v>1934</v>
      </c>
      <c r="B19" s="292"/>
      <c r="C19" s="292"/>
      <c r="D19" s="292"/>
      <c r="E19" s="292"/>
      <c r="F19" s="292"/>
      <c r="G19" s="292"/>
      <c r="H19" s="136">
        <f>SUM(H13:H18)</f>
        <v>118200000</v>
      </c>
      <c r="I19" s="5"/>
      <c r="J19" s="5"/>
      <c r="K19" s="5"/>
      <c r="L19" s="5"/>
      <c r="M19" s="5"/>
      <c r="N19" s="5"/>
      <c r="O19" s="5"/>
      <c r="P19" s="5"/>
      <c r="Q19" s="5"/>
      <c r="R19" s="5"/>
      <c r="S19" s="5"/>
      <c r="T19" s="5"/>
      <c r="U19" s="5"/>
      <c r="V19" s="5"/>
    </row>
    <row r="20" spans="1:22">
      <c r="A20" s="5"/>
      <c r="B20" s="5"/>
      <c r="C20" s="5"/>
      <c r="D20" s="5"/>
      <c r="E20" s="5"/>
      <c r="F20" s="5"/>
      <c r="G20" s="5"/>
      <c r="H20" s="5"/>
      <c r="I20" s="5"/>
      <c r="J20" s="5"/>
      <c r="K20" s="5"/>
      <c r="L20" s="5"/>
      <c r="M20" s="5"/>
      <c r="N20" s="5"/>
      <c r="O20" s="5"/>
      <c r="P20" s="5"/>
      <c r="Q20" s="5"/>
      <c r="R20" s="5"/>
      <c r="S20" s="5"/>
      <c r="T20" s="5"/>
      <c r="U20" s="5"/>
      <c r="V20" s="5"/>
    </row>
    <row r="21" spans="1:22">
      <c r="A21" s="5"/>
      <c r="B21" s="5"/>
      <c r="C21" s="5"/>
      <c r="D21" s="5"/>
      <c r="E21" s="5"/>
      <c r="F21" s="5"/>
      <c r="G21" s="5"/>
      <c r="H21" s="5"/>
      <c r="I21" s="5"/>
      <c r="J21" s="5"/>
      <c r="K21" s="5"/>
      <c r="L21" s="5"/>
      <c r="M21" s="5"/>
      <c r="N21" s="5"/>
      <c r="O21" s="5"/>
      <c r="P21" s="5"/>
      <c r="Q21" s="5"/>
      <c r="R21" s="5"/>
      <c r="S21" s="5"/>
      <c r="T21" s="5"/>
      <c r="U21" s="5"/>
      <c r="V21" s="5"/>
    </row>
    <row r="22" spans="1:22" ht="20" customHeight="1">
      <c r="A22" s="249" t="s">
        <v>1935</v>
      </c>
      <c r="B22" s="249"/>
      <c r="C22" s="249"/>
      <c r="D22" s="249"/>
      <c r="E22" s="249"/>
      <c r="F22" s="249"/>
      <c r="G22" s="249"/>
      <c r="H22" s="249"/>
      <c r="I22" s="5"/>
      <c r="J22" s="5"/>
      <c r="K22" s="5"/>
      <c r="L22" s="5"/>
      <c r="M22" s="5"/>
      <c r="N22" s="5"/>
      <c r="O22" s="5"/>
      <c r="P22" s="5"/>
      <c r="Q22" s="5"/>
      <c r="R22" s="5"/>
      <c r="S22" s="5"/>
      <c r="T22" s="5"/>
      <c r="U22" s="5"/>
      <c r="V22" s="5"/>
    </row>
    <row r="23" spans="1:22" ht="32" customHeight="1">
      <c r="A23" s="130" t="s">
        <v>473</v>
      </c>
      <c r="B23" s="131" t="s">
        <v>1103</v>
      </c>
      <c r="C23" s="131" t="s">
        <v>136</v>
      </c>
      <c r="D23" s="131" t="s">
        <v>242</v>
      </c>
      <c r="E23" s="131" t="s">
        <v>1936</v>
      </c>
      <c r="F23" s="131" t="s">
        <v>1937</v>
      </c>
      <c r="G23" s="131" t="s">
        <v>140</v>
      </c>
      <c r="H23" s="132" t="s">
        <v>1938</v>
      </c>
      <c r="I23" s="5"/>
      <c r="J23" s="5"/>
      <c r="K23" s="5"/>
      <c r="L23" s="5"/>
      <c r="M23" s="5"/>
      <c r="N23" s="5"/>
      <c r="O23" s="5"/>
      <c r="P23" s="5"/>
      <c r="Q23" s="5"/>
      <c r="R23" s="5"/>
      <c r="S23" s="5"/>
      <c r="T23" s="5"/>
      <c r="U23" s="5"/>
      <c r="V23" s="5"/>
    </row>
    <row r="24" spans="1:22">
      <c r="A24" s="133">
        <v>1</v>
      </c>
      <c r="B24" s="133" t="s">
        <v>1939</v>
      </c>
      <c r="C24" s="134">
        <v>150000000</v>
      </c>
      <c r="D24" s="5" t="s">
        <v>1139</v>
      </c>
      <c r="E24" s="5" t="s">
        <v>1940</v>
      </c>
      <c r="F24" s="5" t="s">
        <v>228</v>
      </c>
      <c r="G24" s="5" t="s">
        <v>1941</v>
      </c>
      <c r="H24" s="5">
        <v>-150000000</v>
      </c>
      <c r="I24" s="5"/>
      <c r="J24" s="5"/>
      <c r="K24" s="5"/>
      <c r="L24" s="5"/>
      <c r="M24" s="5"/>
      <c r="N24" s="5"/>
      <c r="O24" s="5"/>
      <c r="P24" s="5"/>
      <c r="Q24" s="5"/>
      <c r="R24" s="5"/>
      <c r="S24" s="5"/>
      <c r="T24" s="5"/>
      <c r="U24" s="5"/>
      <c r="V24" s="5"/>
    </row>
    <row r="25" spans="1:22">
      <c r="A25" s="133">
        <v>1</v>
      </c>
      <c r="B25" s="133" t="s">
        <v>1942</v>
      </c>
      <c r="C25" s="134">
        <v>600</v>
      </c>
      <c r="D25" s="5" t="s">
        <v>265</v>
      </c>
      <c r="E25" s="5" t="s">
        <v>1943</v>
      </c>
      <c r="F25" s="5" t="s">
        <v>228</v>
      </c>
      <c r="G25" s="5" t="s">
        <v>1944</v>
      </c>
      <c r="H25" s="5">
        <v>0</v>
      </c>
      <c r="I25" s="5"/>
      <c r="J25" s="5"/>
      <c r="K25" s="5"/>
      <c r="L25" s="5"/>
      <c r="M25" s="5"/>
      <c r="N25" s="5"/>
      <c r="O25" s="5"/>
      <c r="P25" s="5"/>
      <c r="Q25" s="5"/>
      <c r="R25" s="5"/>
      <c r="S25" s="5"/>
      <c r="T25" s="5"/>
      <c r="U25" s="5"/>
      <c r="V25" s="5"/>
    </row>
    <row r="26" spans="1:22">
      <c r="A26" s="133">
        <v>1</v>
      </c>
      <c r="B26" s="133" t="s">
        <v>1945</v>
      </c>
      <c r="C26" s="138">
        <v>0.65</v>
      </c>
      <c r="D26" s="5" t="s">
        <v>1946</v>
      </c>
      <c r="E26" s="5" t="s">
        <v>1947</v>
      </c>
      <c r="F26" s="5" t="s">
        <v>208</v>
      </c>
      <c r="G26" s="5" t="s">
        <v>1948</v>
      </c>
      <c r="H26" s="5">
        <v>0</v>
      </c>
      <c r="I26" s="5"/>
      <c r="J26" s="5"/>
      <c r="K26" s="5"/>
      <c r="L26" s="5"/>
      <c r="M26" s="5"/>
      <c r="N26" s="5"/>
      <c r="O26" s="5"/>
      <c r="P26" s="5"/>
      <c r="Q26" s="5"/>
      <c r="R26" s="5"/>
      <c r="S26" s="5"/>
      <c r="T26" s="5"/>
      <c r="U26" s="5"/>
      <c r="V26" s="5"/>
    </row>
    <row r="27" spans="1:22">
      <c r="A27" s="133">
        <v>1</v>
      </c>
      <c r="B27" s="133" t="s">
        <v>1949</v>
      </c>
      <c r="C27" s="134">
        <v>225000000</v>
      </c>
      <c r="D27" s="5" t="s">
        <v>1950</v>
      </c>
      <c r="E27" s="5" t="s">
        <v>1943</v>
      </c>
      <c r="F27" s="5" t="s">
        <v>228</v>
      </c>
      <c r="G27" s="5" t="s">
        <v>1951</v>
      </c>
      <c r="H27" s="5">
        <v>225000000</v>
      </c>
      <c r="I27" s="5"/>
      <c r="J27" s="5"/>
      <c r="K27" s="5"/>
      <c r="L27" s="5"/>
      <c r="M27" s="5"/>
      <c r="N27" s="5"/>
      <c r="O27" s="5"/>
      <c r="P27" s="5"/>
      <c r="Q27" s="5"/>
      <c r="R27" s="5"/>
      <c r="S27" s="5"/>
      <c r="T27" s="5"/>
      <c r="U27" s="5"/>
      <c r="V27" s="5"/>
    </row>
    <row r="28" spans="1:22">
      <c r="A28" s="133">
        <v>1</v>
      </c>
      <c r="B28" s="133" t="s">
        <v>1952</v>
      </c>
      <c r="C28" s="133">
        <v>1</v>
      </c>
      <c r="D28" s="5" t="s">
        <v>475</v>
      </c>
      <c r="E28" s="5" t="s">
        <v>1953</v>
      </c>
      <c r="F28" s="5" t="s">
        <v>208</v>
      </c>
      <c r="G28" s="5" t="s">
        <v>1954</v>
      </c>
      <c r="H28" s="5">
        <v>0</v>
      </c>
      <c r="I28" s="5"/>
      <c r="J28" s="5"/>
      <c r="K28" s="5"/>
      <c r="L28" s="5"/>
      <c r="M28" s="5"/>
      <c r="N28" s="5"/>
      <c r="O28" s="5"/>
      <c r="P28" s="5"/>
      <c r="Q28" s="5"/>
      <c r="R28" s="5"/>
      <c r="S28" s="5"/>
      <c r="T28" s="5"/>
      <c r="U28" s="5"/>
      <c r="V28" s="5"/>
    </row>
    <row r="29" spans="1:22">
      <c r="A29" s="133">
        <v>1</v>
      </c>
      <c r="B29" s="133" t="s">
        <v>1955</v>
      </c>
      <c r="C29" s="133">
        <v>1</v>
      </c>
      <c r="D29" s="5" t="s">
        <v>475</v>
      </c>
      <c r="E29" s="5" t="s">
        <v>1940</v>
      </c>
      <c r="F29" s="5" t="s">
        <v>208</v>
      </c>
      <c r="G29" s="5" t="s">
        <v>1956</v>
      </c>
      <c r="H29" s="5">
        <v>0</v>
      </c>
      <c r="I29" s="5"/>
      <c r="J29" s="5"/>
      <c r="K29" s="5"/>
      <c r="L29" s="5"/>
      <c r="M29" s="5"/>
      <c r="N29" s="5"/>
      <c r="O29" s="5"/>
      <c r="P29" s="5"/>
      <c r="Q29" s="5"/>
      <c r="R29" s="5"/>
      <c r="S29" s="5"/>
      <c r="T29" s="5"/>
      <c r="U29" s="5"/>
      <c r="V29" s="5"/>
    </row>
    <row r="30" spans="1:22">
      <c r="A30" s="133">
        <v>1</v>
      </c>
      <c r="B30" s="133" t="s">
        <v>1957</v>
      </c>
      <c r="C30" s="133">
        <v>1</v>
      </c>
      <c r="D30" s="5" t="s">
        <v>475</v>
      </c>
      <c r="E30" s="5" t="s">
        <v>1947</v>
      </c>
      <c r="F30" s="5" t="s">
        <v>208</v>
      </c>
      <c r="G30" s="5" t="s">
        <v>1958</v>
      </c>
      <c r="H30" s="5">
        <v>0</v>
      </c>
      <c r="I30" s="5"/>
      <c r="J30" s="5"/>
      <c r="K30" s="5"/>
      <c r="L30" s="5"/>
      <c r="M30" s="5"/>
      <c r="N30" s="5"/>
      <c r="O30" s="5"/>
      <c r="P30" s="5"/>
      <c r="Q30" s="5"/>
      <c r="R30" s="5"/>
      <c r="S30" s="5"/>
      <c r="T30" s="5"/>
      <c r="U30" s="5"/>
      <c r="V30" s="5"/>
    </row>
    <row r="31" spans="1:22">
      <c r="A31" s="5"/>
      <c r="B31" s="5"/>
      <c r="C31" s="5"/>
      <c r="D31" s="5"/>
      <c r="E31" s="5"/>
      <c r="F31" s="5"/>
      <c r="G31" s="5"/>
      <c r="H31" s="5"/>
      <c r="I31" s="5"/>
      <c r="J31" s="5"/>
      <c r="K31" s="5"/>
      <c r="L31" s="5"/>
      <c r="M31" s="5"/>
      <c r="N31" s="5"/>
      <c r="O31" s="5"/>
      <c r="P31" s="5"/>
      <c r="Q31" s="5"/>
      <c r="R31" s="5"/>
      <c r="S31" s="5"/>
      <c r="T31" s="5"/>
      <c r="U31" s="5"/>
      <c r="V31" s="5"/>
    </row>
    <row r="32" spans="1:22">
      <c r="A32" s="5"/>
      <c r="B32" s="5"/>
      <c r="C32" s="5"/>
      <c r="D32" s="5"/>
      <c r="E32" s="5"/>
      <c r="F32" s="5"/>
      <c r="G32" s="5"/>
      <c r="H32" s="5"/>
      <c r="I32" s="5"/>
      <c r="J32" s="5"/>
      <c r="K32" s="5"/>
      <c r="L32" s="5"/>
      <c r="M32" s="5"/>
      <c r="N32" s="5"/>
      <c r="O32" s="5"/>
      <c r="P32" s="5"/>
      <c r="Q32" s="5"/>
      <c r="R32" s="5"/>
      <c r="S32" s="5"/>
      <c r="T32" s="5"/>
      <c r="U32" s="5"/>
      <c r="V32" s="5"/>
    </row>
    <row r="33" spans="1:22" ht="32" customHeight="1">
      <c r="A33" s="130" t="s">
        <v>1959</v>
      </c>
      <c r="B33" s="131" t="s">
        <v>440</v>
      </c>
      <c r="C33" s="131" t="s">
        <v>441</v>
      </c>
      <c r="D33" s="131" t="s">
        <v>442</v>
      </c>
      <c r="E33" s="131" t="s">
        <v>443</v>
      </c>
      <c r="F33" s="131" t="s">
        <v>444</v>
      </c>
      <c r="G33" s="131" t="s">
        <v>445</v>
      </c>
      <c r="H33" s="131" t="s">
        <v>446</v>
      </c>
      <c r="I33" s="131" t="s">
        <v>447</v>
      </c>
      <c r="J33" s="131" t="s">
        <v>448</v>
      </c>
      <c r="K33" s="132" t="s">
        <v>449</v>
      </c>
      <c r="L33" s="5"/>
      <c r="M33" s="5"/>
      <c r="N33" s="5"/>
      <c r="O33" s="5"/>
      <c r="P33" s="5"/>
      <c r="Q33" s="5"/>
      <c r="R33" s="5"/>
      <c r="S33" s="5"/>
      <c r="T33" s="5"/>
      <c r="U33" s="5"/>
      <c r="V33" s="5"/>
    </row>
    <row r="34" spans="1:22">
      <c r="A34" s="5" t="s">
        <v>1960</v>
      </c>
      <c r="B34" s="138">
        <v>0</v>
      </c>
      <c r="C34" s="138">
        <v>0.3</v>
      </c>
      <c r="D34" s="138">
        <v>0.5</v>
      </c>
      <c r="E34" s="138">
        <v>0.6</v>
      </c>
      <c r="F34" s="138">
        <v>0.6</v>
      </c>
      <c r="G34" s="138">
        <v>0.6</v>
      </c>
      <c r="H34" s="138">
        <v>0.6</v>
      </c>
      <c r="I34" s="138">
        <v>0.6</v>
      </c>
      <c r="J34" s="138">
        <v>0.6</v>
      </c>
      <c r="K34" s="138">
        <v>0.6</v>
      </c>
      <c r="L34" s="5"/>
      <c r="M34" s="5"/>
      <c r="N34" s="5"/>
      <c r="O34" s="5"/>
      <c r="P34" s="5"/>
      <c r="Q34" s="5"/>
      <c r="R34" s="5"/>
      <c r="S34" s="5"/>
      <c r="T34" s="5"/>
      <c r="U34" s="5"/>
      <c r="V34" s="5"/>
    </row>
    <row r="35" spans="1:22">
      <c r="A35" s="5" t="s">
        <v>1961</v>
      </c>
      <c r="B35" s="8">
        <f>$A$29*$B$34*(('07_Agri_Inputs'!$H$10*('02_Assumptions'!$C$73-$C$25))+('07_Agri_Inputs'!$H$11*('02_Assumptions'!$C$74-$C$25)))*(1+'02_Assumptions'!$C$11)^0</f>
        <v>0</v>
      </c>
      <c r="C35" s="8">
        <f>$A$29*$C$34*(('07_Agri_Inputs'!$I$10*('02_Assumptions'!$C$73-$C$25))+('07_Agri_Inputs'!$I$11*('02_Assumptions'!$C$74-$C$25)))*(1+'02_Assumptions'!$C$11)^1</f>
        <v>30063633.600000001</v>
      </c>
      <c r="D35" s="8">
        <f>$A$29*$D$34*(('07_Agri_Inputs'!$J$10*('02_Assumptions'!$C$73-$C$25))+('07_Agri_Inputs'!$J$11*('02_Assumptions'!$C$74-$C$25)))*(1+'02_Assumptions'!$C$11)^2</f>
        <v>53263770.560000002</v>
      </c>
      <c r="E35" s="8">
        <f>$A$29*$E$34*(('07_Agri_Inputs'!$K$10*('02_Assumptions'!$C$73-$C$25))+('07_Agri_Inputs'!$K$11*('02_Assumptions'!$C$74-$C$25)))*(1+'02_Assumptions'!$C$11)^3</f>
        <v>50217371.043840006</v>
      </c>
      <c r="F35" s="8">
        <f>$A$29*$F$34*(('07_Agri_Inputs'!$L$10*('02_Assumptions'!$C$73-$C$25))+('07_Agri_Inputs'!$L$11*('02_Assumptions'!$C$74-$C$25)))*(1+'02_Assumptions'!$C$11)^4</f>
        <v>55712127.408537611</v>
      </c>
      <c r="G35" s="8">
        <f>$A$29*$G$34*(('07_Agri_Inputs'!$M$10*('02_Assumptions'!$C$73-$C$25))+('07_Agri_Inputs'!$M$11*('02_Assumptions'!$C$74-$C$25)))*(1+'02_Assumptions'!$C$11)^5</f>
        <v>52252224.858882062</v>
      </c>
      <c r="H35" s="8">
        <f>$A$29*$H$34*(('07_Agri_Inputs'!$N$10*('02_Assumptions'!$C$73-$C$25))+('07_Agri_Inputs'!$N$11*('02_Assumptions'!$C$74-$C$25)))*(1+'02_Assumptions'!$C$11)^6</f>
        <v>65104383.539533585</v>
      </c>
      <c r="I35" s="8">
        <f>$A$29*$I$34*(('07_Agri_Inputs'!$O$10*('02_Assumptions'!$C$73-$C$25))+('07_Agri_Inputs'!$O$11*('02_Assumptions'!$C$74-$C$25)))*(1+'02_Assumptions'!$C$11)^7</f>
        <v>67708558.88111493</v>
      </c>
      <c r="J35" s="8">
        <f>$A$29*$J$34*(('07_Agri_Inputs'!$P$10*('02_Assumptions'!$C$73-$C$25))+('07_Agri_Inputs'!$P$11*('02_Assumptions'!$C$74-$C$25)))*(1+'02_Assumptions'!$C$11)^8</f>
        <v>70416901.236359537</v>
      </c>
      <c r="K35" s="8">
        <f>$A$29*$K$34*(('07_Agri_Inputs'!$Q$10*('02_Assumptions'!$C$73-$C$25))+('07_Agri_Inputs'!$Q$11*('02_Assumptions'!$C$74-$C$25)))*(1+'02_Assumptions'!$C$11)^9</f>
        <v>73233577.285813928</v>
      </c>
      <c r="L35" s="5"/>
      <c r="M35" s="5"/>
      <c r="N35" s="5"/>
      <c r="O35" s="5"/>
      <c r="P35" s="5"/>
      <c r="Q35" s="5"/>
      <c r="R35" s="5"/>
      <c r="S35" s="5"/>
      <c r="T35" s="5"/>
      <c r="U35" s="5"/>
      <c r="V35" s="5"/>
    </row>
    <row r="36" spans="1:22">
      <c r="A36" s="5" t="s">
        <v>1962</v>
      </c>
      <c r="B36" s="139">
        <v>0</v>
      </c>
      <c r="C36" s="139">
        <v>0.2</v>
      </c>
      <c r="D36" s="139">
        <v>0.3</v>
      </c>
      <c r="E36" s="139">
        <v>0.3</v>
      </c>
      <c r="F36" s="139">
        <v>0.3</v>
      </c>
      <c r="G36" s="139">
        <v>0.3</v>
      </c>
      <c r="H36" s="139">
        <v>0.3</v>
      </c>
      <c r="I36" s="139">
        <v>0.3</v>
      </c>
      <c r="J36" s="139">
        <v>0.3</v>
      </c>
      <c r="K36" s="139">
        <v>0.3</v>
      </c>
      <c r="L36" s="5"/>
      <c r="M36" s="5"/>
      <c r="N36" s="5"/>
      <c r="O36" s="5"/>
      <c r="P36" s="5"/>
      <c r="Q36" s="5"/>
      <c r="R36" s="5"/>
      <c r="S36" s="5"/>
      <c r="T36" s="5"/>
      <c r="U36" s="5"/>
      <c r="V36" s="5"/>
    </row>
    <row r="37" spans="1:22">
      <c r="A37" s="5" t="s">
        <v>1963</v>
      </c>
      <c r="B37" s="8">
        <f>$A$30*$B$36*$C$26*'05_Workplan_Labor'!$B$32*'02_Assumptions'!$C$6*'02_Assumptions'!$C$7*'02_Assumptions'!$C$60*(1+'02_Assumptions'!$C$11)^0</f>
        <v>0</v>
      </c>
      <c r="C37" s="8">
        <f>$A$30*$C$36*$C$26*'05_Workplan_Labor'!$C$32*'02_Assumptions'!$C$6*'02_Assumptions'!$C$7*'02_Assumptions'!$C$60*(1+'02_Assumptions'!$C$11)^1</f>
        <v>37120512</v>
      </c>
      <c r="D37" s="8">
        <f>$A$30*$D$36*$C$26*'05_Workplan_Labor'!$D$32*'02_Assumptions'!$C$6*'02_Assumptions'!$C$7*'02_Assumptions'!$C$60*(1+'02_Assumptions'!$C$11)^2</f>
        <v>53453537.280000009</v>
      </c>
      <c r="E37" s="8">
        <f>$A$30*$E$36*$C$26*'05_Workplan_Labor'!$E$32*'02_Assumptions'!$C$6*'02_Assumptions'!$C$7*'02_Assumptions'!$C$60*(1+'02_Assumptions'!$C$11)^3</f>
        <v>50959038.873600006</v>
      </c>
      <c r="F37" s="8">
        <f>$A$30*$F$36*$C$26*'05_Workplan_Labor'!$F$32*'02_Assumptions'!$C$6*'02_Assumptions'!$C$7*'02_Assumptions'!$C$60*(1+'02_Assumptions'!$C$11)^4</f>
        <v>48179454.935040019</v>
      </c>
      <c r="G37" s="8">
        <f>$A$30*$G$36*$C$26*'05_Workplan_Labor'!$G$32*'02_Assumptions'!$C$6*'02_Assumptions'!$C$7*'02_Assumptions'!$C$60*(1+'02_Assumptions'!$C$11)^5</f>
        <v>45095969.819197454</v>
      </c>
      <c r="H37" s="8">
        <f>$A$30*$H$36*$C$26*'05_Workplan_Labor'!$H$32*'02_Assumptions'!$C$6*'02_Assumptions'!$C$7*'02_Assumptions'!$C$60*(1+'02_Assumptions'!$C$11)^6</f>
        <v>41688718.766191423</v>
      </c>
      <c r="I37" s="8">
        <f>$A$30*$I$36*$C$26*'05_Workplan_Labor'!$I$32*'02_Assumptions'!$C$6*'02_Assumptions'!$C$7*'02_Assumptions'!$C$60*(1+'02_Assumptions'!$C$11)^7</f>
        <v>40646500.797036625</v>
      </c>
      <c r="J37" s="8">
        <f>$A$30*$J$36*$C$26*'05_Workplan_Labor'!$J$32*'02_Assumptions'!$C$6*'02_Assumptions'!$C$7*'02_Assumptions'!$C$60*(1+'02_Assumptions'!$C$11)^8</f>
        <v>42272360.828918099</v>
      </c>
      <c r="K37" s="8">
        <f>$A$30*$K$36*$C$26*'05_Workplan_Labor'!$K$32*'02_Assumptions'!$C$6*'02_Assumptions'!$C$7*'02_Assumptions'!$C$60*(1+'02_Assumptions'!$C$11)^9</f>
        <v>43963255.262074828</v>
      </c>
      <c r="L37" s="5"/>
      <c r="M37" s="5"/>
      <c r="N37" s="5"/>
      <c r="O37" s="5"/>
      <c r="P37" s="5"/>
      <c r="Q37" s="5"/>
      <c r="R37" s="5"/>
      <c r="S37" s="5"/>
      <c r="T37" s="5"/>
      <c r="U37" s="5"/>
      <c r="V37" s="5"/>
    </row>
    <row r="38" spans="1:22">
      <c r="A38" s="5" t="s">
        <v>1964</v>
      </c>
      <c r="B38" s="139">
        <v>0.1</v>
      </c>
      <c r="C38" s="139">
        <v>0.2</v>
      </c>
      <c r="D38" s="139">
        <v>0.25</v>
      </c>
      <c r="E38" s="139">
        <v>0.25</v>
      </c>
      <c r="F38" s="139">
        <v>0.25</v>
      </c>
      <c r="G38" s="139">
        <v>0.25</v>
      </c>
      <c r="H38" s="139">
        <v>0.25</v>
      </c>
      <c r="I38" s="139">
        <v>0.25</v>
      </c>
      <c r="J38" s="139">
        <v>0.25</v>
      </c>
      <c r="K38" s="139">
        <v>0.25</v>
      </c>
      <c r="L38" s="5"/>
      <c r="M38" s="5"/>
      <c r="N38" s="5"/>
      <c r="O38" s="5"/>
      <c r="P38" s="5"/>
      <c r="Q38" s="5"/>
      <c r="R38" s="5"/>
      <c r="S38" s="5"/>
      <c r="T38" s="5"/>
      <c r="U38" s="5"/>
      <c r="V38" s="5"/>
    </row>
    <row r="39" spans="1:22">
      <c r="A39" s="5" t="s">
        <v>1965</v>
      </c>
      <c r="B39" s="8">
        <f>$A$28*$B$38*'07_Agri_Inputs'!$B$32</f>
        <v>27896000</v>
      </c>
      <c r="C39" s="8">
        <f>$A$28*$C$38*'07_Agri_Inputs'!$C$32</f>
        <v>58023680</v>
      </c>
      <c r="D39" s="8">
        <f>$A$28*$D$38*'07_Agri_Inputs'!$D$32</f>
        <v>75430784.000000015</v>
      </c>
      <c r="E39" s="8">
        <f>$A$28*$E$38*'07_Agri_Inputs'!$E$32</f>
        <v>78448015.359999999</v>
      </c>
      <c r="F39" s="8">
        <f>$A$28*$F$38*'07_Agri_Inputs'!$F$32</f>
        <v>81585935.974400014</v>
      </c>
      <c r="G39" s="8">
        <f>$A$28*$G$38*'07_Agri_Inputs'!$G$32</f>
        <v>84849373.413376018</v>
      </c>
      <c r="H39" s="8">
        <f>$A$28*$H$38*'07_Agri_Inputs'!$H$32</f>
        <v>88243348.349911064</v>
      </c>
      <c r="I39" s="8">
        <f>$A$28*$I$38*'07_Agri_Inputs'!$I$32</f>
        <v>91773082.283907503</v>
      </c>
      <c r="J39" s="8">
        <f>$A$28*$J$38*'07_Agri_Inputs'!$J$32</f>
        <v>95444005.575263813</v>
      </c>
      <c r="K39" s="8">
        <f>$A$28*$K$38*'07_Agri_Inputs'!$K$32</f>
        <v>99261765.798274383</v>
      </c>
      <c r="L39" s="5"/>
      <c r="M39" s="5"/>
      <c r="N39" s="5"/>
      <c r="O39" s="5"/>
      <c r="P39" s="5"/>
      <c r="Q39" s="5"/>
      <c r="R39" s="5"/>
      <c r="S39" s="5"/>
      <c r="T39" s="5"/>
      <c r="U39" s="5"/>
      <c r="V39" s="5"/>
    </row>
    <row r="40" spans="1:22">
      <c r="A40" s="5" t="s">
        <v>1966</v>
      </c>
      <c r="B40" s="8">
        <f>(IF(AND($A$6=1,$P$6="Sewa"),$C$6,0)+IF(AND($A$7=1,$P$7="Sewa"),$C$7,0)+IF(AND($A$8=1,$P$8="Sewa"),$C$8,0)+$H$19)*'02_Assumptions'!$C$113*(1+'02_Assumptions'!$C$11)^0</f>
        <v>28910000</v>
      </c>
      <c r="C40" s="8">
        <f>(IF(AND($A$6=1,$P$6="Sewa"),$C$6,0)+IF(AND($A$7=1,$P$7="Sewa"),$C$7,0)+IF(AND($A$8=1,$P$8="Sewa"),$C$8,0)+$H$19)*'02_Assumptions'!$C$113*(1+'02_Assumptions'!$C$11)^1</f>
        <v>30066400</v>
      </c>
      <c r="D40" s="8">
        <f>(IF(AND($A$6=1,$P$6="Sewa"),$C$6,0)+IF(AND($A$7=1,$P$7="Sewa"),$C$7,0)+IF(AND($A$8=1,$P$8="Sewa"),$C$8,0)+$H$19)*'02_Assumptions'!$C$113*(1+'02_Assumptions'!$C$11)^2</f>
        <v>31269056.000000004</v>
      </c>
      <c r="E40" s="8">
        <f>(IF(AND($A$6=1,$P$6="Sewa"),$C$6,0)+IF(AND($A$7=1,$P$7="Sewa"),$C$7,0)+IF(AND($A$8=1,$P$8="Sewa"),$C$8,0)+$H$19)*'02_Assumptions'!$C$113*(1+'02_Assumptions'!$C$11)^3</f>
        <v>32519818.240000002</v>
      </c>
      <c r="F40" s="8">
        <f>(IF(AND($A$6=1,$P$6="Sewa"),$C$6,0)+IF(AND($A$7=1,$P$7="Sewa"),$C$7,0)+IF(AND($A$8=1,$P$8="Sewa"),$C$8,0)+$H$19)*'02_Assumptions'!$C$113*(1+'02_Assumptions'!$C$11)^4</f>
        <v>33820610.969600007</v>
      </c>
      <c r="G40" s="8">
        <f>(IF(AND($A$6=1,$P$6="Sewa"),$C$6,0)+IF(AND($A$7=1,$P$7="Sewa"),$C$7,0)+IF(AND($A$8=1,$P$8="Sewa"),$C$8,0)+$H$19)*'02_Assumptions'!$C$113*(1+'02_Assumptions'!$C$11)^5</f>
        <v>35173435.40838401</v>
      </c>
      <c r="H40" s="8">
        <f>(IF(AND($A$6=1,$P$6="Sewa"),$C$6,0)+IF(AND($A$7=1,$P$7="Sewa"),$C$7,0)+IF(AND($A$8=1,$P$8="Sewa"),$C$8,0)+$H$19)*'02_Assumptions'!$C$113*(1+'02_Assumptions'!$C$11)^6</f>
        <v>36580372.824719369</v>
      </c>
      <c r="I40" s="8">
        <f>(IF(AND($A$6=1,$P$6="Sewa"),$C$6,0)+IF(AND($A$7=1,$P$7="Sewa"),$C$7,0)+IF(AND($A$8=1,$P$8="Sewa"),$C$8,0)+$H$19)*'02_Assumptions'!$C$113*(1+'02_Assumptions'!$C$11)^7</f>
        <v>38043587.737708144</v>
      </c>
      <c r="J40" s="8">
        <f>(IF(AND($A$6=1,$P$6="Sewa"),$C$6,0)+IF(AND($A$7=1,$P$7="Sewa"),$C$7,0)+IF(AND($A$8=1,$P$8="Sewa"),$C$8,0)+$H$19)*'02_Assumptions'!$C$113*(1+'02_Assumptions'!$C$11)^8</f>
        <v>39565331.247216478</v>
      </c>
      <c r="K40" s="8">
        <f>(IF(AND($A$6=1,$P$6="Sewa"),$C$6,0)+IF(AND($A$7=1,$P$7="Sewa"),$C$7,0)+IF(AND($A$8=1,$P$8="Sewa"),$C$8,0)+$H$19)*'02_Assumptions'!$C$113*(1+'02_Assumptions'!$C$11)^9</f>
        <v>41147944.497105137</v>
      </c>
      <c r="L40" s="5"/>
      <c r="M40" s="5"/>
      <c r="N40" s="5"/>
      <c r="O40" s="5"/>
      <c r="P40" s="5"/>
      <c r="Q40" s="5"/>
      <c r="R40" s="5"/>
      <c r="S40" s="5"/>
      <c r="T40" s="5"/>
      <c r="U40" s="5"/>
      <c r="V40" s="5"/>
    </row>
    <row r="41" spans="1:22">
      <c r="A41" s="136" t="s">
        <v>1967</v>
      </c>
      <c r="B41" s="136">
        <f t="shared" ref="B41:K41" si="3">SUM(B35,B37,B39,B40)</f>
        <v>56806000</v>
      </c>
      <c r="C41" s="136">
        <f t="shared" si="3"/>
        <v>155274225.59999999</v>
      </c>
      <c r="D41" s="136">
        <f t="shared" si="3"/>
        <v>213417147.84000003</v>
      </c>
      <c r="E41" s="136">
        <f t="shared" si="3"/>
        <v>212144243.51744002</v>
      </c>
      <c r="F41" s="136">
        <f t="shared" si="3"/>
        <v>219298129.28757763</v>
      </c>
      <c r="G41" s="136">
        <f t="shared" si="3"/>
        <v>217371003.49983954</v>
      </c>
      <c r="H41" s="136">
        <f t="shared" si="3"/>
        <v>231616823.48035544</v>
      </c>
      <c r="I41" s="136">
        <f t="shared" si="3"/>
        <v>238171729.6997672</v>
      </c>
      <c r="J41" s="136">
        <f t="shared" si="3"/>
        <v>247698598.8877579</v>
      </c>
      <c r="K41" s="136">
        <f t="shared" si="3"/>
        <v>257606542.84326828</v>
      </c>
      <c r="L41" s="5"/>
      <c r="M41" s="5"/>
      <c r="N41" s="5"/>
      <c r="O41" s="5"/>
      <c r="P41" s="5"/>
      <c r="Q41" s="5"/>
      <c r="R41" s="5"/>
      <c r="S41" s="5"/>
      <c r="T41" s="5"/>
      <c r="U41" s="5"/>
      <c r="V41" s="5"/>
    </row>
    <row r="42" spans="1:22">
      <c r="A42" s="5"/>
      <c r="B42" s="5"/>
      <c r="C42" s="5"/>
      <c r="D42" s="5"/>
      <c r="E42" s="5"/>
      <c r="F42" s="5"/>
      <c r="G42" s="5"/>
      <c r="H42" s="5"/>
      <c r="I42" s="5"/>
      <c r="J42" s="5"/>
      <c r="K42" s="5"/>
      <c r="L42" s="5"/>
      <c r="M42" s="5"/>
      <c r="N42" s="5"/>
      <c r="O42" s="5"/>
      <c r="P42" s="5"/>
      <c r="Q42" s="5"/>
      <c r="R42" s="5"/>
      <c r="S42" s="5"/>
      <c r="T42" s="5"/>
      <c r="U42" s="5"/>
      <c r="V42" s="5"/>
    </row>
    <row r="43" spans="1:22">
      <c r="A43" s="5"/>
      <c r="B43" s="5"/>
      <c r="C43" s="5"/>
      <c r="D43" s="5"/>
      <c r="E43" s="5"/>
      <c r="F43" s="5"/>
      <c r="G43" s="5"/>
      <c r="H43" s="5"/>
      <c r="I43" s="5"/>
      <c r="J43" s="5"/>
      <c r="K43" s="5"/>
      <c r="L43" s="5"/>
      <c r="M43" s="5"/>
      <c r="N43" s="5"/>
      <c r="O43" s="5"/>
      <c r="P43" s="5"/>
      <c r="Q43" s="5"/>
      <c r="R43" s="5"/>
      <c r="S43" s="5"/>
      <c r="T43" s="5"/>
      <c r="U43" s="5"/>
      <c r="V43" s="5"/>
    </row>
    <row r="44" spans="1:22" ht="20" customHeight="1">
      <c r="A44" s="249" t="s">
        <v>1968</v>
      </c>
      <c r="B44" s="249"/>
      <c r="C44" s="249"/>
      <c r="D44" s="249"/>
      <c r="E44" s="249"/>
      <c r="F44" s="249"/>
      <c r="G44" s="249"/>
      <c r="H44" s="249"/>
      <c r="I44" s="249"/>
      <c r="J44" s="249"/>
      <c r="K44" s="249"/>
      <c r="L44" s="249"/>
      <c r="M44" s="5"/>
      <c r="N44" s="5"/>
      <c r="O44" s="5"/>
      <c r="P44" s="5"/>
      <c r="Q44" s="5"/>
      <c r="R44" s="5"/>
      <c r="S44" s="5"/>
      <c r="T44" s="5"/>
      <c r="U44" s="5"/>
      <c r="V44" s="5"/>
    </row>
    <row r="45" spans="1:22" ht="32" customHeight="1">
      <c r="A45" s="130" t="s">
        <v>1318</v>
      </c>
      <c r="B45" s="131" t="s">
        <v>1274</v>
      </c>
      <c r="C45" s="131" t="s">
        <v>440</v>
      </c>
      <c r="D45" s="131" t="s">
        <v>441</v>
      </c>
      <c r="E45" s="131" t="s">
        <v>442</v>
      </c>
      <c r="F45" s="131" t="s">
        <v>443</v>
      </c>
      <c r="G45" s="131" t="s">
        <v>444</v>
      </c>
      <c r="H45" s="131" t="s">
        <v>445</v>
      </c>
      <c r="I45" s="131" t="s">
        <v>446</v>
      </c>
      <c r="J45" s="131" t="s">
        <v>447</v>
      </c>
      <c r="K45" s="131" t="s">
        <v>448</v>
      </c>
      <c r="L45" s="132" t="s">
        <v>449</v>
      </c>
      <c r="M45" s="5"/>
      <c r="N45" s="293" t="s">
        <v>1969</v>
      </c>
      <c r="O45" s="293"/>
      <c r="P45" s="293"/>
      <c r="Q45" s="293"/>
      <c r="R45" s="293"/>
      <c r="S45" s="293"/>
      <c r="T45" s="293"/>
      <c r="U45" s="293"/>
      <c r="V45" s="293"/>
    </row>
    <row r="46" spans="1:22">
      <c r="A46" s="5" t="s">
        <v>1970</v>
      </c>
      <c r="B46" s="10">
        <v>30000000</v>
      </c>
      <c r="C46" s="10">
        <v>0</v>
      </c>
      <c r="D46" s="10">
        <v>0</v>
      </c>
      <c r="E46" s="10">
        <v>0</v>
      </c>
      <c r="F46" s="10">
        <v>0</v>
      </c>
      <c r="G46" s="10">
        <v>0</v>
      </c>
      <c r="H46" s="10">
        <v>0</v>
      </c>
      <c r="I46" s="10">
        <v>0</v>
      </c>
      <c r="J46" s="10">
        <v>0</v>
      </c>
      <c r="K46" s="10">
        <v>0</v>
      </c>
      <c r="L46" s="10">
        <v>0</v>
      </c>
      <c r="M46" s="5"/>
      <c r="N46" s="293"/>
      <c r="O46" s="293"/>
      <c r="P46" s="293"/>
      <c r="Q46" s="293"/>
      <c r="R46" s="293"/>
      <c r="S46" s="293"/>
      <c r="T46" s="293"/>
      <c r="U46" s="293"/>
      <c r="V46" s="293"/>
    </row>
    <row r="47" spans="1:22">
      <c r="A47" s="5" t="s">
        <v>1971</v>
      </c>
      <c r="B47" s="10">
        <v>50000000</v>
      </c>
      <c r="C47" s="10">
        <f>20000000*(1+'02_Assumptions'!$C$11)^0</f>
        <v>20000000</v>
      </c>
      <c r="D47" s="10">
        <f>20000000*(1+'02_Assumptions'!$C$11)^1</f>
        <v>20800000</v>
      </c>
      <c r="E47" s="10">
        <f>20000000*(1+'02_Assumptions'!$C$11)^2</f>
        <v>21632000.000000004</v>
      </c>
      <c r="F47" s="10">
        <f>20000000*(1+'02_Assumptions'!$C$11)^3</f>
        <v>22497280</v>
      </c>
      <c r="G47" s="10">
        <f>20000000*(1+'02_Assumptions'!$C$11)^4</f>
        <v>23397171.200000003</v>
      </c>
      <c r="H47" s="10">
        <f>20000000*(1+'02_Assumptions'!$C$11)^5</f>
        <v>24333058.048000008</v>
      </c>
      <c r="I47" s="10">
        <f>20000000*(1+'02_Assumptions'!$C$11)^6</f>
        <v>25306380.369920008</v>
      </c>
      <c r="J47" s="10">
        <f>20000000*(1+'02_Assumptions'!$C$11)^7</f>
        <v>26318635.584716804</v>
      </c>
      <c r="K47" s="10">
        <f>20000000*(1+'02_Assumptions'!$C$11)^8</f>
        <v>27371381.008105483</v>
      </c>
      <c r="L47" s="10">
        <f>20000000*(1+'02_Assumptions'!$C$11)^9</f>
        <v>28466236.248429704</v>
      </c>
      <c r="M47" s="5"/>
      <c r="N47" s="293"/>
      <c r="O47" s="293"/>
      <c r="P47" s="293"/>
      <c r="Q47" s="293"/>
      <c r="R47" s="293"/>
      <c r="S47" s="293"/>
      <c r="T47" s="293"/>
      <c r="U47" s="293"/>
      <c r="V47" s="293"/>
    </row>
    <row r="48" spans="1:22">
      <c r="A48" s="5" t="s">
        <v>1972</v>
      </c>
      <c r="B48" s="10">
        <v>50000000</v>
      </c>
      <c r="C48" s="10">
        <f>12000000*(1+'02_Assumptions'!$C$11)^0</f>
        <v>12000000</v>
      </c>
      <c r="D48" s="10">
        <f>12000000*(1+'02_Assumptions'!$C$11)^1</f>
        <v>12480000</v>
      </c>
      <c r="E48" s="10">
        <f>12000000*(1+'02_Assumptions'!$C$11)^2</f>
        <v>12979200.000000002</v>
      </c>
      <c r="F48" s="10">
        <f>12000000*(1+'02_Assumptions'!$C$11)^3</f>
        <v>13498368.000000002</v>
      </c>
      <c r="G48" s="10">
        <f>12000000*(1+'02_Assumptions'!$C$11)^4</f>
        <v>14038302.720000003</v>
      </c>
      <c r="H48" s="10">
        <f>12000000*(1+'02_Assumptions'!$C$11)^5</f>
        <v>14599834.828800004</v>
      </c>
      <c r="I48" s="10">
        <f>12000000*(1+'02_Assumptions'!$C$11)^6</f>
        <v>15183828.221952004</v>
      </c>
      <c r="J48" s="10">
        <f>12000000*(1+'02_Assumptions'!$C$11)^7</f>
        <v>15791181.350830084</v>
      </c>
      <c r="K48" s="10">
        <f>12000000*(1+'02_Assumptions'!$C$11)^8</f>
        <v>16422828.60486329</v>
      </c>
      <c r="L48" s="10">
        <f>12000000*(1+'02_Assumptions'!$C$11)^9</f>
        <v>17079741.749057822</v>
      </c>
      <c r="M48" s="5"/>
      <c r="N48" s="293"/>
      <c r="O48" s="293"/>
      <c r="P48" s="293"/>
      <c r="Q48" s="293"/>
      <c r="R48" s="293"/>
      <c r="S48" s="293"/>
      <c r="T48" s="293"/>
      <c r="U48" s="293"/>
      <c r="V48" s="293"/>
    </row>
    <row r="49" spans="1:22">
      <c r="A49" s="5" t="s">
        <v>1973</v>
      </c>
      <c r="B49" s="10">
        <v>20000000</v>
      </c>
      <c r="C49" s="10">
        <f>12000000*(1+'02_Assumptions'!$C$11)^0</f>
        <v>12000000</v>
      </c>
      <c r="D49" s="10">
        <f>12000000*(1+'02_Assumptions'!$C$11)^1</f>
        <v>12480000</v>
      </c>
      <c r="E49" s="10">
        <f>12000000*(1+'02_Assumptions'!$C$11)^2</f>
        <v>12979200.000000002</v>
      </c>
      <c r="F49" s="10">
        <f>12000000*(1+'02_Assumptions'!$C$11)^3</f>
        <v>13498368.000000002</v>
      </c>
      <c r="G49" s="10">
        <f>12000000*(1+'02_Assumptions'!$C$11)^4</f>
        <v>14038302.720000003</v>
      </c>
      <c r="H49" s="10">
        <f>12000000*(1+'02_Assumptions'!$C$11)^5</f>
        <v>14599834.828800004</v>
      </c>
      <c r="I49" s="10">
        <f>12000000*(1+'02_Assumptions'!$C$11)^6</f>
        <v>15183828.221952004</v>
      </c>
      <c r="J49" s="10">
        <f>12000000*(1+'02_Assumptions'!$C$11)^7</f>
        <v>15791181.350830084</v>
      </c>
      <c r="K49" s="10">
        <f>12000000*(1+'02_Assumptions'!$C$11)^8</f>
        <v>16422828.60486329</v>
      </c>
      <c r="L49" s="10">
        <f>12000000*(1+'02_Assumptions'!$C$11)^9</f>
        <v>17079741.749057822</v>
      </c>
      <c r="M49" s="5"/>
      <c r="N49" s="293"/>
      <c r="O49" s="293"/>
      <c r="P49" s="293"/>
      <c r="Q49" s="293"/>
      <c r="R49" s="293"/>
      <c r="S49" s="293"/>
      <c r="T49" s="293"/>
      <c r="U49" s="293"/>
      <c r="V49" s="293"/>
    </row>
    <row r="50" spans="1:22">
      <c r="A50" s="5" t="s">
        <v>1974</v>
      </c>
      <c r="B50" s="10">
        <v>0</v>
      </c>
      <c r="C50" s="10">
        <f>20000000*(1+'02_Assumptions'!$C$11)^0</f>
        <v>20000000</v>
      </c>
      <c r="D50" s="10">
        <f>20000000*(1+'02_Assumptions'!$C$11)^1</f>
        <v>20800000</v>
      </c>
      <c r="E50" s="10">
        <f>20000000*(1+'02_Assumptions'!$C$11)^2</f>
        <v>21632000.000000004</v>
      </c>
      <c r="F50" s="10">
        <f>20000000*(1+'02_Assumptions'!$C$11)^3</f>
        <v>22497280</v>
      </c>
      <c r="G50" s="10">
        <f>20000000*(1+'02_Assumptions'!$C$11)^4</f>
        <v>23397171.200000003</v>
      </c>
      <c r="H50" s="10">
        <f>20000000*(1+'02_Assumptions'!$C$11)^5</f>
        <v>24333058.048000008</v>
      </c>
      <c r="I50" s="10">
        <f>20000000*(1+'02_Assumptions'!$C$11)^6</f>
        <v>25306380.369920008</v>
      </c>
      <c r="J50" s="10">
        <f>20000000*(1+'02_Assumptions'!$C$11)^7</f>
        <v>26318635.584716804</v>
      </c>
      <c r="K50" s="10">
        <f>20000000*(1+'02_Assumptions'!$C$11)^8</f>
        <v>27371381.008105483</v>
      </c>
      <c r="L50" s="10">
        <f>20000000*(1+'02_Assumptions'!$C$11)^9</f>
        <v>28466236.248429704</v>
      </c>
      <c r="M50" s="5"/>
      <c r="N50" s="293"/>
      <c r="O50" s="293"/>
      <c r="P50" s="293"/>
      <c r="Q50" s="293"/>
      <c r="R50" s="293"/>
      <c r="S50" s="293"/>
      <c r="T50" s="293"/>
      <c r="U50" s="293"/>
      <c r="V50" s="293"/>
    </row>
    <row r="51" spans="1:22">
      <c r="A51" s="5" t="s">
        <v>1975</v>
      </c>
      <c r="B51" s="10">
        <v>25000000</v>
      </c>
      <c r="C51" s="10">
        <f>10000000*(1+'02_Assumptions'!$C$11)^0</f>
        <v>10000000</v>
      </c>
      <c r="D51" s="10">
        <f>10000000*(1+'02_Assumptions'!$C$11)^1</f>
        <v>10400000</v>
      </c>
      <c r="E51" s="10">
        <f>10000000*(1+'02_Assumptions'!$C$11)^2</f>
        <v>10816000.000000002</v>
      </c>
      <c r="F51" s="10">
        <f>10000000*(1+'02_Assumptions'!$C$11)^3</f>
        <v>11248640</v>
      </c>
      <c r="G51" s="10">
        <f>10000000*(1+'02_Assumptions'!$C$11)^4</f>
        <v>11698585.600000001</v>
      </c>
      <c r="H51" s="10">
        <f>10000000*(1+'02_Assumptions'!$C$11)^5</f>
        <v>12166529.024000004</v>
      </c>
      <c r="I51" s="10">
        <f>10000000*(1+'02_Assumptions'!$C$11)^6</f>
        <v>12653190.184960004</v>
      </c>
      <c r="J51" s="10">
        <f>10000000*(1+'02_Assumptions'!$C$11)^7</f>
        <v>13159317.792358402</v>
      </c>
      <c r="K51" s="10">
        <f>10000000*(1+'02_Assumptions'!$C$11)^8</f>
        <v>13685690.504052741</v>
      </c>
      <c r="L51" s="10">
        <f>10000000*(1+'02_Assumptions'!$C$11)^9</f>
        <v>14233118.124214852</v>
      </c>
      <c r="M51" s="5"/>
      <c r="N51" s="293"/>
      <c r="O51" s="293"/>
      <c r="P51" s="293"/>
      <c r="Q51" s="293"/>
      <c r="R51" s="293"/>
      <c r="S51" s="293"/>
      <c r="T51" s="293"/>
      <c r="U51" s="293"/>
      <c r="V51" s="293"/>
    </row>
    <row r="52" spans="1:22">
      <c r="A52" s="5" t="s">
        <v>1339</v>
      </c>
      <c r="B52" s="10">
        <v>0</v>
      </c>
      <c r="C52" s="10">
        <v>0</v>
      </c>
      <c r="D52" s="10">
        <v>0</v>
      </c>
      <c r="E52" s="10">
        <v>0</v>
      </c>
      <c r="F52" s="10">
        <v>0</v>
      </c>
      <c r="G52" s="10">
        <f>15000000*(1+'02_Assumptions'!$C$11)^4</f>
        <v>17547878.400000002</v>
      </c>
      <c r="H52" s="10">
        <v>0</v>
      </c>
      <c r="I52" s="10">
        <v>0</v>
      </c>
      <c r="J52" s="10">
        <v>0</v>
      </c>
      <c r="K52" s="10">
        <v>0</v>
      </c>
      <c r="L52" s="10">
        <v>0</v>
      </c>
      <c r="M52" s="5"/>
      <c r="N52" s="293"/>
      <c r="O52" s="293"/>
      <c r="P52" s="293"/>
      <c r="Q52" s="293"/>
      <c r="R52" s="293"/>
      <c r="S52" s="293"/>
      <c r="T52" s="293"/>
      <c r="U52" s="293"/>
      <c r="V52" s="293"/>
    </row>
    <row r="53" spans="1:22">
      <c r="A53" s="5" t="s">
        <v>1976</v>
      </c>
      <c r="B53" s="10">
        <v>0</v>
      </c>
      <c r="C53" s="10">
        <v>0</v>
      </c>
      <c r="D53" s="10">
        <v>0</v>
      </c>
      <c r="E53" s="10">
        <v>0</v>
      </c>
      <c r="F53" s="10">
        <v>0</v>
      </c>
      <c r="G53" s="10">
        <v>0</v>
      </c>
      <c r="H53" s="10">
        <f>35000000*(1+'02_Assumptions'!$C$11)^5</f>
        <v>42582851.584000014</v>
      </c>
      <c r="I53" s="10">
        <v>0</v>
      </c>
      <c r="J53" s="10">
        <v>0</v>
      </c>
      <c r="K53" s="10">
        <v>0</v>
      </c>
      <c r="L53" s="10">
        <v>0</v>
      </c>
      <c r="M53" s="5"/>
      <c r="N53" s="293"/>
      <c r="O53" s="293"/>
      <c r="P53" s="293"/>
      <c r="Q53" s="293"/>
      <c r="R53" s="293"/>
      <c r="S53" s="293"/>
      <c r="T53" s="293"/>
      <c r="U53" s="293"/>
      <c r="V53" s="293"/>
    </row>
    <row r="54" spans="1:22">
      <c r="A54" s="5" t="s">
        <v>1345</v>
      </c>
      <c r="B54" s="10">
        <v>0</v>
      </c>
      <c r="C54" s="10">
        <v>0</v>
      </c>
      <c r="D54" s="10">
        <v>0</v>
      </c>
      <c r="E54" s="10">
        <v>0</v>
      </c>
      <c r="F54" s="10">
        <v>0</v>
      </c>
      <c r="G54" s="10">
        <v>0</v>
      </c>
      <c r="H54" s="10">
        <v>0</v>
      </c>
      <c r="I54" s="10">
        <f>25000000*(1+'02_Assumptions'!$C$11)^6</f>
        <v>31632975.462400008</v>
      </c>
      <c r="J54" s="10">
        <f>25000000*(1+'02_Assumptions'!$C$11)^7</f>
        <v>32898294.480896007</v>
      </c>
      <c r="K54" s="10">
        <f>25000000*(1+'02_Assumptions'!$C$11)^8</f>
        <v>34214226.260131851</v>
      </c>
      <c r="L54" s="10">
        <f>25000000*(1+'02_Assumptions'!$C$11)^9</f>
        <v>35582795.31053713</v>
      </c>
      <c r="M54" s="5"/>
      <c r="N54" s="293"/>
      <c r="O54" s="293"/>
      <c r="P54" s="293"/>
      <c r="Q54" s="293"/>
      <c r="R54" s="293"/>
      <c r="S54" s="293"/>
      <c r="T54" s="293"/>
      <c r="U54" s="293"/>
      <c r="V54" s="293"/>
    </row>
    <row r="55" spans="1:22">
      <c r="A55" s="5" t="s">
        <v>1977</v>
      </c>
      <c r="B55" s="10">
        <v>0</v>
      </c>
      <c r="C55" s="10">
        <f>'02_Assumptions'!$C$6*'02_Assumptions'!$C$118*(1+'02_Assumptions'!$C$11)^0</f>
        <v>15000000</v>
      </c>
      <c r="D55" s="10">
        <f>'02_Assumptions'!$C$6*'02_Assumptions'!$C$118*(1+'02_Assumptions'!$C$11)^1</f>
        <v>15600000</v>
      </c>
      <c r="E55" s="10">
        <f>'02_Assumptions'!$C$6*'02_Assumptions'!$C$118*(1+'02_Assumptions'!$C$11)^2</f>
        <v>16224000.000000002</v>
      </c>
      <c r="F55" s="10">
        <f>'02_Assumptions'!$C$6*'02_Assumptions'!$C$118*(1+'02_Assumptions'!$C$11)^3</f>
        <v>16872960</v>
      </c>
      <c r="G55" s="10">
        <f>'02_Assumptions'!$C$6*'02_Assumptions'!$C$118*(1+'02_Assumptions'!$C$11)^4</f>
        <v>17547878.400000002</v>
      </c>
      <c r="H55" s="10">
        <f>'02_Assumptions'!$C$6*'02_Assumptions'!$C$118*(1+'02_Assumptions'!$C$11)^5</f>
        <v>18249793.536000006</v>
      </c>
      <c r="I55" s="10">
        <f>'02_Assumptions'!$C$6*'02_Assumptions'!$C$118*(1+'02_Assumptions'!$C$11)^6</f>
        <v>18979785.277440004</v>
      </c>
      <c r="J55" s="10">
        <f>'02_Assumptions'!$C$6*'02_Assumptions'!$C$118*(1+'02_Assumptions'!$C$11)^7</f>
        <v>19738976.688537605</v>
      </c>
      <c r="K55" s="10">
        <f>'02_Assumptions'!$C$6*'02_Assumptions'!$C$118*(1+'02_Assumptions'!$C$11)^8</f>
        <v>20528535.756079111</v>
      </c>
      <c r="L55" s="10">
        <f>'02_Assumptions'!$C$6*'02_Assumptions'!$C$118*(1+'02_Assumptions'!$C$11)^9</f>
        <v>21349677.186322279</v>
      </c>
      <c r="M55" s="5"/>
      <c r="N55" s="293"/>
      <c r="O55" s="293"/>
      <c r="P55" s="293"/>
      <c r="Q55" s="293"/>
      <c r="R55" s="293"/>
      <c r="S55" s="293"/>
      <c r="T55" s="293"/>
      <c r="U55" s="293"/>
      <c r="V55" s="293"/>
    </row>
    <row r="56" spans="1:22">
      <c r="A56" s="136" t="s">
        <v>1978</v>
      </c>
      <c r="B56" s="136">
        <f t="shared" ref="B56:L56" si="4">SUM(B46:B55)</f>
        <v>175000000</v>
      </c>
      <c r="C56" s="136">
        <f t="shared" si="4"/>
        <v>89000000</v>
      </c>
      <c r="D56" s="136">
        <f t="shared" si="4"/>
        <v>92560000</v>
      </c>
      <c r="E56" s="136">
        <f t="shared" si="4"/>
        <v>96262400.000000015</v>
      </c>
      <c r="F56" s="136">
        <f t="shared" si="4"/>
        <v>100112896</v>
      </c>
      <c r="G56" s="136">
        <f t="shared" si="4"/>
        <v>121665290.24000001</v>
      </c>
      <c r="H56" s="136">
        <f t="shared" si="4"/>
        <v>150864959.89760005</v>
      </c>
      <c r="I56" s="136">
        <f t="shared" si="4"/>
        <v>144246368.10854405</v>
      </c>
      <c r="J56" s="136">
        <f t="shared" si="4"/>
        <v>150016222.8328858</v>
      </c>
      <c r="K56" s="136">
        <f t="shared" si="4"/>
        <v>156016871.74620125</v>
      </c>
      <c r="L56" s="136">
        <f t="shared" si="4"/>
        <v>162257546.61604932</v>
      </c>
      <c r="M56" s="5"/>
      <c r="N56" s="293"/>
      <c r="O56" s="293"/>
      <c r="P56" s="293"/>
      <c r="Q56" s="293"/>
      <c r="R56" s="293"/>
      <c r="S56" s="293"/>
      <c r="T56" s="293"/>
      <c r="U56" s="293"/>
      <c r="V56" s="293"/>
    </row>
    <row r="57" spans="1:22">
      <c r="A57" s="5" t="s">
        <v>1979</v>
      </c>
      <c r="B57" s="8">
        <f>'14_Certification_ESG'!C15</f>
        <v>380000000</v>
      </c>
      <c r="C57" s="8">
        <f>'09_OPEX_10Y'!B13</f>
        <v>145000000</v>
      </c>
      <c r="D57" s="8">
        <f>'09_OPEX_10Y'!C13</f>
        <v>150800000</v>
      </c>
      <c r="E57" s="8">
        <f>'09_OPEX_10Y'!D13</f>
        <v>156832000.00000003</v>
      </c>
      <c r="F57" s="8">
        <f>'09_OPEX_10Y'!E13</f>
        <v>163105280</v>
      </c>
      <c r="G57" s="8">
        <f>'09_OPEX_10Y'!F13</f>
        <v>198875955.20000002</v>
      </c>
      <c r="H57" s="8">
        <f>'09_OPEX_10Y'!G13</f>
        <v>243330580.48000008</v>
      </c>
      <c r="I57" s="8">
        <f>'09_OPEX_10Y'!H13</f>
        <v>227757423.32928008</v>
      </c>
      <c r="J57" s="8">
        <f>'09_OPEX_10Y'!I13</f>
        <v>236867720.26245123</v>
      </c>
      <c r="K57" s="8">
        <f>'09_OPEX_10Y'!J13</f>
        <v>246342429.07294935</v>
      </c>
      <c r="L57" s="8">
        <f>'09_OPEX_10Y'!K13</f>
        <v>256196126.23586735</v>
      </c>
      <c r="M57" s="5"/>
      <c r="N57" s="293"/>
      <c r="O57" s="293"/>
      <c r="P57" s="293"/>
      <c r="Q57" s="293"/>
      <c r="R57" s="293"/>
      <c r="S57" s="293"/>
      <c r="T57" s="293"/>
      <c r="U57" s="293"/>
      <c r="V57" s="293"/>
    </row>
    <row r="58" spans="1:22">
      <c r="A58" s="136" t="s">
        <v>1980</v>
      </c>
      <c r="B58" s="136">
        <f t="shared" ref="B58:L58" si="5">MAX(0,B57-B56)</f>
        <v>205000000</v>
      </c>
      <c r="C58" s="136">
        <f t="shared" si="5"/>
        <v>56000000</v>
      </c>
      <c r="D58" s="136">
        <f t="shared" si="5"/>
        <v>58240000</v>
      </c>
      <c r="E58" s="136">
        <f t="shared" si="5"/>
        <v>60569600.000000015</v>
      </c>
      <c r="F58" s="136">
        <f t="shared" si="5"/>
        <v>62992384</v>
      </c>
      <c r="G58" s="136">
        <f t="shared" si="5"/>
        <v>77210664.960000008</v>
      </c>
      <c r="H58" s="136">
        <f t="shared" si="5"/>
        <v>92465620.582400024</v>
      </c>
      <c r="I58" s="136">
        <f t="shared" si="5"/>
        <v>83511055.220736027</v>
      </c>
      <c r="J58" s="136">
        <f t="shared" si="5"/>
        <v>86851497.42956543</v>
      </c>
      <c r="K58" s="136">
        <f t="shared" si="5"/>
        <v>90325557.326748103</v>
      </c>
      <c r="L58" s="136">
        <f t="shared" si="5"/>
        <v>93938579.619818032</v>
      </c>
      <c r="M58" s="5"/>
      <c r="N58" s="293"/>
      <c r="O58" s="293"/>
      <c r="P58" s="293"/>
      <c r="Q58" s="293"/>
      <c r="R58" s="293"/>
      <c r="S58" s="293"/>
      <c r="T58" s="293"/>
      <c r="U58" s="293"/>
      <c r="V58" s="293"/>
    </row>
    <row r="59" spans="1:22">
      <c r="A59" s="5"/>
      <c r="B59" s="5"/>
      <c r="C59" s="5"/>
      <c r="D59" s="5"/>
      <c r="E59" s="5"/>
      <c r="F59" s="5"/>
      <c r="G59" s="5"/>
      <c r="H59" s="5"/>
      <c r="I59" s="5"/>
      <c r="J59" s="5"/>
      <c r="K59" s="5"/>
      <c r="L59" s="5"/>
      <c r="M59" s="5"/>
      <c r="N59" s="5"/>
      <c r="O59" s="5"/>
      <c r="P59" s="5"/>
      <c r="Q59" s="5"/>
      <c r="R59" s="5"/>
      <c r="S59" s="5"/>
      <c r="T59" s="5"/>
      <c r="U59" s="5"/>
      <c r="V59" s="5"/>
    </row>
    <row r="60" spans="1:22">
      <c r="A60" s="5"/>
      <c r="B60" s="5"/>
      <c r="C60" s="5"/>
      <c r="D60" s="5"/>
      <c r="E60" s="5"/>
      <c r="F60" s="5"/>
      <c r="G60" s="5"/>
      <c r="H60" s="5"/>
      <c r="I60" s="5"/>
      <c r="J60" s="5"/>
      <c r="K60" s="5"/>
      <c r="L60" s="5"/>
      <c r="M60" s="5"/>
      <c r="N60" s="5"/>
      <c r="O60" s="5"/>
      <c r="P60" s="5"/>
      <c r="Q60" s="5"/>
      <c r="R60" s="5"/>
      <c r="S60" s="5"/>
      <c r="T60" s="5"/>
      <c r="U60" s="5"/>
      <c r="V60" s="5"/>
    </row>
    <row r="61" spans="1:22" ht="20" customHeight="1">
      <c r="A61" s="249" t="s">
        <v>1981</v>
      </c>
      <c r="B61" s="249"/>
      <c r="C61" s="249"/>
      <c r="D61" s="249"/>
      <c r="E61" s="249"/>
      <c r="F61" s="249"/>
      <c r="G61" s="249"/>
      <c r="H61" s="249"/>
      <c r="I61" s="249"/>
      <c r="J61" s="249"/>
      <c r="K61" s="249"/>
      <c r="L61" s="249"/>
      <c r="M61" s="5"/>
      <c r="N61" s="5"/>
      <c r="O61" s="5"/>
      <c r="P61" s="5"/>
      <c r="Q61" s="5"/>
      <c r="R61" s="5"/>
      <c r="S61" s="5"/>
      <c r="T61" s="5"/>
      <c r="U61" s="5"/>
      <c r="V61" s="5"/>
    </row>
    <row r="62" spans="1:22" ht="32" customHeight="1">
      <c r="A62" s="130" t="s">
        <v>1959</v>
      </c>
      <c r="B62" s="131" t="s">
        <v>1274</v>
      </c>
      <c r="C62" s="131" t="s">
        <v>440</v>
      </c>
      <c r="D62" s="131" t="s">
        <v>441</v>
      </c>
      <c r="E62" s="131" t="s">
        <v>442</v>
      </c>
      <c r="F62" s="131" t="s">
        <v>443</v>
      </c>
      <c r="G62" s="131" t="s">
        <v>444</v>
      </c>
      <c r="H62" s="131" t="s">
        <v>445</v>
      </c>
      <c r="I62" s="131" t="s">
        <v>446</v>
      </c>
      <c r="J62" s="131" t="s">
        <v>447</v>
      </c>
      <c r="K62" s="131" t="s">
        <v>448</v>
      </c>
      <c r="L62" s="132" t="s">
        <v>449</v>
      </c>
      <c r="M62" s="5"/>
      <c r="N62" s="5"/>
      <c r="O62" s="5"/>
      <c r="P62" s="5"/>
      <c r="Q62" s="5"/>
      <c r="R62" s="5"/>
      <c r="S62" s="5"/>
      <c r="T62" s="5"/>
      <c r="U62" s="5"/>
      <c r="V62" s="5"/>
    </row>
    <row r="63" spans="1:22">
      <c r="A63" s="5" t="s">
        <v>1982</v>
      </c>
      <c r="B63" s="8">
        <f>IF(AND($A$6=1,$P$6="Sewa"),$C$6,0)+IF(AND($A$7=1,$P$7="Sewa"),$C$7,0)+IF(AND($A$8=1,$P$8="Sewa"),$C$8,0)</f>
        <v>460000000</v>
      </c>
      <c r="C63" s="8">
        <v>0</v>
      </c>
      <c r="D63" s="8">
        <v>0</v>
      </c>
      <c r="E63" s="8">
        <v>0</v>
      </c>
      <c r="F63" s="8">
        <v>0</v>
      </c>
      <c r="G63" s="8">
        <v>0</v>
      </c>
      <c r="H63" s="8">
        <v>0</v>
      </c>
      <c r="I63" s="8">
        <v>0</v>
      </c>
      <c r="J63" s="8">
        <v>0</v>
      </c>
      <c r="K63" s="8">
        <v>0</v>
      </c>
      <c r="L63" s="8">
        <v>0</v>
      </c>
      <c r="M63" s="5"/>
      <c r="N63" s="5"/>
      <c r="O63" s="5"/>
      <c r="P63" s="5"/>
      <c r="Q63" s="5"/>
      <c r="R63" s="5"/>
      <c r="S63" s="5"/>
      <c r="T63" s="5"/>
      <c r="U63" s="5"/>
      <c r="V63" s="5"/>
    </row>
    <row r="64" spans="1:22">
      <c r="A64" s="5" t="s">
        <v>1983</v>
      </c>
      <c r="B64" s="8">
        <f>$H$19+$A$27*$C$27+$B$58</f>
        <v>548200000</v>
      </c>
      <c r="C64" s="8">
        <v>0</v>
      </c>
      <c r="D64" s="8">
        <v>0</v>
      </c>
      <c r="E64" s="8">
        <v>0</v>
      </c>
      <c r="F64" s="8">
        <v>0</v>
      </c>
      <c r="G64" s="8">
        <v>0</v>
      </c>
      <c r="H64" s="8">
        <v>0</v>
      </c>
      <c r="I64" s="8">
        <v>0</v>
      </c>
      <c r="J64" s="8">
        <v>0</v>
      </c>
      <c r="K64" s="8">
        <v>0</v>
      </c>
      <c r="L64" s="8">
        <v>0</v>
      </c>
      <c r="M64" s="5"/>
      <c r="N64" s="5"/>
      <c r="O64" s="5"/>
      <c r="P64" s="5"/>
      <c r="Q64" s="5"/>
      <c r="R64" s="5"/>
      <c r="S64" s="5"/>
      <c r="T64" s="5"/>
      <c r="U64" s="5"/>
      <c r="V64" s="5"/>
    </row>
    <row r="65" spans="1:22">
      <c r="A65" s="5" t="s">
        <v>1984</v>
      </c>
      <c r="B65" s="8">
        <f>SUMPRODUCT(($P$6:$P$8="Sewa")*($A$6:$A$8=1)*$D$6:$D$8*$E$6:$E$8)+$A$24*$C$24</f>
        <v>299000000</v>
      </c>
      <c r="C65" s="8">
        <v>0</v>
      </c>
      <c r="D65" s="8">
        <v>0</v>
      </c>
      <c r="E65" s="8">
        <v>0</v>
      </c>
      <c r="F65" s="8">
        <v>0</v>
      </c>
      <c r="G65" s="8">
        <v>0</v>
      </c>
      <c r="H65" s="8">
        <v>0</v>
      </c>
      <c r="I65" s="8">
        <v>0</v>
      </c>
      <c r="J65" s="8">
        <v>0</v>
      </c>
      <c r="K65" s="8">
        <v>0</v>
      </c>
      <c r="L65" s="8">
        <v>0</v>
      </c>
      <c r="M65" s="5"/>
      <c r="N65" s="5"/>
      <c r="O65" s="5"/>
      <c r="P65" s="5"/>
      <c r="Q65" s="5"/>
      <c r="R65" s="5"/>
      <c r="S65" s="5"/>
      <c r="T65" s="5"/>
      <c r="U65" s="5"/>
      <c r="V65" s="5"/>
    </row>
    <row r="66" spans="1:22">
      <c r="A66" s="5" t="s">
        <v>1985</v>
      </c>
      <c r="B66" s="8"/>
      <c r="C66" s="8">
        <f>0</f>
        <v>0</v>
      </c>
      <c r="D66" s="8">
        <f>0</f>
        <v>0</v>
      </c>
      <c r="E66" s="8">
        <f>0</f>
        <v>0</v>
      </c>
      <c r="F66" s="8">
        <f>0</f>
        <v>0</v>
      </c>
      <c r="G66" s="8">
        <f>(IF(AND($A$6=1,$P$6="Sewa"),$C$6,0)+IF(AND($A$7=1,$P$7="Sewa"),$C$7,0)+IF(AND($A$8=1,$P$8="Sewa"),$C$8,0)+$H$19)*'02_Assumptions'!$C$183*(1+'02_Assumptions'!$C$11)^4</f>
        <v>135282443.87840003</v>
      </c>
      <c r="H66" s="8">
        <f>0</f>
        <v>0</v>
      </c>
      <c r="I66" s="8">
        <f>0</f>
        <v>0</v>
      </c>
      <c r="J66" s="8">
        <f>(IF(AND($A$6=1,$P$6="Sewa"),$C$6,0)+IF(AND($A$7=1,$P$7="Sewa"),$C$7,0)+IF(AND($A$8=1,$P$8="Sewa"),$C$8,0)+$H$19)*'02_Assumptions'!$C$184*(1+'02_Assumptions'!$C$11)^7</f>
        <v>76087175.475416288</v>
      </c>
      <c r="K66" s="8">
        <f>0</f>
        <v>0</v>
      </c>
      <c r="L66" s="8">
        <f>0</f>
        <v>0</v>
      </c>
      <c r="M66" s="5"/>
      <c r="N66" s="5"/>
      <c r="O66" s="5"/>
      <c r="P66" s="5"/>
      <c r="Q66" s="5"/>
      <c r="R66" s="5"/>
      <c r="S66" s="5"/>
      <c r="T66" s="5"/>
      <c r="U66" s="5"/>
      <c r="V66" s="5"/>
    </row>
    <row r="67" spans="1:22">
      <c r="A67" s="5" t="s">
        <v>1986</v>
      </c>
      <c r="B67" s="8"/>
      <c r="C67" s="8">
        <f>SUMPRODUCT(($P$6:$P$8="Sewa")*($A$6:$A$8=1)*$D$6:$D$8*$F$6:$F$8)*(1+'02_Assumptions'!$C$11)^0</f>
        <v>60100000</v>
      </c>
      <c r="D67" s="8">
        <f>SUMPRODUCT(($P$6:$P$8="Sewa")*($A$6:$A$8=1)*$D$6:$D$8*$G$6:$G$8)*(1+'02_Assumptions'!$C$11)^1</f>
        <v>42536000</v>
      </c>
      <c r="E67" s="8">
        <f>SUMPRODUCT(($P$6:$P$8="Sewa")*($A$6:$A$8=1)*$D$6:$D$8*$H$6:$H$8)*(1+'02_Assumptions'!$C$11)^2</f>
        <v>44237440.000000007</v>
      </c>
      <c r="F67" s="8">
        <f>SUMPRODUCT(($P$6:$P$8="Sewa")*($A$6:$A$8=1)*$D$6:$D$8*$I$6:$I$8)*(1+'02_Assumptions'!$C$11)^3</f>
        <v>31608678.400000002</v>
      </c>
      <c r="G67" s="8">
        <f>SUMPRODUCT(($P$6:$P$8="Sewa")*($A$6:$A$8=1)*$D$6:$D$8*$J$6:$J$8)*(1+'02_Assumptions'!$C$11)^4</f>
        <v>25385930.752000004</v>
      </c>
      <c r="H67" s="8">
        <f>SUMPRODUCT(($P$6:$P$8="Sewa")*($A$6:$A$8=1)*$D$6:$D$8*$K$6:$K$8)*(1+'02_Assumptions'!$C$11)^5</f>
        <v>26401367.982080009</v>
      </c>
      <c r="I67" s="8">
        <f>SUMPRODUCT(($P$6:$P$8="Sewa")*($A$6:$A$8=1)*$D$6:$D$8*$L$6:$L$8)*(1+'02_Assumptions'!$C$11)^6</f>
        <v>27457422.70136321</v>
      </c>
      <c r="J67" s="8">
        <f>SUMPRODUCT(($P$6:$P$8="Sewa")*($A$6:$A$8=1)*$D$6:$D$8*$M$6:$M$8)*(1+'02_Assumptions'!$C$11)^7</f>
        <v>28555719.609417733</v>
      </c>
      <c r="K67" s="8">
        <f>SUMPRODUCT(($P$6:$P$8="Sewa")*($A$6:$A$8=1)*$D$6:$D$8*$N$6:$N$8)*(1+'02_Assumptions'!$C$11)^8</f>
        <v>29697948.393794447</v>
      </c>
      <c r="L67" s="8">
        <f>SUMPRODUCT(($P$6:$P$8="Sewa")*($A$6:$A$8=1)*$D$6:$D$8*$O$6:$O$8)*(1+'02_Assumptions'!$C$11)^9</f>
        <v>30885866.329546228</v>
      </c>
      <c r="M67" s="5"/>
      <c r="N67" s="5"/>
      <c r="O67" s="5"/>
      <c r="P67" s="5"/>
      <c r="Q67" s="5"/>
      <c r="R67" s="5"/>
      <c r="S67" s="5"/>
      <c r="T67" s="5"/>
      <c r="U67" s="5"/>
      <c r="V67" s="5"/>
    </row>
    <row r="68" spans="1:22">
      <c r="A68" s="136" t="s">
        <v>1987</v>
      </c>
      <c r="B68" s="136"/>
      <c r="C68" s="136">
        <f>$B$41+$C$58</f>
        <v>112806000</v>
      </c>
      <c r="D68" s="136">
        <f>$C$41+$D$58</f>
        <v>213514225.59999999</v>
      </c>
      <c r="E68" s="136">
        <f>$D$41+$E$58</f>
        <v>273986747.84000003</v>
      </c>
      <c r="F68" s="136">
        <f>$E$41+$F$58</f>
        <v>275136627.51744002</v>
      </c>
      <c r="G68" s="136">
        <f>$F$41+$G$58</f>
        <v>296508794.24757767</v>
      </c>
      <c r="H68" s="136">
        <f>$G$41+$H$58</f>
        <v>309836624.08223957</v>
      </c>
      <c r="I68" s="136">
        <f>$H$41+$I$58</f>
        <v>315127878.70109147</v>
      </c>
      <c r="J68" s="136">
        <f>$I$41+$J$58</f>
        <v>325023227.12933266</v>
      </c>
      <c r="K68" s="136">
        <f>$J$41+$K$58</f>
        <v>338024156.21450603</v>
      </c>
      <c r="L68" s="136">
        <f>$K$41+$L$58</f>
        <v>351545122.46308631</v>
      </c>
      <c r="M68" s="5"/>
      <c r="N68" s="5"/>
      <c r="O68" s="5"/>
      <c r="P68" s="5"/>
      <c r="Q68" s="5"/>
      <c r="R68" s="5"/>
      <c r="S68" s="5"/>
      <c r="T68" s="5"/>
      <c r="U68" s="5"/>
      <c r="V68" s="5"/>
    </row>
    <row r="69" spans="1:22">
      <c r="A69" s="5"/>
      <c r="B69" s="5"/>
      <c r="C69" s="5"/>
      <c r="D69" s="5"/>
      <c r="E69" s="5"/>
      <c r="F69" s="5"/>
      <c r="G69" s="5"/>
      <c r="H69" s="5"/>
      <c r="I69" s="5"/>
      <c r="J69" s="5"/>
      <c r="K69" s="5"/>
      <c r="L69" s="5"/>
      <c r="M69" s="5"/>
      <c r="N69" s="5"/>
      <c r="O69" s="5"/>
      <c r="P69" s="5"/>
      <c r="Q69" s="5"/>
      <c r="R69" s="5"/>
      <c r="S69" s="5"/>
      <c r="T69" s="5"/>
      <c r="U69" s="5"/>
      <c r="V69" s="5"/>
    </row>
    <row r="70" spans="1:22">
      <c r="A70" s="5"/>
      <c r="B70" s="5"/>
      <c r="C70" s="5"/>
      <c r="D70" s="5"/>
      <c r="E70" s="5"/>
      <c r="F70" s="5"/>
      <c r="G70" s="5"/>
      <c r="H70" s="5"/>
      <c r="I70" s="5"/>
      <c r="J70" s="5"/>
      <c r="K70" s="5"/>
      <c r="L70" s="5"/>
      <c r="M70" s="5"/>
      <c r="N70" s="5"/>
      <c r="O70" s="5"/>
      <c r="P70" s="5"/>
      <c r="Q70" s="5"/>
      <c r="R70" s="5"/>
      <c r="S70" s="5"/>
      <c r="T70" s="5"/>
      <c r="U70" s="5"/>
      <c r="V70" s="5"/>
    </row>
    <row r="71" spans="1:22">
      <c r="A71" s="5"/>
      <c r="B71" s="5"/>
      <c r="C71" s="5"/>
      <c r="D71" s="5"/>
      <c r="E71" s="5"/>
      <c r="F71" s="5"/>
      <c r="G71" s="5"/>
      <c r="H71" s="5"/>
      <c r="I71" s="5"/>
      <c r="J71" s="5"/>
      <c r="K71" s="5"/>
      <c r="L71" s="5"/>
      <c r="M71" s="5"/>
      <c r="N71" s="5"/>
      <c r="O71" s="5"/>
      <c r="P71" s="5"/>
      <c r="Q71" s="5"/>
      <c r="R71" s="5"/>
      <c r="S71" s="5"/>
      <c r="T71" s="5"/>
      <c r="U71" s="5"/>
      <c r="V71" s="5"/>
    </row>
    <row r="72" spans="1:22">
      <c r="A72" s="5"/>
      <c r="B72" s="5"/>
      <c r="C72" s="5"/>
      <c r="D72" s="5"/>
      <c r="E72" s="5"/>
      <c r="F72" s="5"/>
      <c r="G72" s="5"/>
      <c r="H72" s="5"/>
      <c r="I72" s="5"/>
      <c r="J72" s="5"/>
      <c r="K72" s="5"/>
      <c r="L72" s="5"/>
      <c r="M72" s="5"/>
      <c r="N72" s="5"/>
      <c r="O72" s="5"/>
      <c r="P72" s="5"/>
      <c r="Q72" s="5"/>
      <c r="R72" s="5"/>
      <c r="S72" s="5"/>
      <c r="T72" s="5"/>
      <c r="U72" s="5"/>
      <c r="V72" s="5"/>
    </row>
    <row r="73" spans="1:22">
      <c r="A73" s="5"/>
      <c r="B73" s="5"/>
      <c r="C73" s="5"/>
      <c r="D73" s="5"/>
      <c r="E73" s="5"/>
      <c r="F73" s="5"/>
      <c r="G73" s="5"/>
      <c r="H73" s="5"/>
      <c r="I73" s="5"/>
      <c r="J73" s="5"/>
      <c r="K73" s="5"/>
      <c r="L73" s="5"/>
      <c r="M73" s="5"/>
      <c r="N73" s="5"/>
      <c r="O73" s="5"/>
      <c r="P73" s="5"/>
      <c r="Q73" s="5"/>
      <c r="R73" s="5"/>
      <c r="S73" s="5"/>
      <c r="T73" s="5"/>
      <c r="U73" s="5"/>
      <c r="V73" s="5"/>
    </row>
    <row r="74" spans="1:22">
      <c r="A74" s="5"/>
      <c r="B74" s="5"/>
      <c r="C74" s="5"/>
      <c r="D74" s="5"/>
      <c r="E74" s="5"/>
      <c r="F74" s="5"/>
      <c r="G74" s="5"/>
      <c r="H74" s="5"/>
      <c r="I74" s="5"/>
      <c r="J74" s="5"/>
      <c r="K74" s="5"/>
      <c r="L74" s="5"/>
      <c r="M74" s="5"/>
      <c r="N74" s="5"/>
      <c r="O74" s="5"/>
      <c r="P74" s="5"/>
      <c r="Q74" s="5"/>
      <c r="R74" s="5"/>
      <c r="S74" s="5"/>
      <c r="T74" s="5"/>
      <c r="U74" s="5"/>
      <c r="V74" s="5"/>
    </row>
    <row r="75" spans="1:22">
      <c r="A75" s="5"/>
      <c r="B75" s="5"/>
      <c r="C75" s="5"/>
      <c r="D75" s="5"/>
      <c r="E75" s="5"/>
      <c r="F75" s="5"/>
      <c r="G75" s="5"/>
      <c r="H75" s="5"/>
      <c r="I75" s="5"/>
      <c r="J75" s="5"/>
      <c r="K75" s="5"/>
      <c r="L75" s="5"/>
      <c r="M75" s="5"/>
      <c r="N75" s="5"/>
      <c r="O75" s="5"/>
      <c r="P75" s="5"/>
      <c r="Q75" s="5"/>
      <c r="R75" s="5"/>
      <c r="S75" s="5"/>
      <c r="T75" s="5"/>
      <c r="U75" s="5"/>
      <c r="V75" s="5"/>
    </row>
    <row r="76" spans="1:22">
      <c r="A76" s="5"/>
      <c r="B76" s="5"/>
      <c r="C76" s="5"/>
      <c r="D76" s="5"/>
      <c r="E76" s="5"/>
      <c r="F76" s="5"/>
      <c r="G76" s="5"/>
      <c r="H76" s="5"/>
      <c r="I76" s="5"/>
      <c r="J76" s="5"/>
      <c r="K76" s="5"/>
      <c r="L76" s="5"/>
      <c r="M76" s="5"/>
      <c r="N76" s="5"/>
      <c r="O76" s="5"/>
      <c r="P76" s="5"/>
      <c r="Q76" s="5"/>
      <c r="R76" s="5"/>
      <c r="S76" s="5"/>
      <c r="T76" s="5"/>
      <c r="U76" s="5"/>
      <c r="V76" s="5"/>
    </row>
    <row r="77" spans="1:22">
      <c r="A77" s="5"/>
      <c r="B77" s="5"/>
      <c r="C77" s="5"/>
      <c r="D77" s="5"/>
      <c r="E77" s="5"/>
      <c r="F77" s="5"/>
      <c r="G77" s="5"/>
      <c r="H77" s="5"/>
      <c r="I77" s="5"/>
      <c r="J77" s="5"/>
      <c r="K77" s="5"/>
      <c r="L77" s="5"/>
      <c r="M77" s="5"/>
      <c r="N77" s="5"/>
      <c r="O77" s="5"/>
      <c r="P77" s="5"/>
      <c r="Q77" s="5"/>
      <c r="R77" s="5"/>
      <c r="S77" s="5"/>
      <c r="T77" s="5"/>
      <c r="U77" s="5"/>
      <c r="V77" s="5"/>
    </row>
    <row r="78" spans="1:22">
      <c r="A78" s="5"/>
      <c r="B78" s="5"/>
      <c r="C78" s="5"/>
      <c r="D78" s="5"/>
      <c r="E78" s="5"/>
      <c r="F78" s="5"/>
      <c r="G78" s="5"/>
      <c r="H78" s="5"/>
      <c r="I78" s="5"/>
      <c r="J78" s="5"/>
      <c r="K78" s="5"/>
      <c r="L78" s="5"/>
      <c r="M78" s="5"/>
      <c r="N78" s="5"/>
      <c r="O78" s="5"/>
      <c r="P78" s="5"/>
      <c r="Q78" s="5"/>
      <c r="R78" s="5"/>
      <c r="S78" s="5"/>
      <c r="T78" s="5"/>
      <c r="U78" s="5"/>
      <c r="V78" s="5"/>
    </row>
    <row r="79" spans="1:22">
      <c r="A79" s="5"/>
      <c r="B79" s="5"/>
      <c r="C79" s="5"/>
      <c r="D79" s="5"/>
      <c r="E79" s="5"/>
      <c r="F79" s="5"/>
      <c r="G79" s="5"/>
      <c r="H79" s="5"/>
      <c r="I79" s="5"/>
      <c r="J79" s="5"/>
      <c r="K79" s="5"/>
      <c r="L79" s="5"/>
      <c r="M79" s="5"/>
      <c r="N79" s="5"/>
      <c r="O79" s="5"/>
      <c r="P79" s="5"/>
      <c r="Q79" s="5"/>
      <c r="R79" s="5"/>
      <c r="S79" s="5"/>
      <c r="T79" s="5"/>
      <c r="U79" s="5"/>
      <c r="V79" s="5"/>
    </row>
    <row r="80" spans="1:22">
      <c r="A80" s="5"/>
      <c r="B80" s="5"/>
      <c r="C80" s="5"/>
      <c r="D80" s="5"/>
      <c r="E80" s="5"/>
      <c r="F80" s="5"/>
      <c r="G80" s="5"/>
      <c r="H80" s="5"/>
      <c r="I80" s="5"/>
      <c r="J80" s="5"/>
      <c r="K80" s="5"/>
      <c r="L80" s="5"/>
      <c r="M80" s="5"/>
      <c r="N80" s="5"/>
      <c r="O80" s="5"/>
      <c r="P80" s="5"/>
      <c r="Q80" s="5"/>
      <c r="R80" s="5"/>
      <c r="S80" s="5"/>
      <c r="T80" s="5"/>
      <c r="U80" s="5"/>
      <c r="V80" s="5"/>
    </row>
    <row r="81" spans="1:22">
      <c r="A81" s="5"/>
      <c r="B81" s="5"/>
      <c r="C81" s="5"/>
      <c r="D81" s="5"/>
      <c r="E81" s="5"/>
      <c r="F81" s="5"/>
      <c r="G81" s="5"/>
      <c r="H81" s="5"/>
      <c r="I81" s="5"/>
      <c r="J81" s="5"/>
      <c r="K81" s="5"/>
      <c r="L81" s="5"/>
      <c r="M81" s="5"/>
      <c r="N81" s="5"/>
      <c r="O81" s="5"/>
      <c r="P81" s="5"/>
      <c r="Q81" s="5"/>
      <c r="R81" s="5"/>
      <c r="S81" s="5"/>
      <c r="T81" s="5"/>
      <c r="U81" s="5"/>
      <c r="V81" s="5"/>
    </row>
    <row r="82" spans="1:22">
      <c r="A82" s="5"/>
      <c r="B82" s="5"/>
      <c r="C82" s="5"/>
      <c r="D82" s="5"/>
      <c r="E82" s="5"/>
      <c r="F82" s="5"/>
      <c r="G82" s="5"/>
      <c r="H82" s="5"/>
      <c r="I82" s="5"/>
      <c r="J82" s="5"/>
      <c r="K82" s="5"/>
      <c r="L82" s="5"/>
      <c r="M82" s="5"/>
      <c r="N82" s="5"/>
      <c r="O82" s="5"/>
      <c r="P82" s="5"/>
      <c r="Q82" s="5"/>
      <c r="R82" s="5"/>
      <c r="S82" s="5"/>
      <c r="T82" s="5"/>
      <c r="U82" s="5"/>
      <c r="V82" s="5"/>
    </row>
    <row r="83" spans="1:22">
      <c r="A83" s="5"/>
      <c r="B83" s="5"/>
      <c r="C83" s="5"/>
      <c r="D83" s="5"/>
      <c r="E83" s="5"/>
      <c r="F83" s="5"/>
      <c r="G83" s="5"/>
      <c r="H83" s="5"/>
      <c r="I83" s="5"/>
      <c r="J83" s="5"/>
      <c r="K83" s="5"/>
      <c r="L83" s="5"/>
      <c r="M83" s="5"/>
      <c r="N83" s="5"/>
      <c r="O83" s="5"/>
      <c r="P83" s="5"/>
      <c r="Q83" s="5"/>
      <c r="R83" s="5"/>
      <c r="S83" s="5"/>
      <c r="T83" s="5"/>
      <c r="U83" s="5"/>
      <c r="V83" s="5"/>
    </row>
    <row r="84" spans="1:22">
      <c r="A84" s="5"/>
      <c r="B84" s="5"/>
      <c r="C84" s="5"/>
      <c r="D84" s="5"/>
      <c r="E84" s="5"/>
      <c r="F84" s="5"/>
      <c r="G84" s="5"/>
      <c r="H84" s="5"/>
      <c r="I84" s="5"/>
      <c r="J84" s="5"/>
      <c r="K84" s="5"/>
      <c r="L84" s="5"/>
      <c r="M84" s="5"/>
      <c r="N84" s="5"/>
      <c r="O84" s="5"/>
      <c r="P84" s="5"/>
      <c r="Q84" s="5"/>
      <c r="R84" s="5"/>
      <c r="S84" s="5"/>
      <c r="T84" s="5"/>
      <c r="U84" s="5"/>
      <c r="V84" s="5"/>
    </row>
    <row r="85" spans="1:22">
      <c r="A85" s="5"/>
      <c r="B85" s="5"/>
      <c r="C85" s="5"/>
      <c r="D85" s="5"/>
      <c r="E85" s="5"/>
      <c r="F85" s="5"/>
      <c r="G85" s="5"/>
      <c r="H85" s="5"/>
      <c r="I85" s="5"/>
      <c r="J85" s="5"/>
      <c r="K85" s="5"/>
      <c r="L85" s="5"/>
      <c r="M85" s="5"/>
      <c r="N85" s="5"/>
      <c r="O85" s="5"/>
      <c r="P85" s="5"/>
      <c r="Q85" s="5"/>
      <c r="R85" s="5"/>
      <c r="S85" s="5"/>
      <c r="T85" s="5"/>
      <c r="U85" s="5"/>
      <c r="V85" s="5"/>
    </row>
    <row r="86" spans="1:22">
      <c r="A86" s="5"/>
      <c r="B86" s="5"/>
      <c r="C86" s="5"/>
      <c r="D86" s="5"/>
      <c r="E86" s="5"/>
      <c r="F86" s="5"/>
      <c r="G86" s="5"/>
      <c r="H86" s="5"/>
      <c r="I86" s="5"/>
      <c r="J86" s="5"/>
      <c r="K86" s="5"/>
      <c r="L86" s="5"/>
      <c r="M86" s="5"/>
      <c r="N86" s="5"/>
      <c r="O86" s="5"/>
      <c r="P86" s="5"/>
      <c r="Q86" s="5"/>
      <c r="R86" s="5"/>
      <c r="S86" s="5"/>
      <c r="T86" s="5"/>
      <c r="U86" s="5"/>
      <c r="V86" s="5"/>
    </row>
    <row r="87" spans="1:22">
      <c r="A87" s="5"/>
      <c r="B87" s="5"/>
      <c r="C87" s="5"/>
      <c r="D87" s="5"/>
      <c r="E87" s="5"/>
      <c r="F87" s="5"/>
      <c r="G87" s="5"/>
      <c r="H87" s="5"/>
      <c r="I87" s="5"/>
      <c r="J87" s="5"/>
      <c r="K87" s="5"/>
      <c r="L87" s="5"/>
      <c r="M87" s="5"/>
      <c r="N87" s="5"/>
      <c r="O87" s="5"/>
      <c r="P87" s="5"/>
      <c r="Q87" s="5"/>
      <c r="R87" s="5"/>
      <c r="S87" s="5"/>
      <c r="T87" s="5"/>
      <c r="U87" s="5"/>
      <c r="V87" s="5"/>
    </row>
    <row r="88" spans="1:22">
      <c r="A88" s="5"/>
      <c r="B88" s="5"/>
      <c r="C88" s="5"/>
      <c r="D88" s="5"/>
      <c r="E88" s="5"/>
      <c r="F88" s="5"/>
      <c r="G88" s="5"/>
      <c r="H88" s="5"/>
      <c r="I88" s="5"/>
      <c r="J88" s="5"/>
      <c r="K88" s="5"/>
      <c r="L88" s="5"/>
      <c r="M88" s="5"/>
      <c r="N88" s="5"/>
      <c r="O88" s="5"/>
      <c r="P88" s="5"/>
      <c r="Q88" s="5"/>
      <c r="R88" s="5"/>
      <c r="S88" s="5"/>
      <c r="T88" s="5"/>
      <c r="U88" s="5"/>
      <c r="V88" s="5"/>
    </row>
    <row r="89" spans="1:22">
      <c r="A89" s="5"/>
      <c r="B89" s="5"/>
      <c r="C89" s="5"/>
      <c r="D89" s="5"/>
      <c r="E89" s="5"/>
      <c r="F89" s="5"/>
      <c r="G89" s="5"/>
      <c r="H89" s="5"/>
      <c r="I89" s="5"/>
      <c r="J89" s="5"/>
      <c r="K89" s="5"/>
      <c r="L89" s="5"/>
      <c r="M89" s="5"/>
      <c r="N89" s="5"/>
      <c r="O89" s="5"/>
      <c r="P89" s="5"/>
      <c r="Q89" s="5"/>
      <c r="R89" s="5"/>
      <c r="S89" s="5"/>
      <c r="T89" s="5"/>
      <c r="U89" s="5"/>
      <c r="V89" s="5"/>
    </row>
    <row r="90" spans="1:22">
      <c r="A90" s="5"/>
      <c r="B90" s="5"/>
      <c r="C90" s="5"/>
      <c r="D90" s="5"/>
      <c r="E90" s="5"/>
      <c r="F90" s="5"/>
      <c r="G90" s="5"/>
      <c r="H90" s="5"/>
      <c r="I90" s="5"/>
      <c r="J90" s="5"/>
      <c r="K90" s="5"/>
      <c r="L90" s="5"/>
      <c r="M90" s="5"/>
      <c r="N90" s="5"/>
      <c r="O90" s="5"/>
      <c r="P90" s="5"/>
      <c r="Q90" s="5"/>
      <c r="R90" s="5"/>
      <c r="S90" s="5"/>
      <c r="T90" s="5"/>
      <c r="U90" s="5"/>
      <c r="V90" s="5"/>
    </row>
  </sheetData>
  <mergeCells count="10">
    <mergeCell ref="A22:H22"/>
    <mergeCell ref="A44:L44"/>
    <mergeCell ref="N45:V58"/>
    <mergeCell ref="A61:L61"/>
    <mergeCell ref="A1:V1"/>
    <mergeCell ref="A2:V2"/>
    <mergeCell ref="A4:V4"/>
    <mergeCell ref="A11:H11"/>
    <mergeCell ref="A19:G19"/>
    <mergeCell ref="J12:V18"/>
  </mergeCells>
  <dataValidations count="2">
    <dataValidation type="list" sqref="A6:A8 A24:A30 A13:A18" xr:uid="{00000000-0002-0000-1300-000000000000}">
      <formula1>"0,1"</formula1>
    </dataValidation>
    <dataValidation type="list" sqref="P6:P8" xr:uid="{00000000-0002-0000-1300-000001000000}">
      <formula1>"Beli,Sewa"</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95"/>
  <sheetViews>
    <sheetView showGridLines="0" workbookViewId="0">
      <selection sqref="A1:V1"/>
    </sheetView>
  </sheetViews>
  <sheetFormatPr defaultRowHeight="13.5"/>
  <cols>
    <col min="1" max="1" width="18" customWidth="1"/>
    <col min="2" max="2" width="36" customWidth="1"/>
    <col min="3" max="3" width="16" customWidth="1"/>
    <col min="4" max="4" width="15" customWidth="1"/>
    <col min="5" max="6" width="13" customWidth="1"/>
    <col min="7" max="7" width="48" customWidth="1"/>
    <col min="8" max="8" width="33" customWidth="1"/>
    <col min="9" max="9" width="4" customWidth="1"/>
    <col min="10" max="22" width="13" customWidth="1"/>
  </cols>
  <sheetData>
    <row r="1" spans="1:22" ht="28.05" customHeight="1">
      <c r="A1" s="290" t="s">
        <v>1988</v>
      </c>
      <c r="B1" s="290"/>
      <c r="C1" s="290"/>
      <c r="D1" s="290"/>
      <c r="E1" s="290"/>
      <c r="F1" s="290"/>
      <c r="G1" s="290"/>
      <c r="H1" s="290"/>
      <c r="I1" s="290"/>
      <c r="J1" s="290"/>
      <c r="K1" s="290"/>
      <c r="L1" s="290"/>
      <c r="M1" s="290"/>
      <c r="N1" s="290"/>
      <c r="O1" s="290"/>
      <c r="P1" s="290"/>
      <c r="Q1" s="290"/>
      <c r="R1" s="290"/>
      <c r="S1" s="290"/>
      <c r="T1" s="290"/>
      <c r="U1" s="290"/>
      <c r="V1" s="290"/>
    </row>
    <row r="2" spans="1:22" ht="38" customHeight="1">
      <c r="A2" s="291" t="s">
        <v>1989</v>
      </c>
      <c r="B2" s="291"/>
      <c r="C2" s="291"/>
      <c r="D2" s="291"/>
      <c r="E2" s="291"/>
      <c r="F2" s="291"/>
      <c r="G2" s="291"/>
      <c r="H2" s="291"/>
      <c r="I2" s="291"/>
      <c r="J2" s="291"/>
      <c r="K2" s="291"/>
      <c r="L2" s="291"/>
      <c r="M2" s="291"/>
      <c r="N2" s="291"/>
      <c r="O2" s="291"/>
      <c r="P2" s="291"/>
      <c r="Q2" s="291"/>
      <c r="R2" s="291"/>
      <c r="S2" s="291"/>
      <c r="T2" s="291"/>
      <c r="U2" s="291"/>
      <c r="V2" s="291"/>
    </row>
    <row r="3" spans="1:22">
      <c r="A3" s="5"/>
      <c r="B3" s="5"/>
      <c r="C3" s="5"/>
      <c r="D3" s="5"/>
      <c r="E3" s="5"/>
      <c r="F3" s="5"/>
      <c r="G3" s="5"/>
      <c r="H3" s="5"/>
      <c r="I3" s="5"/>
      <c r="J3" s="5"/>
      <c r="K3" s="5"/>
      <c r="L3" s="5"/>
      <c r="M3" s="5"/>
      <c r="N3" s="5"/>
      <c r="O3" s="5"/>
      <c r="P3" s="5"/>
      <c r="Q3" s="5"/>
      <c r="R3" s="5"/>
      <c r="S3" s="5"/>
      <c r="T3" s="5"/>
      <c r="U3" s="5"/>
      <c r="V3" s="5"/>
    </row>
    <row r="4" spans="1:22" ht="20" customHeight="1">
      <c r="A4" s="249" t="s">
        <v>1990</v>
      </c>
      <c r="B4" s="249"/>
      <c r="C4" s="249"/>
      <c r="D4" s="249"/>
      <c r="E4" s="249"/>
      <c r="F4" s="249"/>
      <c r="G4" s="249"/>
      <c r="H4" s="249"/>
      <c r="I4" s="5"/>
      <c r="J4" s="5"/>
      <c r="K4" s="5"/>
      <c r="L4" s="5"/>
      <c r="M4" s="5"/>
      <c r="N4" s="5"/>
      <c r="O4" s="5"/>
      <c r="P4" s="5"/>
      <c r="Q4" s="5"/>
      <c r="R4" s="5"/>
      <c r="S4" s="5"/>
      <c r="T4" s="5"/>
      <c r="U4" s="5"/>
      <c r="V4" s="5"/>
    </row>
    <row r="5" spans="1:22" ht="32" customHeight="1">
      <c r="A5" s="130" t="s">
        <v>473</v>
      </c>
      <c r="B5" s="131" t="s">
        <v>1103</v>
      </c>
      <c r="C5" s="131" t="s">
        <v>136</v>
      </c>
      <c r="D5" s="131" t="s">
        <v>242</v>
      </c>
      <c r="E5" s="131" t="s">
        <v>1936</v>
      </c>
      <c r="F5" s="131" t="s">
        <v>1937</v>
      </c>
      <c r="G5" s="131" t="s">
        <v>140</v>
      </c>
      <c r="H5" s="132" t="s">
        <v>1991</v>
      </c>
      <c r="I5" s="5"/>
      <c r="J5" s="293" t="s">
        <v>1992</v>
      </c>
      <c r="K5" s="293"/>
      <c r="L5" s="293"/>
      <c r="M5" s="293"/>
      <c r="N5" s="293"/>
      <c r="O5" s="293"/>
      <c r="P5" s="293"/>
      <c r="Q5" s="293"/>
      <c r="R5" s="293"/>
      <c r="S5" s="293"/>
      <c r="T5" s="293"/>
      <c r="U5" s="293"/>
      <c r="V5" s="293"/>
    </row>
    <row r="6" spans="1:22">
      <c r="A6" s="133">
        <v>1</v>
      </c>
      <c r="B6" s="133" t="s">
        <v>1993</v>
      </c>
      <c r="C6" s="138">
        <v>0.2</v>
      </c>
      <c r="D6" s="5" t="s">
        <v>148</v>
      </c>
      <c r="E6" s="5" t="s">
        <v>144</v>
      </c>
      <c r="F6" s="5" t="s">
        <v>200</v>
      </c>
      <c r="G6" s="5" t="s">
        <v>1994</v>
      </c>
      <c r="H6" s="5" t="s">
        <v>1995</v>
      </c>
      <c r="I6" s="5"/>
      <c r="J6" s="293"/>
      <c r="K6" s="293"/>
      <c r="L6" s="293"/>
      <c r="M6" s="293"/>
      <c r="N6" s="293"/>
      <c r="O6" s="293"/>
      <c r="P6" s="293"/>
      <c r="Q6" s="293"/>
      <c r="R6" s="293"/>
      <c r="S6" s="293"/>
      <c r="T6" s="293"/>
      <c r="U6" s="293"/>
      <c r="V6" s="293"/>
    </row>
    <row r="7" spans="1:22">
      <c r="A7" s="133">
        <v>1</v>
      </c>
      <c r="B7" s="133" t="s">
        <v>1996</v>
      </c>
      <c r="C7" s="138">
        <v>0.35</v>
      </c>
      <c r="D7" s="5" t="s">
        <v>1997</v>
      </c>
      <c r="E7" s="5" t="s">
        <v>149</v>
      </c>
      <c r="F7" s="5" t="s">
        <v>228</v>
      </c>
      <c r="G7" s="5" t="s">
        <v>1998</v>
      </c>
      <c r="H7" s="5" t="s">
        <v>1999</v>
      </c>
      <c r="I7" s="5"/>
      <c r="J7" s="293"/>
      <c r="K7" s="293"/>
      <c r="L7" s="293"/>
      <c r="M7" s="293"/>
      <c r="N7" s="293"/>
      <c r="O7" s="293"/>
      <c r="P7" s="293"/>
      <c r="Q7" s="293"/>
      <c r="R7" s="293"/>
      <c r="S7" s="293"/>
      <c r="T7" s="293"/>
      <c r="U7" s="293"/>
      <c r="V7" s="293"/>
    </row>
    <row r="8" spans="1:22">
      <c r="A8" s="133">
        <v>1</v>
      </c>
      <c r="B8" s="133" t="s">
        <v>2000</v>
      </c>
      <c r="C8" s="140">
        <v>1.44</v>
      </c>
      <c r="D8" s="5" t="s">
        <v>2001</v>
      </c>
      <c r="E8" s="5" t="s">
        <v>2002</v>
      </c>
      <c r="F8" s="5" t="s">
        <v>208</v>
      </c>
      <c r="G8" s="5" t="s">
        <v>2003</v>
      </c>
      <c r="H8" s="5" t="s">
        <v>2004</v>
      </c>
      <c r="I8" s="5"/>
      <c r="J8" s="293"/>
      <c r="K8" s="293"/>
      <c r="L8" s="293"/>
      <c r="M8" s="293"/>
      <c r="N8" s="293"/>
      <c r="O8" s="293"/>
      <c r="P8" s="293"/>
      <c r="Q8" s="293"/>
      <c r="R8" s="293"/>
      <c r="S8" s="293"/>
      <c r="T8" s="293"/>
      <c r="U8" s="293"/>
      <c r="V8" s="293"/>
    </row>
    <row r="9" spans="1:22">
      <c r="A9" s="133">
        <v>1</v>
      </c>
      <c r="B9" s="133" t="s">
        <v>2005</v>
      </c>
      <c r="C9" s="134">
        <v>10000</v>
      </c>
      <c r="D9" s="5" t="s">
        <v>265</v>
      </c>
      <c r="E9" s="5" t="s">
        <v>2006</v>
      </c>
      <c r="F9" s="5" t="s">
        <v>228</v>
      </c>
      <c r="G9" s="5" t="s">
        <v>2007</v>
      </c>
      <c r="H9" s="5" t="s">
        <v>2008</v>
      </c>
      <c r="I9" s="5"/>
      <c r="J9" s="293"/>
      <c r="K9" s="293"/>
      <c r="L9" s="293"/>
      <c r="M9" s="293"/>
      <c r="N9" s="293"/>
      <c r="O9" s="293"/>
      <c r="P9" s="293"/>
      <c r="Q9" s="293"/>
      <c r="R9" s="293"/>
      <c r="S9" s="293"/>
      <c r="T9" s="293"/>
      <c r="U9" s="293"/>
      <c r="V9" s="293"/>
    </row>
    <row r="10" spans="1:22">
      <c r="A10" s="133">
        <v>1</v>
      </c>
      <c r="B10" s="133" t="s">
        <v>2009</v>
      </c>
      <c r="C10" s="134">
        <v>12000000</v>
      </c>
      <c r="D10" s="5" t="s">
        <v>2010</v>
      </c>
      <c r="E10" s="5" t="s">
        <v>2011</v>
      </c>
      <c r="F10" s="5" t="s">
        <v>208</v>
      </c>
      <c r="G10" s="5" t="s">
        <v>2012</v>
      </c>
      <c r="H10" s="5" t="s">
        <v>2013</v>
      </c>
      <c r="I10" s="5"/>
      <c r="J10" s="293"/>
      <c r="K10" s="293"/>
      <c r="L10" s="293"/>
      <c r="M10" s="293"/>
      <c r="N10" s="293"/>
      <c r="O10" s="293"/>
      <c r="P10" s="293"/>
      <c r="Q10" s="293"/>
      <c r="R10" s="293"/>
      <c r="S10" s="293"/>
      <c r="T10" s="293"/>
      <c r="U10" s="293"/>
      <c r="V10" s="293"/>
    </row>
    <row r="11" spans="1:22">
      <c r="A11" s="133">
        <v>1</v>
      </c>
      <c r="B11" s="133" t="s">
        <v>2014</v>
      </c>
      <c r="C11" s="134">
        <v>35000000</v>
      </c>
      <c r="D11" s="5" t="s">
        <v>541</v>
      </c>
      <c r="E11" s="5" t="s">
        <v>2015</v>
      </c>
      <c r="F11" s="5" t="s">
        <v>228</v>
      </c>
      <c r="G11" s="5" t="s">
        <v>2016</v>
      </c>
      <c r="H11" s="5" t="s">
        <v>2017</v>
      </c>
      <c r="I11" s="5"/>
      <c r="J11" s="293"/>
      <c r="K11" s="293"/>
      <c r="L11" s="293"/>
      <c r="M11" s="293"/>
      <c r="N11" s="293"/>
      <c r="O11" s="293"/>
      <c r="P11" s="293"/>
      <c r="Q11" s="293"/>
      <c r="R11" s="293"/>
      <c r="S11" s="293"/>
      <c r="T11" s="293"/>
      <c r="U11" s="293"/>
      <c r="V11" s="293"/>
    </row>
    <row r="12" spans="1:22">
      <c r="A12" s="133">
        <v>1</v>
      </c>
      <c r="B12" s="133" t="s">
        <v>2018</v>
      </c>
      <c r="C12" s="138">
        <v>0.5</v>
      </c>
      <c r="D12" s="5" t="s">
        <v>193</v>
      </c>
      <c r="E12" s="5" t="s">
        <v>2019</v>
      </c>
      <c r="F12" s="5" t="s">
        <v>228</v>
      </c>
      <c r="G12" s="5" t="s">
        <v>2020</v>
      </c>
      <c r="H12" s="5" t="s">
        <v>2021</v>
      </c>
      <c r="I12" s="5"/>
      <c r="J12" s="293"/>
      <c r="K12" s="293"/>
      <c r="L12" s="293"/>
      <c r="M12" s="293"/>
      <c r="N12" s="293"/>
      <c r="O12" s="293"/>
      <c r="P12" s="293"/>
      <c r="Q12" s="293"/>
      <c r="R12" s="293"/>
      <c r="S12" s="293"/>
      <c r="T12" s="293"/>
      <c r="U12" s="293"/>
      <c r="V12" s="293"/>
    </row>
    <row r="13" spans="1:22">
      <c r="A13" s="133">
        <v>1</v>
      </c>
      <c r="B13" s="133" t="s">
        <v>2022</v>
      </c>
      <c r="C13" s="138">
        <v>0.1</v>
      </c>
      <c r="D13" s="5" t="s">
        <v>2023</v>
      </c>
      <c r="E13" s="5" t="s">
        <v>149</v>
      </c>
      <c r="F13" s="5" t="s">
        <v>208</v>
      </c>
      <c r="G13" s="5" t="s">
        <v>2024</v>
      </c>
      <c r="H13" s="5" t="s">
        <v>2025</v>
      </c>
      <c r="I13" s="5"/>
      <c r="J13" s="293"/>
      <c r="K13" s="293"/>
      <c r="L13" s="293"/>
      <c r="M13" s="293"/>
      <c r="N13" s="293"/>
      <c r="O13" s="293"/>
      <c r="P13" s="293"/>
      <c r="Q13" s="293"/>
      <c r="R13" s="293"/>
      <c r="S13" s="293"/>
      <c r="T13" s="293"/>
      <c r="U13" s="293"/>
      <c r="V13" s="293"/>
    </row>
    <row r="14" spans="1:22">
      <c r="A14" s="133">
        <v>0</v>
      </c>
      <c r="B14" s="133" t="s">
        <v>2026</v>
      </c>
      <c r="C14" s="134">
        <v>0</v>
      </c>
      <c r="D14" s="5" t="s">
        <v>1139</v>
      </c>
      <c r="E14" s="5" t="s">
        <v>2027</v>
      </c>
      <c r="F14" s="5" t="s">
        <v>228</v>
      </c>
      <c r="G14" s="5" t="s">
        <v>2028</v>
      </c>
      <c r="H14" s="5" t="s">
        <v>2029</v>
      </c>
      <c r="I14" s="5"/>
      <c r="J14" s="293"/>
      <c r="K14" s="293"/>
      <c r="L14" s="293"/>
      <c r="M14" s="293"/>
      <c r="N14" s="293"/>
      <c r="O14" s="293"/>
      <c r="P14" s="293"/>
      <c r="Q14" s="293"/>
      <c r="R14" s="293"/>
      <c r="S14" s="293"/>
      <c r="T14" s="293"/>
      <c r="U14" s="293"/>
      <c r="V14" s="293"/>
    </row>
    <row r="15" spans="1:22">
      <c r="A15" s="133">
        <v>0</v>
      </c>
      <c r="B15" s="133" t="s">
        <v>2030</v>
      </c>
      <c r="C15" s="138">
        <v>0</v>
      </c>
      <c r="D15" s="5" t="s">
        <v>2031</v>
      </c>
      <c r="E15" s="5" t="s">
        <v>144</v>
      </c>
      <c r="F15" s="5" t="s">
        <v>228</v>
      </c>
      <c r="G15" s="5" t="s">
        <v>2032</v>
      </c>
      <c r="H15" s="5" t="s">
        <v>2033</v>
      </c>
      <c r="I15" s="5"/>
      <c r="J15" s="293"/>
      <c r="K15" s="293"/>
      <c r="L15" s="293"/>
      <c r="M15" s="293"/>
      <c r="N15" s="293"/>
      <c r="O15" s="293"/>
      <c r="P15" s="293"/>
      <c r="Q15" s="293"/>
      <c r="R15" s="293"/>
      <c r="S15" s="293"/>
      <c r="T15" s="293"/>
      <c r="U15" s="293"/>
      <c r="V15" s="293"/>
    </row>
    <row r="16" spans="1:22">
      <c r="A16" s="5"/>
      <c r="B16" s="5"/>
      <c r="C16" s="5"/>
      <c r="D16" s="5"/>
      <c r="E16" s="5"/>
      <c r="F16" s="5"/>
      <c r="G16" s="5"/>
      <c r="H16" s="5"/>
      <c r="I16" s="5"/>
      <c r="J16" s="5"/>
      <c r="K16" s="5"/>
      <c r="L16" s="5"/>
      <c r="M16" s="5"/>
      <c r="N16" s="5"/>
      <c r="O16" s="5"/>
      <c r="P16" s="5"/>
      <c r="Q16" s="5"/>
      <c r="R16" s="5"/>
      <c r="S16" s="5"/>
      <c r="T16" s="5"/>
      <c r="U16" s="5"/>
      <c r="V16" s="5"/>
    </row>
    <row r="17" spans="1:22">
      <c r="A17" s="5"/>
      <c r="B17" s="5"/>
      <c r="C17" s="5"/>
      <c r="D17" s="5"/>
      <c r="E17" s="5"/>
      <c r="F17" s="5"/>
      <c r="G17" s="5"/>
      <c r="H17" s="5"/>
      <c r="I17" s="5"/>
      <c r="J17" s="5"/>
      <c r="K17" s="5"/>
      <c r="L17" s="5"/>
      <c r="M17" s="5"/>
      <c r="N17" s="5"/>
      <c r="O17" s="5"/>
      <c r="P17" s="5"/>
      <c r="Q17" s="5"/>
      <c r="R17" s="5"/>
      <c r="S17" s="5"/>
      <c r="T17" s="5"/>
      <c r="U17" s="5"/>
      <c r="V17" s="5"/>
    </row>
    <row r="18" spans="1:22" ht="20" customHeight="1">
      <c r="A18" s="249" t="s">
        <v>2034</v>
      </c>
      <c r="B18" s="249"/>
      <c r="C18" s="249"/>
      <c r="D18" s="249"/>
      <c r="E18" s="249"/>
      <c r="F18" s="249"/>
      <c r="G18" s="249"/>
      <c r="H18" s="249"/>
      <c r="I18" s="5"/>
      <c r="J18" s="5"/>
      <c r="K18" s="5"/>
      <c r="L18" s="5"/>
      <c r="M18" s="5"/>
      <c r="N18" s="5"/>
      <c r="O18" s="5"/>
      <c r="P18" s="5"/>
      <c r="Q18" s="5"/>
      <c r="R18" s="5"/>
      <c r="S18" s="5"/>
      <c r="T18" s="5"/>
      <c r="U18" s="5"/>
      <c r="V18" s="5"/>
    </row>
    <row r="19" spans="1:22" ht="32" customHeight="1">
      <c r="A19" s="130" t="s">
        <v>473</v>
      </c>
      <c r="B19" s="131" t="s">
        <v>1103</v>
      </c>
      <c r="C19" s="131" t="s">
        <v>136</v>
      </c>
      <c r="D19" s="131" t="s">
        <v>242</v>
      </c>
      <c r="E19" s="131" t="s">
        <v>1936</v>
      </c>
      <c r="F19" s="131" t="s">
        <v>1937</v>
      </c>
      <c r="G19" s="131" t="s">
        <v>140</v>
      </c>
      <c r="H19" s="132" t="s">
        <v>2035</v>
      </c>
      <c r="I19" s="5"/>
      <c r="J19" s="5"/>
      <c r="K19" s="5"/>
      <c r="L19" s="5"/>
      <c r="M19" s="5"/>
      <c r="N19" s="5"/>
      <c r="O19" s="5"/>
      <c r="P19" s="5"/>
      <c r="Q19" s="5"/>
      <c r="R19" s="5"/>
      <c r="S19" s="5"/>
      <c r="T19" s="5"/>
      <c r="U19" s="5"/>
      <c r="V19" s="5"/>
    </row>
    <row r="20" spans="1:22">
      <c r="A20" s="133">
        <v>1</v>
      </c>
      <c r="B20" s="133" t="s">
        <v>2036</v>
      </c>
      <c r="C20" s="138">
        <v>0.6</v>
      </c>
      <c r="D20" s="5" t="s">
        <v>2037</v>
      </c>
      <c r="E20" s="5" t="s">
        <v>149</v>
      </c>
      <c r="F20" s="5" t="s">
        <v>228</v>
      </c>
      <c r="G20" s="5" t="s">
        <v>2038</v>
      </c>
      <c r="H20" s="5" t="s">
        <v>2039</v>
      </c>
      <c r="I20" s="5"/>
      <c r="J20" s="5"/>
      <c r="K20" s="5"/>
      <c r="L20" s="5"/>
      <c r="M20" s="5"/>
      <c r="N20" s="5"/>
      <c r="O20" s="5"/>
      <c r="P20" s="5"/>
      <c r="Q20" s="5"/>
      <c r="R20" s="5"/>
      <c r="S20" s="5"/>
      <c r="T20" s="5"/>
      <c r="U20" s="5"/>
      <c r="V20" s="5"/>
    </row>
    <row r="21" spans="1:22">
      <c r="A21" s="133">
        <v>1</v>
      </c>
      <c r="B21" s="133" t="s">
        <v>2040</v>
      </c>
      <c r="C21" s="140">
        <v>0.8</v>
      </c>
      <c r="D21" s="5" t="s">
        <v>2041</v>
      </c>
      <c r="E21" s="5" t="s">
        <v>2042</v>
      </c>
      <c r="F21" s="5" t="s">
        <v>228</v>
      </c>
      <c r="G21" s="5" t="s">
        <v>2043</v>
      </c>
      <c r="H21" s="5" t="s">
        <v>2044</v>
      </c>
      <c r="I21" s="5"/>
      <c r="J21" s="5"/>
      <c r="K21" s="5"/>
      <c r="L21" s="5"/>
      <c r="M21" s="5"/>
      <c r="N21" s="5"/>
      <c r="O21" s="5"/>
      <c r="P21" s="5"/>
      <c r="Q21" s="5"/>
      <c r="R21" s="5"/>
      <c r="S21" s="5"/>
      <c r="T21" s="5"/>
      <c r="U21" s="5"/>
      <c r="V21" s="5"/>
    </row>
    <row r="22" spans="1:22">
      <c r="A22" s="133">
        <v>1</v>
      </c>
      <c r="B22" s="133" t="s">
        <v>2045</v>
      </c>
      <c r="C22" s="138">
        <v>0.35</v>
      </c>
      <c r="D22" s="5" t="s">
        <v>193</v>
      </c>
      <c r="E22" s="5" t="s">
        <v>2042</v>
      </c>
      <c r="F22" s="5" t="s">
        <v>200</v>
      </c>
      <c r="G22" s="5" t="s">
        <v>2046</v>
      </c>
      <c r="H22" s="5" t="s">
        <v>2047</v>
      </c>
      <c r="I22" s="5"/>
      <c r="J22" s="5"/>
      <c r="K22" s="5"/>
      <c r="L22" s="5"/>
      <c r="M22" s="5"/>
      <c r="N22" s="5"/>
      <c r="O22" s="5"/>
      <c r="P22" s="5"/>
      <c r="Q22" s="5"/>
      <c r="R22" s="5"/>
      <c r="S22" s="5"/>
      <c r="T22" s="5"/>
      <c r="U22" s="5"/>
      <c r="V22" s="5"/>
    </row>
    <row r="23" spans="1:22">
      <c r="A23" s="133">
        <v>1</v>
      </c>
      <c r="B23" s="133" t="s">
        <v>2048</v>
      </c>
      <c r="C23" s="138">
        <v>0.12</v>
      </c>
      <c r="D23" s="5" t="s">
        <v>193</v>
      </c>
      <c r="E23" s="5" t="s">
        <v>2042</v>
      </c>
      <c r="F23" s="5" t="s">
        <v>200</v>
      </c>
      <c r="G23" s="5" t="s">
        <v>2046</v>
      </c>
      <c r="H23" s="5" t="s">
        <v>2047</v>
      </c>
      <c r="I23" s="5"/>
      <c r="J23" s="5"/>
      <c r="K23" s="5"/>
      <c r="L23" s="5"/>
      <c r="M23" s="5"/>
      <c r="N23" s="5"/>
      <c r="O23" s="5"/>
      <c r="P23" s="5"/>
      <c r="Q23" s="5"/>
      <c r="R23" s="5"/>
      <c r="S23" s="5"/>
      <c r="T23" s="5"/>
      <c r="U23" s="5"/>
      <c r="V23" s="5"/>
    </row>
    <row r="24" spans="1:22">
      <c r="A24" s="133">
        <v>1</v>
      </c>
      <c r="B24" s="133" t="s">
        <v>2049</v>
      </c>
      <c r="C24" s="138">
        <v>0.45</v>
      </c>
      <c r="D24" s="5" t="s">
        <v>2050</v>
      </c>
      <c r="E24" s="5" t="s">
        <v>2051</v>
      </c>
      <c r="F24" s="5" t="s">
        <v>208</v>
      </c>
      <c r="G24" s="5" t="s">
        <v>2052</v>
      </c>
      <c r="H24" s="5" t="s">
        <v>2053</v>
      </c>
      <c r="I24" s="5"/>
      <c r="J24" s="5"/>
      <c r="K24" s="5"/>
      <c r="L24" s="5"/>
      <c r="M24" s="5"/>
      <c r="N24" s="5"/>
      <c r="O24" s="5"/>
      <c r="P24" s="5"/>
      <c r="Q24" s="5"/>
      <c r="R24" s="5"/>
      <c r="S24" s="5"/>
      <c r="T24" s="5"/>
      <c r="U24" s="5"/>
      <c r="V24" s="5"/>
    </row>
    <row r="25" spans="1:22">
      <c r="A25" s="133">
        <v>1</v>
      </c>
      <c r="B25" s="133" t="s">
        <v>2054</v>
      </c>
      <c r="C25" s="138">
        <v>2800</v>
      </c>
      <c r="D25" s="5" t="s">
        <v>265</v>
      </c>
      <c r="E25" s="5" t="s">
        <v>2051</v>
      </c>
      <c r="F25" s="5" t="s">
        <v>208</v>
      </c>
      <c r="G25" s="5" t="s">
        <v>2055</v>
      </c>
      <c r="H25" s="5" t="s">
        <v>2056</v>
      </c>
      <c r="I25" s="5"/>
      <c r="J25" s="5"/>
      <c r="K25" s="5"/>
      <c r="L25" s="5"/>
      <c r="M25" s="5"/>
      <c r="N25" s="5"/>
      <c r="O25" s="5"/>
      <c r="P25" s="5"/>
      <c r="Q25" s="5"/>
      <c r="R25" s="5"/>
      <c r="S25" s="5"/>
      <c r="T25" s="5"/>
      <c r="U25" s="5"/>
      <c r="V25" s="5"/>
    </row>
    <row r="26" spans="1:22">
      <c r="A26" s="133">
        <v>1</v>
      </c>
      <c r="B26" s="133" t="s">
        <v>2057</v>
      </c>
      <c r="C26" s="134">
        <v>0.25</v>
      </c>
      <c r="D26" s="5" t="s">
        <v>2058</v>
      </c>
      <c r="E26" s="5" t="s">
        <v>2059</v>
      </c>
      <c r="F26" s="5" t="s">
        <v>200</v>
      </c>
      <c r="G26" s="5" t="s">
        <v>2060</v>
      </c>
      <c r="H26" s="5" t="s">
        <v>2061</v>
      </c>
      <c r="I26" s="5"/>
      <c r="J26" s="5"/>
      <c r="K26" s="5"/>
      <c r="L26" s="5"/>
      <c r="M26" s="5"/>
      <c r="N26" s="5"/>
      <c r="O26" s="5"/>
      <c r="P26" s="5"/>
      <c r="Q26" s="5"/>
      <c r="R26" s="5"/>
      <c r="S26" s="5"/>
      <c r="T26" s="5"/>
      <c r="U26" s="5"/>
      <c r="V26" s="5"/>
    </row>
    <row r="27" spans="1:22">
      <c r="A27" s="133">
        <v>1</v>
      </c>
      <c r="B27" s="133" t="s">
        <v>2062</v>
      </c>
      <c r="C27" s="134">
        <v>0.9</v>
      </c>
      <c r="D27" s="5" t="s">
        <v>2063</v>
      </c>
      <c r="E27" s="5" t="s">
        <v>149</v>
      </c>
      <c r="F27" s="5" t="s">
        <v>228</v>
      </c>
      <c r="G27" s="5" t="s">
        <v>2064</v>
      </c>
      <c r="H27" s="5" t="s">
        <v>2065</v>
      </c>
      <c r="I27" s="5"/>
      <c r="J27" s="5"/>
      <c r="K27" s="5"/>
      <c r="L27" s="5"/>
      <c r="M27" s="5"/>
      <c r="N27" s="5"/>
      <c r="O27" s="5"/>
      <c r="P27" s="5"/>
      <c r="Q27" s="5"/>
      <c r="R27" s="5"/>
      <c r="S27" s="5"/>
      <c r="T27" s="5"/>
      <c r="U27" s="5"/>
      <c r="V27" s="5"/>
    </row>
    <row r="28" spans="1:22">
      <c r="A28" s="133">
        <v>1</v>
      </c>
      <c r="B28" s="133" t="s">
        <v>2066</v>
      </c>
      <c r="C28" s="134">
        <v>12000</v>
      </c>
      <c r="D28" s="5" t="s">
        <v>265</v>
      </c>
      <c r="E28" s="5" t="s">
        <v>2006</v>
      </c>
      <c r="F28" s="5" t="s">
        <v>228</v>
      </c>
      <c r="G28" s="5" t="s">
        <v>2067</v>
      </c>
      <c r="H28" s="5" t="s">
        <v>2068</v>
      </c>
      <c r="I28" s="5"/>
      <c r="J28" s="5"/>
      <c r="K28" s="5"/>
      <c r="L28" s="5"/>
      <c r="M28" s="5"/>
      <c r="N28" s="5"/>
      <c r="O28" s="5"/>
      <c r="P28" s="5"/>
      <c r="Q28" s="5"/>
      <c r="R28" s="5"/>
      <c r="S28" s="5"/>
      <c r="T28" s="5"/>
      <c r="U28" s="5"/>
      <c r="V28" s="5"/>
    </row>
    <row r="29" spans="1:22">
      <c r="A29" s="133">
        <v>1</v>
      </c>
      <c r="B29" s="133" t="s">
        <v>2069</v>
      </c>
      <c r="C29" s="134">
        <v>0.04</v>
      </c>
      <c r="D29" s="5" t="s">
        <v>2070</v>
      </c>
      <c r="E29" s="5" t="s">
        <v>2071</v>
      </c>
      <c r="F29" s="5" t="s">
        <v>228</v>
      </c>
      <c r="G29" s="5" t="s">
        <v>2072</v>
      </c>
      <c r="H29" s="5" t="s">
        <v>2073</v>
      </c>
      <c r="I29" s="5"/>
      <c r="J29" s="5"/>
      <c r="K29" s="5"/>
      <c r="L29" s="5"/>
      <c r="M29" s="5"/>
      <c r="N29" s="5"/>
      <c r="O29" s="5"/>
      <c r="P29" s="5"/>
      <c r="Q29" s="5"/>
      <c r="R29" s="5"/>
      <c r="S29" s="5"/>
      <c r="T29" s="5"/>
      <c r="U29" s="5"/>
      <c r="V29" s="5"/>
    </row>
    <row r="30" spans="1:22">
      <c r="A30" s="133">
        <v>1</v>
      </c>
      <c r="B30" s="133" t="s">
        <v>2074</v>
      </c>
      <c r="C30" s="134">
        <v>70000</v>
      </c>
      <c r="D30" s="5" t="s">
        <v>341</v>
      </c>
      <c r="E30" s="5" t="s">
        <v>2071</v>
      </c>
      <c r="F30" s="5" t="s">
        <v>208</v>
      </c>
      <c r="G30" s="5" t="s">
        <v>2075</v>
      </c>
      <c r="H30" s="5" t="s">
        <v>2076</v>
      </c>
      <c r="I30" s="5"/>
      <c r="J30" s="5"/>
      <c r="K30" s="5"/>
      <c r="L30" s="5"/>
      <c r="M30" s="5"/>
      <c r="N30" s="5"/>
      <c r="O30" s="5"/>
      <c r="P30" s="5"/>
      <c r="Q30" s="5"/>
      <c r="R30" s="5"/>
      <c r="S30" s="5"/>
      <c r="T30" s="5"/>
      <c r="U30" s="5"/>
      <c r="V30" s="5"/>
    </row>
    <row r="31" spans="1:22">
      <c r="A31" s="133">
        <v>1</v>
      </c>
      <c r="B31" s="133" t="s">
        <v>2077</v>
      </c>
      <c r="C31" s="134">
        <v>1200</v>
      </c>
      <c r="D31" s="5" t="s">
        <v>261</v>
      </c>
      <c r="E31" s="5" t="s">
        <v>1943</v>
      </c>
      <c r="F31" s="5" t="s">
        <v>228</v>
      </c>
      <c r="G31" s="5" t="s">
        <v>2078</v>
      </c>
      <c r="H31" s="5" t="s">
        <v>2079</v>
      </c>
      <c r="I31" s="5"/>
      <c r="J31" s="5"/>
      <c r="K31" s="5"/>
      <c r="L31" s="5"/>
      <c r="M31" s="5"/>
      <c r="N31" s="5"/>
      <c r="O31" s="5"/>
      <c r="P31" s="5"/>
      <c r="Q31" s="5"/>
      <c r="R31" s="5"/>
      <c r="S31" s="5"/>
      <c r="T31" s="5"/>
      <c r="U31" s="5"/>
      <c r="V31" s="5"/>
    </row>
    <row r="32" spans="1:22">
      <c r="A32" s="133">
        <v>1</v>
      </c>
      <c r="B32" s="133" t="s">
        <v>2080</v>
      </c>
      <c r="C32" s="134">
        <v>80000000</v>
      </c>
      <c r="D32" s="5" t="s">
        <v>1950</v>
      </c>
      <c r="E32" s="5" t="s">
        <v>1943</v>
      </c>
      <c r="F32" s="5" t="s">
        <v>228</v>
      </c>
      <c r="G32" s="5" t="s">
        <v>2081</v>
      </c>
      <c r="H32" s="5" t="s">
        <v>2082</v>
      </c>
      <c r="I32" s="5"/>
      <c r="J32" s="5"/>
      <c r="K32" s="5"/>
      <c r="L32" s="5"/>
      <c r="M32" s="5"/>
      <c r="N32" s="5"/>
      <c r="O32" s="5"/>
      <c r="P32" s="5"/>
      <c r="Q32" s="5"/>
      <c r="R32" s="5"/>
      <c r="S32" s="5"/>
      <c r="T32" s="5"/>
      <c r="U32" s="5"/>
      <c r="V32" s="5"/>
    </row>
    <row r="33" spans="1:22">
      <c r="A33" s="133">
        <v>1</v>
      </c>
      <c r="B33" s="133" t="s">
        <v>2083</v>
      </c>
      <c r="C33" s="133">
        <v>0.25</v>
      </c>
      <c r="D33" s="5" t="s">
        <v>1025</v>
      </c>
      <c r="E33" s="5" t="s">
        <v>2084</v>
      </c>
      <c r="F33" s="5" t="s">
        <v>228</v>
      </c>
      <c r="G33" s="5" t="s">
        <v>2085</v>
      </c>
      <c r="H33" s="5" t="s">
        <v>2086</v>
      </c>
      <c r="I33" s="5"/>
      <c r="J33" s="5"/>
      <c r="K33" s="5"/>
      <c r="L33" s="5"/>
      <c r="M33" s="5"/>
      <c r="N33" s="5"/>
      <c r="O33" s="5"/>
      <c r="P33" s="5"/>
      <c r="Q33" s="5"/>
      <c r="R33" s="5"/>
      <c r="S33" s="5"/>
      <c r="T33" s="5"/>
      <c r="U33" s="5"/>
      <c r="V33" s="5"/>
    </row>
    <row r="34" spans="1:22">
      <c r="A34" s="133">
        <v>1</v>
      </c>
      <c r="B34" s="133" t="s">
        <v>2087</v>
      </c>
      <c r="C34" s="134">
        <v>3500</v>
      </c>
      <c r="D34" s="5" t="s">
        <v>265</v>
      </c>
      <c r="E34" s="5" t="s">
        <v>2088</v>
      </c>
      <c r="F34" s="5" t="s">
        <v>228</v>
      </c>
      <c r="G34" s="5" t="s">
        <v>2089</v>
      </c>
      <c r="H34" s="5" t="s">
        <v>2008</v>
      </c>
      <c r="I34" s="5"/>
      <c r="J34" s="5"/>
      <c r="K34" s="5"/>
      <c r="L34" s="5"/>
      <c r="M34" s="5"/>
      <c r="N34" s="5"/>
      <c r="O34" s="5"/>
      <c r="P34" s="5"/>
      <c r="Q34" s="5"/>
      <c r="R34" s="5"/>
      <c r="S34" s="5"/>
      <c r="T34" s="5"/>
      <c r="U34" s="5"/>
      <c r="V34" s="5"/>
    </row>
    <row r="35" spans="1:22">
      <c r="A35" s="133">
        <v>1</v>
      </c>
      <c r="B35" s="133" t="s">
        <v>2090</v>
      </c>
      <c r="C35" s="138">
        <v>0.6</v>
      </c>
      <c r="D35" s="5" t="s">
        <v>2091</v>
      </c>
      <c r="E35" s="5" t="s">
        <v>149</v>
      </c>
      <c r="F35" s="5" t="s">
        <v>228</v>
      </c>
      <c r="G35" s="5" t="s">
        <v>2092</v>
      </c>
      <c r="H35" s="5" t="s">
        <v>2093</v>
      </c>
      <c r="I35" s="5"/>
      <c r="J35" s="5"/>
      <c r="K35" s="5"/>
      <c r="L35" s="5"/>
      <c r="M35" s="5"/>
      <c r="N35" s="5"/>
      <c r="O35" s="5"/>
      <c r="P35" s="5"/>
      <c r="Q35" s="5"/>
      <c r="R35" s="5"/>
      <c r="S35" s="5"/>
      <c r="T35" s="5"/>
      <c r="U35" s="5"/>
      <c r="V35" s="5"/>
    </row>
    <row r="36" spans="1:22">
      <c r="A36" s="5"/>
      <c r="B36" s="5"/>
      <c r="C36" s="5"/>
      <c r="D36" s="5"/>
      <c r="E36" s="5"/>
      <c r="F36" s="5"/>
      <c r="G36" s="5"/>
      <c r="H36" s="5"/>
      <c r="I36" s="5"/>
      <c r="J36" s="5"/>
      <c r="K36" s="5"/>
      <c r="L36" s="5"/>
      <c r="M36" s="5"/>
      <c r="N36" s="5"/>
      <c r="O36" s="5"/>
      <c r="P36" s="5"/>
      <c r="Q36" s="5"/>
      <c r="R36" s="5"/>
      <c r="S36" s="5"/>
      <c r="T36" s="5"/>
      <c r="U36" s="5"/>
      <c r="V36" s="5"/>
    </row>
    <row r="37" spans="1:22">
      <c r="A37" s="5"/>
      <c r="B37" s="5"/>
      <c r="C37" s="5"/>
      <c r="D37" s="5"/>
      <c r="E37" s="5"/>
      <c r="F37" s="5"/>
      <c r="G37" s="5"/>
      <c r="H37" s="5"/>
      <c r="I37" s="5"/>
      <c r="J37" s="5"/>
      <c r="K37" s="5"/>
      <c r="L37" s="5"/>
      <c r="M37" s="5"/>
      <c r="N37" s="5"/>
      <c r="O37" s="5"/>
      <c r="P37" s="5"/>
      <c r="Q37" s="5"/>
      <c r="R37" s="5"/>
      <c r="S37" s="5"/>
      <c r="T37" s="5"/>
      <c r="U37" s="5"/>
      <c r="V37" s="5"/>
    </row>
    <row r="38" spans="1:22" ht="20" customHeight="1">
      <c r="A38" s="249" t="s">
        <v>2094</v>
      </c>
      <c r="B38" s="249"/>
      <c r="C38" s="249"/>
      <c r="D38" s="249"/>
      <c r="E38" s="249"/>
      <c r="F38" s="249"/>
      <c r="G38" s="249"/>
      <c r="H38" s="249"/>
      <c r="I38" s="5"/>
      <c r="J38" s="5"/>
      <c r="K38" s="5"/>
      <c r="L38" s="5"/>
      <c r="M38" s="5"/>
      <c r="N38" s="5"/>
      <c r="O38" s="5"/>
      <c r="P38" s="5"/>
      <c r="Q38" s="5"/>
      <c r="R38" s="5"/>
      <c r="S38" s="5"/>
      <c r="T38" s="5"/>
      <c r="U38" s="5"/>
      <c r="V38" s="5"/>
    </row>
    <row r="39" spans="1:22" ht="32" customHeight="1">
      <c r="A39" s="130" t="s">
        <v>473</v>
      </c>
      <c r="B39" s="131" t="s">
        <v>1103</v>
      </c>
      <c r="C39" s="131" t="s">
        <v>136</v>
      </c>
      <c r="D39" s="131" t="s">
        <v>242</v>
      </c>
      <c r="E39" s="131" t="s">
        <v>1936</v>
      </c>
      <c r="F39" s="131" t="s">
        <v>1937</v>
      </c>
      <c r="G39" s="131" t="s">
        <v>140</v>
      </c>
      <c r="H39" s="132" t="s">
        <v>2095</v>
      </c>
      <c r="I39" s="5"/>
      <c r="J39" s="293" t="s">
        <v>2096</v>
      </c>
      <c r="K39" s="293"/>
      <c r="L39" s="293"/>
      <c r="M39" s="293"/>
      <c r="N39" s="293"/>
      <c r="O39" s="293"/>
      <c r="P39" s="293"/>
      <c r="Q39" s="293"/>
      <c r="R39" s="293"/>
      <c r="S39" s="293"/>
      <c r="T39" s="293"/>
      <c r="U39" s="293"/>
      <c r="V39" s="293"/>
    </row>
    <row r="40" spans="1:22">
      <c r="A40" s="133">
        <v>1</v>
      </c>
      <c r="B40" s="133" t="s">
        <v>2097</v>
      </c>
      <c r="C40" s="138">
        <v>0.8</v>
      </c>
      <c r="D40" s="5" t="s">
        <v>2098</v>
      </c>
      <c r="E40" s="5" t="s">
        <v>149</v>
      </c>
      <c r="F40" s="5" t="s">
        <v>228</v>
      </c>
      <c r="G40" s="5" t="s">
        <v>2099</v>
      </c>
      <c r="H40" s="5" t="s">
        <v>2100</v>
      </c>
      <c r="I40" s="5"/>
      <c r="J40" s="293"/>
      <c r="K40" s="293"/>
      <c r="L40" s="293"/>
      <c r="M40" s="293"/>
      <c r="N40" s="293"/>
      <c r="O40" s="293"/>
      <c r="P40" s="293"/>
      <c r="Q40" s="293"/>
      <c r="R40" s="293"/>
      <c r="S40" s="293"/>
      <c r="T40" s="293"/>
      <c r="U40" s="293"/>
      <c r="V40" s="293"/>
    </row>
    <row r="41" spans="1:22">
      <c r="A41" s="133">
        <v>1</v>
      </c>
      <c r="B41" s="133" t="s">
        <v>2101</v>
      </c>
      <c r="C41" s="138">
        <v>2</v>
      </c>
      <c r="D41" s="5" t="s">
        <v>2102</v>
      </c>
      <c r="E41" s="5" t="s">
        <v>2103</v>
      </c>
      <c r="F41" s="5" t="s">
        <v>228</v>
      </c>
      <c r="G41" s="5" t="s">
        <v>2104</v>
      </c>
      <c r="H41" s="5" t="s">
        <v>2105</v>
      </c>
      <c r="I41" s="5"/>
      <c r="J41" s="293"/>
      <c r="K41" s="293"/>
      <c r="L41" s="293"/>
      <c r="M41" s="293"/>
      <c r="N41" s="293"/>
      <c r="O41" s="293"/>
      <c r="P41" s="293"/>
      <c r="Q41" s="293"/>
      <c r="R41" s="293"/>
      <c r="S41" s="293"/>
      <c r="T41" s="293"/>
      <c r="U41" s="293"/>
      <c r="V41" s="293"/>
    </row>
    <row r="42" spans="1:22">
      <c r="A42" s="133">
        <v>1</v>
      </c>
      <c r="B42" s="133" t="s">
        <v>2106</v>
      </c>
      <c r="C42" s="134">
        <v>50000</v>
      </c>
      <c r="D42" s="5" t="s">
        <v>2107</v>
      </c>
      <c r="E42" s="5" t="s">
        <v>2108</v>
      </c>
      <c r="F42" s="5" t="s">
        <v>208</v>
      </c>
      <c r="G42" s="5" t="s">
        <v>2109</v>
      </c>
      <c r="H42" s="5" t="s">
        <v>2110</v>
      </c>
      <c r="I42" s="5"/>
      <c r="J42" s="293"/>
      <c r="K42" s="293"/>
      <c r="L42" s="293"/>
      <c r="M42" s="293"/>
      <c r="N42" s="293"/>
      <c r="O42" s="293"/>
      <c r="P42" s="293"/>
      <c r="Q42" s="293"/>
      <c r="R42" s="293"/>
      <c r="S42" s="293"/>
      <c r="T42" s="293"/>
      <c r="U42" s="293"/>
      <c r="V42" s="293"/>
    </row>
    <row r="43" spans="1:22">
      <c r="A43" s="133">
        <v>1</v>
      </c>
      <c r="B43" s="133" t="s">
        <v>2111</v>
      </c>
      <c r="C43" s="138">
        <v>0.2</v>
      </c>
      <c r="D43" s="5" t="s">
        <v>2112</v>
      </c>
      <c r="E43" s="5" t="s">
        <v>2019</v>
      </c>
      <c r="F43" s="5" t="s">
        <v>228</v>
      </c>
      <c r="G43" s="5" t="s">
        <v>2113</v>
      </c>
      <c r="H43" s="5" t="s">
        <v>2114</v>
      </c>
      <c r="I43" s="5"/>
      <c r="J43" s="293"/>
      <c r="K43" s="293"/>
      <c r="L43" s="293"/>
      <c r="M43" s="293"/>
      <c r="N43" s="293"/>
      <c r="O43" s="293"/>
      <c r="P43" s="293"/>
      <c r="Q43" s="293"/>
      <c r="R43" s="293"/>
      <c r="S43" s="293"/>
      <c r="T43" s="293"/>
      <c r="U43" s="293"/>
      <c r="V43" s="293"/>
    </row>
    <row r="44" spans="1:22">
      <c r="A44" s="133">
        <v>1</v>
      </c>
      <c r="B44" s="133" t="s">
        <v>2115</v>
      </c>
      <c r="C44" s="138">
        <v>0.6</v>
      </c>
      <c r="D44" s="5" t="s">
        <v>193</v>
      </c>
      <c r="E44" s="5" t="s">
        <v>2019</v>
      </c>
      <c r="F44" s="5" t="s">
        <v>228</v>
      </c>
      <c r="G44" s="5" t="s">
        <v>2116</v>
      </c>
      <c r="H44" s="5" t="s">
        <v>2117</v>
      </c>
      <c r="I44" s="5"/>
      <c r="J44" s="293"/>
      <c r="K44" s="293"/>
      <c r="L44" s="293"/>
      <c r="M44" s="293"/>
      <c r="N44" s="293"/>
      <c r="O44" s="293"/>
      <c r="P44" s="293"/>
      <c r="Q44" s="293"/>
      <c r="R44" s="293"/>
      <c r="S44" s="293"/>
      <c r="T44" s="293"/>
      <c r="U44" s="293"/>
      <c r="V44" s="293"/>
    </row>
    <row r="45" spans="1:22">
      <c r="A45" s="133">
        <v>1</v>
      </c>
      <c r="B45" s="133" t="s">
        <v>2118</v>
      </c>
      <c r="C45" s="138">
        <v>0.4</v>
      </c>
      <c r="D45" s="5" t="s">
        <v>2091</v>
      </c>
      <c r="E45" s="5" t="s">
        <v>1943</v>
      </c>
      <c r="F45" s="5" t="s">
        <v>228</v>
      </c>
      <c r="G45" s="5" t="s">
        <v>2119</v>
      </c>
      <c r="H45" s="5" t="s">
        <v>2120</v>
      </c>
      <c r="I45" s="5"/>
      <c r="J45" s="293"/>
      <c r="K45" s="293"/>
      <c r="L45" s="293"/>
      <c r="M45" s="293"/>
      <c r="N45" s="293"/>
      <c r="O45" s="293"/>
      <c r="P45" s="293"/>
      <c r="Q45" s="293"/>
      <c r="R45" s="293"/>
      <c r="S45" s="293"/>
      <c r="T45" s="293"/>
      <c r="U45" s="293"/>
      <c r="V45" s="293"/>
    </row>
    <row r="46" spans="1:22">
      <c r="A46" s="133">
        <v>1</v>
      </c>
      <c r="B46" s="133" t="s">
        <v>2121</v>
      </c>
      <c r="C46" s="133">
        <v>4</v>
      </c>
      <c r="D46" s="5" t="s">
        <v>162</v>
      </c>
      <c r="E46" s="5" t="s">
        <v>149</v>
      </c>
      <c r="F46" s="5" t="s">
        <v>228</v>
      </c>
      <c r="G46" s="5" t="s">
        <v>2122</v>
      </c>
      <c r="H46" s="5" t="s">
        <v>2123</v>
      </c>
      <c r="I46" s="5"/>
      <c r="J46" s="293"/>
      <c r="K46" s="293"/>
      <c r="L46" s="293"/>
      <c r="M46" s="293"/>
      <c r="N46" s="293"/>
      <c r="O46" s="293"/>
      <c r="P46" s="293"/>
      <c r="Q46" s="293"/>
      <c r="R46" s="293"/>
      <c r="S46" s="293"/>
      <c r="T46" s="293"/>
      <c r="U46" s="293"/>
      <c r="V46" s="293"/>
    </row>
    <row r="47" spans="1:22">
      <c r="A47" s="5"/>
      <c r="B47" s="5"/>
      <c r="C47" s="5"/>
      <c r="D47" s="5"/>
      <c r="E47" s="5"/>
      <c r="F47" s="5"/>
      <c r="G47" s="5"/>
      <c r="H47" s="5"/>
      <c r="I47" s="5"/>
      <c r="J47" s="5"/>
      <c r="K47" s="5"/>
      <c r="L47" s="5"/>
      <c r="M47" s="5"/>
      <c r="N47" s="5"/>
      <c r="O47" s="5"/>
      <c r="P47" s="5"/>
      <c r="Q47" s="5"/>
      <c r="R47" s="5"/>
      <c r="S47" s="5"/>
      <c r="T47" s="5"/>
      <c r="U47" s="5"/>
      <c r="V47" s="5"/>
    </row>
    <row r="48" spans="1:22">
      <c r="A48" s="5"/>
      <c r="B48" s="5"/>
      <c r="C48" s="5"/>
      <c r="D48" s="5"/>
      <c r="E48" s="5"/>
      <c r="F48" s="5"/>
      <c r="G48" s="5"/>
      <c r="H48" s="5"/>
      <c r="I48" s="5"/>
      <c r="J48" s="5"/>
      <c r="K48" s="5"/>
      <c r="L48" s="5"/>
      <c r="M48" s="5"/>
      <c r="N48" s="5"/>
      <c r="O48" s="5"/>
      <c r="P48" s="5"/>
      <c r="Q48" s="5"/>
      <c r="R48" s="5"/>
      <c r="S48" s="5"/>
      <c r="T48" s="5"/>
      <c r="U48" s="5"/>
      <c r="V48" s="5"/>
    </row>
    <row r="49" spans="1:22" ht="20" customHeight="1">
      <c r="A49" s="249" t="s">
        <v>2124</v>
      </c>
      <c r="B49" s="249"/>
      <c r="C49" s="249"/>
      <c r="D49" s="249"/>
      <c r="E49" s="249"/>
      <c r="F49" s="249"/>
      <c r="G49" s="249"/>
      <c r="H49" s="249"/>
      <c r="I49" s="249"/>
      <c r="J49" s="249"/>
      <c r="K49" s="249"/>
      <c r="L49" s="249"/>
      <c r="M49" s="5"/>
      <c r="N49" s="5"/>
      <c r="O49" s="5"/>
      <c r="P49" s="5"/>
      <c r="Q49" s="5"/>
      <c r="R49" s="5"/>
      <c r="S49" s="5"/>
      <c r="T49" s="5"/>
      <c r="U49" s="5"/>
      <c r="V49" s="5"/>
    </row>
    <row r="50" spans="1:22" ht="32" customHeight="1">
      <c r="A50" s="130" t="s">
        <v>1959</v>
      </c>
      <c r="B50" s="131" t="s">
        <v>440</v>
      </c>
      <c r="C50" s="131" t="s">
        <v>441</v>
      </c>
      <c r="D50" s="131" t="s">
        <v>442</v>
      </c>
      <c r="E50" s="131" t="s">
        <v>443</v>
      </c>
      <c r="F50" s="131" t="s">
        <v>444</v>
      </c>
      <c r="G50" s="131" t="s">
        <v>445</v>
      </c>
      <c r="H50" s="131" t="s">
        <v>446</v>
      </c>
      <c r="I50" s="131" t="s">
        <v>447</v>
      </c>
      <c r="J50" s="131" t="s">
        <v>448</v>
      </c>
      <c r="K50" s="132" t="s">
        <v>449</v>
      </c>
      <c r="L50" s="5"/>
      <c r="M50" s="5"/>
      <c r="N50" s="5"/>
      <c r="O50" s="5"/>
      <c r="P50" s="5"/>
      <c r="Q50" s="5"/>
      <c r="R50" s="5"/>
      <c r="S50" s="5"/>
      <c r="T50" s="5"/>
      <c r="U50" s="5"/>
      <c r="V50" s="5"/>
    </row>
    <row r="51" spans="1:22">
      <c r="A51" s="5" t="s">
        <v>2125</v>
      </c>
      <c r="B51" s="6">
        <f>IF(AND($A$6=1,$A$7=1,1&lt;=2),'02_Assumptions'!$C$6*'02_Assumptions'!$C$7*$C$6*$C$7,0)</f>
        <v>6.16</v>
      </c>
      <c r="C51" s="6">
        <f>IF(AND($A$6=1,$A$7=1,2&lt;=2),'02_Assumptions'!$C$6*'02_Assumptions'!$C$7*$C$6*$C$7,0)</f>
        <v>6.16</v>
      </c>
      <c r="D51" s="6">
        <f>IF(AND($A$6=1,$A$7=1,3&lt;=2),'02_Assumptions'!$C$6*'02_Assumptions'!$C$7*$C$6*$C$7,0)</f>
        <v>0</v>
      </c>
      <c r="E51" s="6">
        <f>IF(AND($A$6=1,$A$7=1,4&lt;=2),'02_Assumptions'!$C$6*'02_Assumptions'!$C$7*$C$6*$C$7,0)</f>
        <v>0</v>
      </c>
      <c r="F51" s="6">
        <f>IF(AND($A$6=1,$A$7=1,5&lt;=2),'02_Assumptions'!$C$6*'02_Assumptions'!$C$7*$C$6*$C$7,0)</f>
        <v>0</v>
      </c>
      <c r="G51" s="6">
        <f>IF(AND($A$6=1,$A$7=1,6&lt;=2),'02_Assumptions'!$C$6*'02_Assumptions'!$C$7*$C$6*$C$7,0)</f>
        <v>0</v>
      </c>
      <c r="H51" s="6">
        <f>IF(AND($A$6=1,$A$7=1,7&lt;=2),'02_Assumptions'!$C$6*'02_Assumptions'!$C$7*$C$6*$C$7,0)</f>
        <v>0</v>
      </c>
      <c r="I51" s="6">
        <f>IF(AND($A$6=1,$A$7=1,8&lt;=2),'02_Assumptions'!$C$6*'02_Assumptions'!$C$7*$C$6*$C$7,0)</f>
        <v>0</v>
      </c>
      <c r="J51" s="6">
        <f>IF(AND($A$6=1,$A$7=1,9&lt;=2),'02_Assumptions'!$C$6*'02_Assumptions'!$C$7*$C$6*$C$7,0)</f>
        <v>0</v>
      </c>
      <c r="K51" s="6">
        <f>IF(AND($A$6=1,$A$7=1,10&lt;=2),'02_Assumptions'!$C$6*'02_Assumptions'!$C$7*$C$6*$C$7,0)</f>
        <v>0</v>
      </c>
      <c r="L51" s="5"/>
      <c r="M51" s="5"/>
      <c r="N51" s="5"/>
      <c r="O51" s="5"/>
      <c r="P51" s="5"/>
      <c r="Q51" s="5"/>
      <c r="R51" s="5"/>
      <c r="S51" s="5"/>
      <c r="T51" s="5"/>
      <c r="U51" s="5"/>
      <c r="V51" s="5"/>
    </row>
    <row r="52" spans="1:22">
      <c r="A52" s="5" t="s">
        <v>2126</v>
      </c>
      <c r="B52" s="8">
        <f>$B$51*$A$8*$C$8*1000*$A$9*$C$9*(1+'02_Assumptions'!$C$11)^0</f>
        <v>88704000</v>
      </c>
      <c r="C52" s="8">
        <f>$C$51*$A$8*$C$8*1000*$A$9*$C$9*(1+'02_Assumptions'!$C$11)^1</f>
        <v>92252160</v>
      </c>
      <c r="D52" s="8">
        <f>$D$51*$A$8*$C$8*1000*$A$9*$C$9*(1+'02_Assumptions'!$C$11)^2</f>
        <v>0</v>
      </c>
      <c r="E52" s="8">
        <f>$E$51*$A$8*$C$8*1000*$A$9*$C$9*(1+'02_Assumptions'!$C$11)^3</f>
        <v>0</v>
      </c>
      <c r="F52" s="8">
        <f>$F$51*$A$8*$C$8*1000*$A$9*$C$9*(1+'02_Assumptions'!$C$11)^4</f>
        <v>0</v>
      </c>
      <c r="G52" s="8">
        <f>$G$51*$A$8*$C$8*1000*$A$9*$C$9*(1+'02_Assumptions'!$C$11)^5</f>
        <v>0</v>
      </c>
      <c r="H52" s="8">
        <f>$H$51*$A$8*$C$8*1000*$A$9*$C$9*(1+'02_Assumptions'!$C$11)^6</f>
        <v>0</v>
      </c>
      <c r="I52" s="8">
        <f>$I$51*$A$8*$C$8*1000*$A$9*$C$9*(1+'02_Assumptions'!$C$11)^7</f>
        <v>0</v>
      </c>
      <c r="J52" s="8">
        <f>$J$51*$A$8*$C$8*1000*$A$9*$C$9*(1+'02_Assumptions'!$C$11)^8</f>
        <v>0</v>
      </c>
      <c r="K52" s="8">
        <f>$K$51*$A$8*$C$8*1000*$A$9*$C$9*(1+'02_Assumptions'!$C$11)^9</f>
        <v>0</v>
      </c>
      <c r="L52" s="5"/>
      <c r="M52" s="5"/>
      <c r="N52" s="5"/>
      <c r="O52" s="5"/>
      <c r="P52" s="5"/>
      <c r="Q52" s="5"/>
      <c r="R52" s="5"/>
      <c r="S52" s="5"/>
      <c r="T52" s="5"/>
      <c r="U52" s="5"/>
      <c r="V52" s="5"/>
    </row>
    <row r="53" spans="1:22">
      <c r="A53" s="5" t="s">
        <v>2127</v>
      </c>
      <c r="B53" s="8">
        <f>$B$51*$A$10*$C$10*(1+'02_Assumptions'!$C$11)^0</f>
        <v>73920000</v>
      </c>
      <c r="C53" s="8">
        <f>$C$51*$A$10*$C$10*(1+'02_Assumptions'!$C$11)^1</f>
        <v>76876800</v>
      </c>
      <c r="D53" s="8">
        <f>$D$51*$A$10*$C$10*(1+'02_Assumptions'!$C$11)^2</f>
        <v>0</v>
      </c>
      <c r="E53" s="8">
        <f>$E$51*$A$10*$C$10*(1+'02_Assumptions'!$C$11)^3</f>
        <v>0</v>
      </c>
      <c r="F53" s="8">
        <f>$F$51*$A$10*$C$10*(1+'02_Assumptions'!$C$11)^4</f>
        <v>0</v>
      </c>
      <c r="G53" s="8">
        <f>$G$51*$A$10*$C$10*(1+'02_Assumptions'!$C$11)^5</f>
        <v>0</v>
      </c>
      <c r="H53" s="8">
        <f>$H$51*$A$10*$C$10*(1+'02_Assumptions'!$C$11)^6</f>
        <v>0</v>
      </c>
      <c r="I53" s="8">
        <f>$I$51*$A$10*$C$10*(1+'02_Assumptions'!$C$11)^7</f>
        <v>0</v>
      </c>
      <c r="J53" s="8">
        <f>$J$51*$A$10*$C$10*(1+'02_Assumptions'!$C$11)^8</f>
        <v>0</v>
      </c>
      <c r="K53" s="8">
        <f>$K$51*$A$10*$C$10*(1+'02_Assumptions'!$C$11)^9</f>
        <v>0</v>
      </c>
      <c r="L53" s="5"/>
      <c r="M53" s="5"/>
      <c r="N53" s="5"/>
      <c r="O53" s="5"/>
      <c r="P53" s="5"/>
      <c r="Q53" s="5"/>
      <c r="R53" s="5"/>
      <c r="S53" s="5"/>
      <c r="T53" s="5"/>
      <c r="U53" s="5"/>
      <c r="V53" s="5"/>
    </row>
    <row r="54" spans="1:22">
      <c r="A54" s="5" t="s">
        <v>2128</v>
      </c>
      <c r="B54" s="8">
        <f>$A$20*$C$20*'10_Production_Revenue'!$B$10*'10_Production_Revenue'!$B$11*(1-'02_Assumptions'!$C$43)</f>
        <v>0</v>
      </c>
      <c r="C54" s="8">
        <f>$A$20*$C$20*'10_Production_Revenue'!$C$10*'10_Production_Revenue'!$C$11*(1-'02_Assumptions'!$C$43)</f>
        <v>0</v>
      </c>
      <c r="D54" s="8">
        <f>$A$20*$C$20*'10_Production_Revenue'!$D$10*'10_Production_Revenue'!$D$11*(1-'02_Assumptions'!$C$43)</f>
        <v>6244.9199999999983</v>
      </c>
      <c r="E54" s="8">
        <f>$A$20*$C$20*'10_Production_Revenue'!$E$10*'10_Production_Revenue'!$E$11*(1-'02_Assumptions'!$C$43)</f>
        <v>14571.479999999996</v>
      </c>
      <c r="F54" s="8">
        <f>$A$20*$C$20*'10_Production_Revenue'!$F$10*'10_Production_Revenue'!$F$11*(1-'02_Assumptions'!$C$43)</f>
        <v>24979.679999999993</v>
      </c>
      <c r="G54" s="8">
        <f>$A$20*$C$20*'10_Production_Revenue'!$G$10*'10_Production_Revenue'!$G$11*(1-'02_Assumptions'!$C$43)</f>
        <v>33306.239999999991</v>
      </c>
      <c r="H54" s="8">
        <f>$A$20*$C$20*'10_Production_Revenue'!$H$10*'10_Production_Revenue'!$H$11*(1-'02_Assumptions'!$C$43)</f>
        <v>41632.799999999988</v>
      </c>
      <c r="I54" s="8">
        <f>$A$20*$C$20*'10_Production_Revenue'!$I$10*'10_Production_Revenue'!$I$11*(1-'02_Assumptions'!$C$43)</f>
        <v>45796.079999999987</v>
      </c>
      <c r="J54" s="8">
        <f>$A$20*$C$20*'10_Production_Revenue'!$J$10*'10_Production_Revenue'!$J$11*(1-'02_Assumptions'!$C$43)</f>
        <v>45796.079999999987</v>
      </c>
      <c r="K54" s="8">
        <f>$A$20*$C$20*'10_Production_Revenue'!$K$10*'10_Production_Revenue'!$K$11*(1-'02_Assumptions'!$C$43)</f>
        <v>45796.079999999987</v>
      </c>
      <c r="L54" s="5"/>
      <c r="M54" s="5"/>
      <c r="N54" s="5"/>
      <c r="O54" s="5"/>
      <c r="P54" s="5"/>
      <c r="Q54" s="5"/>
      <c r="R54" s="5"/>
      <c r="S54" s="5"/>
      <c r="T54" s="5"/>
      <c r="U54" s="5"/>
      <c r="V54" s="5"/>
    </row>
    <row r="55" spans="1:22">
      <c r="A55" s="5" t="s">
        <v>2129</v>
      </c>
      <c r="B55" s="8">
        <f>$B$54*$A$29*$C$29*$A$30*$C$30*(1+'02_Assumptions'!$C$11)^0</f>
        <v>0</v>
      </c>
      <c r="C55" s="8">
        <f>$C$54*$A$29*$C$29*$A$30*$C$30*(1+'02_Assumptions'!$C$11)^1</f>
        <v>0</v>
      </c>
      <c r="D55" s="8">
        <f>$D$54*$A$29*$C$29*$A$30*$C$30*(1+'02_Assumptions'!$C$11)^2</f>
        <v>18912615.321599998</v>
      </c>
      <c r="E55" s="8">
        <f>$E$54*$A$29*$C$29*$A$30*$C$30*(1+'02_Assumptions'!$C$11)^3</f>
        <v>45894613.180415995</v>
      </c>
      <c r="F55" s="8">
        <f>$F$54*$A$29*$C$29*$A$30*$C$30*(1+'02_Assumptions'!$C$11)^4</f>
        <v>81823538.927370235</v>
      </c>
      <c r="G55" s="8">
        <f>$G$54*$A$29*$C$29*$A$30*$C$30*(1+'02_Assumptions'!$C$11)^5</f>
        <v>113461973.97928673</v>
      </c>
      <c r="H55" s="8">
        <f>$H$54*$A$29*$C$29*$A$30*$C$30*(1+'02_Assumptions'!$C$11)^6</f>
        <v>147500566.17307276</v>
      </c>
      <c r="I55" s="8">
        <f>$I$54*$A$29*$C$29*$A$30*$C$30*(1+'02_Assumptions'!$C$11)^7</f>
        <v>168740647.70199522</v>
      </c>
      <c r="J55" s="8">
        <f>$J$54*$A$29*$C$29*$A$30*$C$30*(1+'02_Assumptions'!$C$11)^8</f>
        <v>175490273.61007506</v>
      </c>
      <c r="K55" s="8">
        <f>$K$54*$A$29*$C$29*$A$30*$C$30*(1+'02_Assumptions'!$C$11)^9</f>
        <v>182509884.55447808</v>
      </c>
      <c r="L55" s="5"/>
      <c r="M55" s="5"/>
      <c r="N55" s="5"/>
      <c r="O55" s="5"/>
      <c r="P55" s="5"/>
      <c r="Q55" s="5"/>
      <c r="R55" s="5"/>
      <c r="S55" s="5"/>
      <c r="T55" s="5"/>
      <c r="U55" s="5"/>
      <c r="V55" s="5"/>
    </row>
    <row r="56" spans="1:22">
      <c r="A56" s="5" t="s">
        <v>2130</v>
      </c>
      <c r="B56" s="8">
        <f>$B$54*$A$21*$C$21*$A$22*$C$22*$A$24*$C$24*$A$25*$C$25*(1+'02_Assumptions'!$C$11)^0</f>
        <v>0</v>
      </c>
      <c r="C56" s="8">
        <f>$C$54*$A$21*$C$21*$A$22*$C$22*$A$24*$C$24*$A$25*$C$25*(1+'02_Assumptions'!$C$11)^1</f>
        <v>0</v>
      </c>
      <c r="D56" s="8">
        <f>$D$54*$A$21*$C$21*$A$22*$C$22*$A$24*$C$24*$A$25*$C$25*(1+'02_Assumptions'!$C$11)^2</f>
        <v>2382989.5305215991</v>
      </c>
      <c r="E56" s="8">
        <f>$E$54*$A$21*$C$21*$A$22*$C$22*$A$24*$C$24*$A$25*$C$25*(1+'02_Assumptions'!$C$11)^3</f>
        <v>5782721.2607324151</v>
      </c>
      <c r="F56" s="8">
        <f>$F$54*$A$21*$C$21*$A$22*$C$22*$A$24*$C$24*$A$25*$C$25*(1+'02_Assumptions'!$C$11)^4</f>
        <v>10309765.904848648</v>
      </c>
      <c r="G56" s="8">
        <f>$G$54*$A$21*$C$21*$A$22*$C$22*$A$24*$C$24*$A$25*$C$25*(1+'02_Assumptions'!$C$11)^5</f>
        <v>14296208.721390132</v>
      </c>
      <c r="H56" s="8">
        <f>$H$54*$A$21*$C$21*$A$22*$C$22*$A$24*$C$24*$A$25*$C$25*(1+'02_Assumptions'!$C$11)^6</f>
        <v>18585071.337807164</v>
      </c>
      <c r="I56" s="8">
        <f>$I$54*$A$21*$C$21*$A$22*$C$22*$A$24*$C$24*$A$25*$C$25*(1+'02_Assumptions'!$C$11)^7</f>
        <v>21261321.6104514</v>
      </c>
      <c r="J56" s="8">
        <f>$J$54*$A$21*$C$21*$A$22*$C$22*$A$24*$C$24*$A$25*$C$25*(1+'02_Assumptions'!$C$11)^8</f>
        <v>22111774.47486946</v>
      </c>
      <c r="K56" s="8">
        <f>$K$54*$A$21*$C$21*$A$22*$C$22*$A$24*$C$24*$A$25*$C$25*(1+'02_Assumptions'!$C$11)^9</f>
        <v>22996245.453864239</v>
      </c>
      <c r="L56" s="5"/>
      <c r="M56" s="5"/>
      <c r="N56" s="5"/>
      <c r="O56" s="5"/>
      <c r="P56" s="5"/>
      <c r="Q56" s="5"/>
      <c r="R56" s="5"/>
      <c r="S56" s="5"/>
      <c r="T56" s="5"/>
      <c r="U56" s="5"/>
      <c r="V56" s="5"/>
    </row>
    <row r="57" spans="1:22">
      <c r="A57" s="5" t="s">
        <v>2131</v>
      </c>
      <c r="B57" s="8">
        <f>$B$54*$A$21*$C$21*$A$23*$C$23*$A$26*$C$26*$A$27*$C$27*$A$28*$C$28*(1+'02_Assumptions'!$C$11)^0</f>
        <v>0</v>
      </c>
      <c r="C57" s="8">
        <f>$C$54*$A$21*$C$21*$A$23*$C$23*$A$26*$C$26*$A$27*$C$27*$A$28*$C$28*(1+'02_Assumptions'!$C$11)^1</f>
        <v>0</v>
      </c>
      <c r="D57" s="8">
        <f>$D$54*$A$21*$C$21*$A$23*$C$23*$A$26*$C$26*$A$27*$C$27*$A$28*$C$28*(1+'02_Assumptions'!$C$11)^2</f>
        <v>1750767.8183423996</v>
      </c>
      <c r="E57" s="8">
        <f>$E$54*$A$21*$C$21*$A$23*$C$23*$A$26*$C$26*$A$27*$C$27*$A$28*$C$28*(1+'02_Assumptions'!$C$11)^3</f>
        <v>4248529.9058442237</v>
      </c>
      <c r="F57" s="8">
        <f>$F$54*$A$21*$C$21*$A$23*$C$23*$A$26*$C$26*$A$27*$C$27*$A$28*$C$28*(1+'02_Assumptions'!$C$11)^4</f>
        <v>7574521.8892765585</v>
      </c>
      <c r="G57" s="8">
        <f>$G$54*$A$21*$C$21*$A$23*$C$23*$A$26*$C$26*$A$27*$C$27*$A$28*$C$28*(1+'02_Assumptions'!$C$11)^5</f>
        <v>10503337.01979683</v>
      </c>
      <c r="H57" s="8">
        <f>$H$54*$A$21*$C$21*$A$23*$C$23*$A$26*$C$26*$A$27*$C$27*$A$28*$C$28*(1+'02_Assumptions'!$C$11)^6</f>
        <v>13654338.125735877</v>
      </c>
      <c r="I57" s="8">
        <f>$I$54*$A$21*$C$21*$A$23*$C$23*$A$26*$C$26*$A$27*$C$27*$A$28*$C$28*(1+'02_Assumptions'!$C$11)^7</f>
        <v>15620562.815841842</v>
      </c>
      <c r="J57" s="8">
        <f>$J$54*$A$21*$C$21*$A$23*$C$23*$A$26*$C$26*$A$27*$C$27*$A$28*$C$28*(1+'02_Assumptions'!$C$11)^8</f>
        <v>16245385.32847552</v>
      </c>
      <c r="K57" s="8">
        <f>$K$54*$A$21*$C$21*$A$23*$C$23*$A$26*$C$26*$A$27*$C$27*$A$28*$C$28*(1+'02_Assumptions'!$C$11)^9</f>
        <v>16895200.741614543</v>
      </c>
      <c r="L57" s="5"/>
      <c r="M57" s="5"/>
      <c r="N57" s="5"/>
      <c r="O57" s="5"/>
      <c r="P57" s="5"/>
      <c r="Q57" s="5"/>
      <c r="R57" s="5"/>
      <c r="S57" s="5"/>
      <c r="T57" s="5"/>
      <c r="U57" s="5"/>
      <c r="V57" s="5"/>
    </row>
    <row r="58" spans="1:22">
      <c r="A58" s="5" t="s">
        <v>2132</v>
      </c>
      <c r="B58" s="8">
        <f>$B$54*$A$31*$C$31*(1+'02_Assumptions'!$C$11)^0</f>
        <v>0</v>
      </c>
      <c r="C58" s="8">
        <f>$C$54*$A$31*$C$31*(1+'02_Assumptions'!$C$11)^1</f>
        <v>0</v>
      </c>
      <c r="D58" s="8">
        <f>$D$54*$A$31*$C$31*(1+'02_Assumptions'!$C$11)^2</f>
        <v>8105406.566399999</v>
      </c>
      <c r="E58" s="8">
        <f>$E$54*$A$31*$C$31*(1+'02_Assumptions'!$C$11)^3</f>
        <v>19669119.934463996</v>
      </c>
      <c r="F58" s="8">
        <f>$F$54*$A$31*$C$31*(1+'02_Assumptions'!$C$11)^4</f>
        <v>35067230.968872957</v>
      </c>
      <c r="G58" s="8">
        <f>$G$54*$A$31*$C$31*(1+'02_Assumptions'!$C$11)^5</f>
        <v>48626560.27683717</v>
      </c>
      <c r="H58" s="8">
        <f>$H$54*$A$31*$C$31*(1+'02_Assumptions'!$C$11)^6</f>
        <v>63214528.359888323</v>
      </c>
      <c r="I58" s="8">
        <f>$I$54*$A$31*$C$31*(1+'02_Assumptions'!$C$11)^7</f>
        <v>72317420.443712234</v>
      </c>
      <c r="J58" s="8">
        <f>$J$54*$A$31*$C$31*(1+'02_Assumptions'!$C$11)^8</f>
        <v>75210117.261460736</v>
      </c>
      <c r="K58" s="8">
        <f>$K$54*$A$31*$C$31*(1+'02_Assumptions'!$C$11)^9</f>
        <v>78218521.951919168</v>
      </c>
      <c r="L58" s="5"/>
      <c r="M58" s="5"/>
      <c r="N58" s="5"/>
      <c r="O58" s="5"/>
      <c r="P58" s="5"/>
      <c r="Q58" s="5"/>
      <c r="R58" s="5"/>
      <c r="S58" s="5"/>
      <c r="T58" s="5"/>
      <c r="U58" s="5"/>
      <c r="V58" s="5"/>
    </row>
    <row r="59" spans="1:22">
      <c r="A59" s="5" t="s">
        <v>2133</v>
      </c>
      <c r="B59" s="8">
        <f>IF(1&gt;=5,$A$33*$A$34*'10_Production_Revenue'!$B$10*$C$33*$C$34*(1+'02_Assumptions'!$C$11)^0,0)</f>
        <v>0</v>
      </c>
      <c r="C59" s="8">
        <f>IF(2&gt;=5,$A$33*$A$34*'10_Production_Revenue'!$C$10*$C$33*$C$34*(1+'02_Assumptions'!$C$11)^1,0)</f>
        <v>0</v>
      </c>
      <c r="D59" s="8">
        <f>IF(3&gt;=5,$A$33*$A$34*'10_Production_Revenue'!$D$10*$C$33*$C$34*(1+'02_Assumptions'!$C$11)^2,0)</f>
        <v>0</v>
      </c>
      <c r="E59" s="8">
        <f>IF(4&gt;=5,$A$33*$A$34*'10_Production_Revenue'!$E$10*$C$33*$C$34*(1+'02_Assumptions'!$C$11)^3,0)</f>
        <v>0</v>
      </c>
      <c r="F59" s="8">
        <f>IF(5&gt;=5,$A$33*$A$34*'10_Production_Revenue'!$F$10*$C$33*$C$34*(1+'02_Assumptions'!$C$11)^4,0)</f>
        <v>7102737.7541120006</v>
      </c>
      <c r="G59" s="8">
        <f>IF(6&gt;=5,$A$33*$A$34*'10_Production_Revenue'!$G$10*$C$33*$C$34*(1+'02_Assumptions'!$C$11)^5,0)</f>
        <v>7386847.2642764812</v>
      </c>
      <c r="H59" s="8">
        <f>IF(7&gt;=5,$A$33*$A$34*'10_Production_Revenue'!$H$10*$C$33*$C$34*(1+'02_Assumptions'!$C$11)^6,0)</f>
        <v>7682321.15484754</v>
      </c>
      <c r="I59" s="8">
        <f>IF(8&gt;=5,$A$33*$A$34*'10_Production_Revenue'!$I$10*$C$33*$C$34*(1+'02_Assumptions'!$C$11)^7,0)</f>
        <v>7989614.0010414412</v>
      </c>
      <c r="J59" s="8">
        <f>IF(9&gt;=5,$A$33*$A$34*'10_Production_Revenue'!$J$10*$C$33*$C$34*(1+'02_Assumptions'!$C$11)^8,0)</f>
        <v>8309198.5610830998</v>
      </c>
      <c r="K59" s="8">
        <f>IF(10&gt;=5,$A$33*$A$34*'10_Production_Revenue'!$K$10*$C$33*$C$34*(1+'02_Assumptions'!$C$11)^9,0)</f>
        <v>8641566.503526425</v>
      </c>
      <c r="L59" s="5"/>
      <c r="M59" s="5"/>
      <c r="N59" s="5"/>
      <c r="O59" s="5"/>
      <c r="P59" s="5"/>
      <c r="Q59" s="5"/>
      <c r="R59" s="5"/>
      <c r="S59" s="5"/>
      <c r="T59" s="5"/>
      <c r="U59" s="5"/>
      <c r="V59" s="5"/>
    </row>
    <row r="60" spans="1:22">
      <c r="A60" s="5" t="s">
        <v>2134</v>
      </c>
      <c r="B60" s="8">
        <f>$B$59*$A$35*$C$35</f>
        <v>0</v>
      </c>
      <c r="C60" s="8">
        <f>$C$59*$A$35*$C$35</f>
        <v>0</v>
      </c>
      <c r="D60" s="8">
        <f>$D$59*$A$35*$C$35</f>
        <v>0</v>
      </c>
      <c r="E60" s="8">
        <f>$E$59*$A$35*$C$35</f>
        <v>0</v>
      </c>
      <c r="F60" s="8">
        <f>$F$59*$A$35*$C$35</f>
        <v>4261642.6524672005</v>
      </c>
      <c r="G60" s="8">
        <f>$G$59*$A$35*$C$35</f>
        <v>4432108.3585658884</v>
      </c>
      <c r="H60" s="8">
        <f>$H$59*$A$35*$C$35</f>
        <v>4609392.6929085236</v>
      </c>
      <c r="I60" s="8">
        <f>$I$59*$A$35*$C$35</f>
        <v>4793768.4006248647</v>
      </c>
      <c r="J60" s="8">
        <f>$J$59*$A$35*$C$35</f>
        <v>4985519.1366498601</v>
      </c>
      <c r="K60" s="8">
        <f>$K$59*$A$35*$C$35</f>
        <v>5184939.9021158544</v>
      </c>
      <c r="L60" s="5"/>
      <c r="M60" s="5"/>
      <c r="N60" s="5"/>
      <c r="O60" s="5"/>
      <c r="P60" s="5"/>
      <c r="Q60" s="5"/>
      <c r="R60" s="5"/>
      <c r="S60" s="5"/>
      <c r="T60" s="5"/>
      <c r="U60" s="5"/>
      <c r="V60" s="5"/>
    </row>
    <row r="61" spans="1:22">
      <c r="A61" s="5" t="s">
        <v>2135</v>
      </c>
      <c r="B61" s="8">
        <f>IF(1&gt;=$C$46,$A$40*$A$41*$A$42*$A$43*$A$44*$A$45*'02_Assumptions'!$C$6*'02_Assumptions'!$C$7*$C$40*$C$41*$C$42*(1-$C$43)*$C$44*(1-$C$45)*(1+'02_Assumptions'!$C$11)^0,0)</f>
        <v>0</v>
      </c>
      <c r="C61" s="8">
        <f>IF(2&gt;=$C$46,$A$40*$A$41*$A$42*$A$43*$A$44*$A$45*'02_Assumptions'!$C$6*'02_Assumptions'!$C$7*$C$40*$C$41*$C$42*(1-$C$43)*$C$44*(1-$C$45)*(1+'02_Assumptions'!$C$11)^1,0)</f>
        <v>0</v>
      </c>
      <c r="D61" s="8">
        <f>IF(3&gt;=$C$46,$A$40*$A$41*$A$42*$A$43*$A$44*$A$45*'02_Assumptions'!$C$6*'02_Assumptions'!$C$7*$C$40*$C$41*$C$42*(1-$C$43)*$C$44*(1-$C$45)*(1+'02_Assumptions'!$C$11)^2,0)</f>
        <v>0</v>
      </c>
      <c r="E61" s="8">
        <f>IF(4&gt;=$C$46,$A$40*$A$41*$A$42*$A$43*$A$44*$A$45*'02_Assumptions'!$C$6*'02_Assumptions'!$C$7*$C$40*$C$41*$C$42*(1-$C$43)*$C$44*(1-$C$45)*(1+'02_Assumptions'!$C$11)^3,0)</f>
        <v>2280684.2572800005</v>
      </c>
      <c r="F61" s="8">
        <f>IF(5&gt;=$C$46,$A$40*$A$41*$A$42*$A$43*$A$44*$A$45*'02_Assumptions'!$C$6*'02_Assumptions'!$C$7*$C$40*$C$41*$C$42*(1-$C$43)*$C$44*(1-$C$45)*(1+'02_Assumptions'!$C$11)^4,0)</f>
        <v>2371911.6275712005</v>
      </c>
      <c r="G61" s="8">
        <f>IF(6&gt;=$C$46,$A$40*$A$41*$A$42*$A$43*$A$44*$A$45*'02_Assumptions'!$C$6*'02_Assumptions'!$C$7*$C$40*$C$41*$C$42*(1-$C$43)*$C$44*(1-$C$45)*(1+'02_Assumptions'!$C$11)^5,0)</f>
        <v>2466788.0926740491</v>
      </c>
      <c r="H61" s="8">
        <f>IF(7&gt;=$C$46,$A$40*$A$41*$A$42*$A$43*$A$44*$A$45*'02_Assumptions'!$C$6*'02_Assumptions'!$C$7*$C$40*$C$41*$C$42*(1-$C$43)*$C$44*(1-$C$45)*(1+'02_Assumptions'!$C$11)^6,0)</f>
        <v>2565459.616381011</v>
      </c>
      <c r="I61" s="8">
        <f>IF(8&gt;=$C$46,$A$40*$A$41*$A$42*$A$43*$A$44*$A$45*'02_Assumptions'!$C$6*'02_Assumptions'!$C$7*$C$40*$C$41*$C$42*(1-$C$43)*$C$44*(1-$C$45)*(1+'02_Assumptions'!$C$11)^7,0)</f>
        <v>2668078.001036251</v>
      </c>
      <c r="J61" s="8">
        <f>IF(9&gt;=$C$46,$A$40*$A$41*$A$42*$A$43*$A$44*$A$45*'02_Assumptions'!$C$6*'02_Assumptions'!$C$7*$C$40*$C$41*$C$42*(1-$C$43)*$C$44*(1-$C$45)*(1+'02_Assumptions'!$C$11)^8,0)</f>
        <v>2774801.1210777014</v>
      </c>
      <c r="K61" s="8">
        <f>IF(10&gt;=$C$46,$A$40*$A$41*$A$42*$A$43*$A$44*$A$45*'02_Assumptions'!$C$6*'02_Assumptions'!$C$7*$C$40*$C$41*$C$42*(1-$C$43)*$C$44*(1-$C$45)*(1+'02_Assumptions'!$C$11)^9,0)</f>
        <v>2885793.1659208098</v>
      </c>
      <c r="L61" s="5"/>
      <c r="M61" s="5"/>
      <c r="N61" s="5"/>
      <c r="O61" s="5"/>
      <c r="P61" s="5"/>
      <c r="Q61" s="5"/>
      <c r="R61" s="5"/>
      <c r="S61" s="5"/>
      <c r="T61" s="5"/>
      <c r="U61" s="5"/>
      <c r="V61" s="5"/>
    </row>
    <row r="62" spans="1:22">
      <c r="A62" s="5" t="s">
        <v>2136</v>
      </c>
      <c r="B62" s="8">
        <f>IF(AND(1&lt;=3,$A$11=1),MIN(($C$6*('09_OPEX_10Y'!$B$7+'09_OPEX_10Y'!$B$8)*0.25),$C$11*(1+'02_Assumptions'!$C$11)^0)*$C$12*(1-$C$13),0)</f>
        <v>15750000</v>
      </c>
      <c r="C62" s="8">
        <f>IF(AND(2&lt;=3,$A$11=1),MIN(($C$6*('09_OPEX_10Y'!$C$7+'09_OPEX_10Y'!$C$8)*0.25),$C$11*(1+'02_Assumptions'!$C$11)^1)*$C$12*(1-$C$13),0)</f>
        <v>16380000</v>
      </c>
      <c r="D62" s="8">
        <f>IF(AND(3&lt;=3,$A$11=1),MIN(($C$6*('09_OPEX_10Y'!$D$7+'09_OPEX_10Y'!$D$8)*0.25),$C$11*(1+'02_Assumptions'!$C$11)^2)*$C$12*(1-$C$13),0)</f>
        <v>17035200.000000004</v>
      </c>
      <c r="E62" s="8">
        <f>IF(AND(4&lt;=3,$A$11=1),MIN(($C$6*('09_OPEX_10Y'!$E$7+'09_OPEX_10Y'!$E$8)*0.25),$C$11*(1+'02_Assumptions'!$C$11)^3)*$C$12*(1-$C$13),0)</f>
        <v>0</v>
      </c>
      <c r="F62" s="8">
        <f>IF(AND(5&lt;=3,$A$11=1),MIN(($C$6*('09_OPEX_10Y'!$F$7+'09_OPEX_10Y'!$F$8)*0.25),$C$11*(1+'02_Assumptions'!$C$11)^4)*$C$12*(1-$C$13),0)</f>
        <v>0</v>
      </c>
      <c r="G62" s="8">
        <f>IF(AND(6&lt;=3,$A$11=1),MIN(($C$6*('09_OPEX_10Y'!$G$7+'09_OPEX_10Y'!$G$8)*0.25),$C$11*(1+'02_Assumptions'!$C$11)^5)*$C$12*(1-$C$13),0)</f>
        <v>0</v>
      </c>
      <c r="H62" s="8">
        <f>IF(AND(7&lt;=3,$A$11=1),MIN(($C$6*('09_OPEX_10Y'!$H$7+'09_OPEX_10Y'!$H$8)*0.25),$C$11*(1+'02_Assumptions'!$C$11)^6)*$C$12*(1-$C$13),0)</f>
        <v>0</v>
      </c>
      <c r="I62" s="8">
        <f>IF(AND(8&lt;=3,$A$11=1),MIN(($C$6*('09_OPEX_10Y'!$I$7+'09_OPEX_10Y'!$I$8)*0.25),$C$11*(1+'02_Assumptions'!$C$11)^7)*$C$12*(1-$C$13),0)</f>
        <v>0</v>
      </c>
      <c r="J62" s="8">
        <f>IF(AND(9&lt;=3,$A$11=1),MIN(($C$6*('09_OPEX_10Y'!$J$7+'09_OPEX_10Y'!$J$8)*0.25),$C$11*(1+'02_Assumptions'!$C$11)^8)*$C$12*(1-$C$13),0)</f>
        <v>0</v>
      </c>
      <c r="K62" s="8">
        <f>IF(AND(10&lt;=3,$A$11=1),MIN(($C$6*('09_OPEX_10Y'!$K$7+'09_OPEX_10Y'!$K$8)*0.25),$C$11*(1+'02_Assumptions'!$C$11)^9)*$C$12*(1-$C$13),0)</f>
        <v>0</v>
      </c>
      <c r="L62" s="5"/>
      <c r="M62" s="5"/>
      <c r="N62" s="5"/>
      <c r="O62" s="5"/>
      <c r="P62" s="5"/>
      <c r="Q62" s="5"/>
      <c r="R62" s="5"/>
      <c r="S62" s="5"/>
      <c r="T62" s="5"/>
      <c r="U62" s="5"/>
      <c r="V62" s="5"/>
    </row>
    <row r="63" spans="1:22">
      <c r="A63" s="5" t="s">
        <v>2137</v>
      </c>
      <c r="B63" s="8">
        <f t="shared" ref="B63:K63" si="0">SUM(B52,B55:B57,B59,B61)</f>
        <v>88704000</v>
      </c>
      <c r="C63" s="8">
        <f t="shared" si="0"/>
        <v>92252160</v>
      </c>
      <c r="D63" s="8">
        <f t="shared" si="0"/>
        <v>23046372.670463994</v>
      </c>
      <c r="E63" s="8">
        <f t="shared" si="0"/>
        <v>58206548.604272634</v>
      </c>
      <c r="F63" s="8">
        <f t="shared" si="0"/>
        <v>109182476.10317865</v>
      </c>
      <c r="G63" s="8">
        <f t="shared" si="0"/>
        <v>148115155.0774242</v>
      </c>
      <c r="H63" s="8">
        <f t="shared" si="0"/>
        <v>189987756.40784436</v>
      </c>
      <c r="I63" s="8">
        <f t="shared" si="0"/>
        <v>216280224.13036618</v>
      </c>
      <c r="J63" s="8">
        <f t="shared" si="0"/>
        <v>224931433.09558082</v>
      </c>
      <c r="K63" s="8">
        <f t="shared" si="0"/>
        <v>233928690.41940412</v>
      </c>
      <c r="L63" s="5"/>
      <c r="M63" s="5"/>
      <c r="N63" s="5"/>
      <c r="O63" s="5"/>
      <c r="P63" s="5"/>
      <c r="Q63" s="5"/>
      <c r="R63" s="5"/>
      <c r="S63" s="5"/>
      <c r="T63" s="5"/>
      <c r="U63" s="5"/>
      <c r="V63" s="5"/>
    </row>
    <row r="64" spans="1:22">
      <c r="A64" s="5" t="s">
        <v>2138</v>
      </c>
      <c r="B64" s="8">
        <f t="shared" ref="B64:K64" si="1">SUM(B53,B58,B60)</f>
        <v>73920000</v>
      </c>
      <c r="C64" s="8">
        <f t="shared" si="1"/>
        <v>76876800</v>
      </c>
      <c r="D64" s="8">
        <f t="shared" si="1"/>
        <v>8105406.566399999</v>
      </c>
      <c r="E64" s="8">
        <f t="shared" si="1"/>
        <v>19669119.934463996</v>
      </c>
      <c r="F64" s="8">
        <f t="shared" si="1"/>
        <v>39328873.621340156</v>
      </c>
      <c r="G64" s="8">
        <f t="shared" si="1"/>
        <v>53058668.635403059</v>
      </c>
      <c r="H64" s="8">
        <f t="shared" si="1"/>
        <v>67823921.052796841</v>
      </c>
      <c r="I64" s="8">
        <f t="shared" si="1"/>
        <v>77111188.844337106</v>
      </c>
      <c r="J64" s="8">
        <f t="shared" si="1"/>
        <v>80195636.398110598</v>
      </c>
      <c r="K64" s="8">
        <f t="shared" si="1"/>
        <v>83403461.85403502</v>
      </c>
      <c r="L64" s="5"/>
      <c r="M64" s="5"/>
      <c r="N64" s="5"/>
      <c r="O64" s="5"/>
      <c r="P64" s="5"/>
      <c r="Q64" s="5"/>
      <c r="R64" s="5"/>
      <c r="S64" s="5"/>
      <c r="T64" s="5"/>
      <c r="U64" s="5"/>
      <c r="V64" s="5"/>
    </row>
    <row r="65" spans="1:22">
      <c r="A65" s="5" t="s">
        <v>2139</v>
      </c>
      <c r="B65" s="8">
        <f t="shared" ref="B65:K65" si="2">B62</f>
        <v>15750000</v>
      </c>
      <c r="C65" s="8">
        <f t="shared" si="2"/>
        <v>16380000</v>
      </c>
      <c r="D65" s="8">
        <f t="shared" si="2"/>
        <v>17035200.000000004</v>
      </c>
      <c r="E65" s="8">
        <f t="shared" si="2"/>
        <v>0</v>
      </c>
      <c r="F65" s="8">
        <f t="shared" si="2"/>
        <v>0</v>
      </c>
      <c r="G65" s="8">
        <f t="shared" si="2"/>
        <v>0</v>
      </c>
      <c r="H65" s="8">
        <f t="shared" si="2"/>
        <v>0</v>
      </c>
      <c r="I65" s="8">
        <f t="shared" si="2"/>
        <v>0</v>
      </c>
      <c r="J65" s="8">
        <f t="shared" si="2"/>
        <v>0</v>
      </c>
      <c r="K65" s="8">
        <f t="shared" si="2"/>
        <v>0</v>
      </c>
      <c r="L65" s="5"/>
      <c r="M65" s="5"/>
      <c r="N65" s="5"/>
      <c r="O65" s="5"/>
      <c r="P65" s="5"/>
      <c r="Q65" s="5"/>
      <c r="R65" s="5"/>
      <c r="S65" s="5"/>
      <c r="T65" s="5"/>
      <c r="U65" s="5"/>
      <c r="V65" s="5"/>
    </row>
    <row r="66" spans="1:22">
      <c r="A66" s="136" t="s">
        <v>2140</v>
      </c>
      <c r="B66" s="136">
        <f t="shared" ref="B66:K66" si="3">B63-B64+B65</f>
        <v>30534000</v>
      </c>
      <c r="C66" s="136">
        <f t="shared" si="3"/>
        <v>31755360</v>
      </c>
      <c r="D66" s="136">
        <f t="shared" si="3"/>
        <v>31976166.104063999</v>
      </c>
      <c r="E66" s="136">
        <f t="shared" si="3"/>
        <v>38537428.669808641</v>
      </c>
      <c r="F66" s="136">
        <f t="shared" si="3"/>
        <v>69853602.481838495</v>
      </c>
      <c r="G66" s="136">
        <f t="shared" si="3"/>
        <v>95056486.442021132</v>
      </c>
      <c r="H66" s="136">
        <f t="shared" si="3"/>
        <v>122163835.35504752</v>
      </c>
      <c r="I66" s="136">
        <f t="shared" si="3"/>
        <v>139169035.28602907</v>
      </c>
      <c r="J66" s="136">
        <f t="shared" si="3"/>
        <v>144735796.69747022</v>
      </c>
      <c r="K66" s="136">
        <f t="shared" si="3"/>
        <v>150525228.5653691</v>
      </c>
      <c r="L66" s="5"/>
      <c r="M66" s="5"/>
      <c r="N66" s="5"/>
      <c r="O66" s="5"/>
      <c r="P66" s="5"/>
      <c r="Q66" s="5"/>
      <c r="R66" s="5"/>
      <c r="S66" s="5"/>
      <c r="T66" s="5"/>
      <c r="U66" s="5"/>
      <c r="V66" s="5"/>
    </row>
    <row r="67" spans="1:22">
      <c r="A67" s="5"/>
      <c r="B67" s="5"/>
      <c r="C67" s="5"/>
      <c r="D67" s="5"/>
      <c r="E67" s="5"/>
      <c r="F67" s="5"/>
      <c r="G67" s="5"/>
      <c r="H67" s="5"/>
      <c r="I67" s="5"/>
      <c r="J67" s="5"/>
      <c r="K67" s="5"/>
      <c r="L67" s="5"/>
      <c r="M67" s="5"/>
      <c r="N67" s="5"/>
      <c r="O67" s="5"/>
      <c r="P67" s="5"/>
      <c r="Q67" s="5"/>
      <c r="R67" s="5"/>
      <c r="S67" s="5"/>
      <c r="T67" s="5"/>
      <c r="U67" s="5"/>
      <c r="V67" s="5"/>
    </row>
    <row r="68" spans="1:22">
      <c r="A68" s="5"/>
      <c r="B68" s="5"/>
      <c r="C68" s="5"/>
      <c r="D68" s="5"/>
      <c r="E68" s="5"/>
      <c r="F68" s="5"/>
      <c r="G68" s="5"/>
      <c r="H68" s="5"/>
      <c r="I68" s="5"/>
      <c r="J68" s="5"/>
      <c r="K68" s="5"/>
      <c r="L68" s="5"/>
      <c r="M68" s="5"/>
      <c r="N68" s="5"/>
      <c r="O68" s="5"/>
      <c r="P68" s="5"/>
      <c r="Q68" s="5"/>
      <c r="R68" s="5"/>
      <c r="S68" s="5"/>
      <c r="T68" s="5"/>
      <c r="U68" s="5"/>
      <c r="V68" s="5"/>
    </row>
    <row r="69" spans="1:22" ht="20" customHeight="1">
      <c r="A69" s="249" t="s">
        <v>2141</v>
      </c>
      <c r="B69" s="249"/>
      <c r="C69" s="249"/>
      <c r="D69" s="249"/>
      <c r="E69" s="249"/>
      <c r="F69" s="249"/>
      <c r="G69" s="249"/>
      <c r="H69" s="249"/>
      <c r="I69" s="249"/>
      <c r="J69" s="249"/>
      <c r="K69" s="249"/>
      <c r="L69" s="249"/>
      <c r="M69" s="5"/>
      <c r="N69" s="5"/>
      <c r="O69" s="5"/>
      <c r="P69" s="5"/>
      <c r="Q69" s="5"/>
      <c r="R69" s="5"/>
      <c r="S69" s="5"/>
      <c r="T69" s="5"/>
      <c r="U69" s="5"/>
      <c r="V69" s="5"/>
    </row>
    <row r="70" spans="1:22" ht="32" customHeight="1">
      <c r="A70" s="130" t="s">
        <v>1959</v>
      </c>
      <c r="B70" s="131" t="s">
        <v>1274</v>
      </c>
      <c r="C70" s="131" t="s">
        <v>440</v>
      </c>
      <c r="D70" s="131" t="s">
        <v>441</v>
      </c>
      <c r="E70" s="131" t="s">
        <v>442</v>
      </c>
      <c r="F70" s="131" t="s">
        <v>443</v>
      </c>
      <c r="G70" s="131" t="s">
        <v>444</v>
      </c>
      <c r="H70" s="131" t="s">
        <v>445</v>
      </c>
      <c r="I70" s="131" t="s">
        <v>446</v>
      </c>
      <c r="J70" s="131" t="s">
        <v>447</v>
      </c>
      <c r="K70" s="131" t="s">
        <v>448</v>
      </c>
      <c r="L70" s="132" t="s">
        <v>449</v>
      </c>
      <c r="M70" s="5"/>
      <c r="N70" s="5"/>
      <c r="O70" s="5"/>
      <c r="P70" s="5"/>
      <c r="Q70" s="5"/>
      <c r="R70" s="5"/>
      <c r="S70" s="5"/>
      <c r="T70" s="5"/>
      <c r="U70" s="5"/>
      <c r="V70" s="5"/>
    </row>
    <row r="71" spans="1:22">
      <c r="A71" s="5" t="s">
        <v>2142</v>
      </c>
      <c r="B71" s="8">
        <f>'17_Model_Fleksibel'!I6+'17_Model_Fleksibel'!M6</f>
        <v>594000000</v>
      </c>
      <c r="C71" s="8">
        <v>0</v>
      </c>
      <c r="D71" s="8">
        <v>0</v>
      </c>
      <c r="E71" s="8">
        <v>0</v>
      </c>
      <c r="F71" s="8">
        <v>0</v>
      </c>
      <c r="G71" s="8">
        <v>0</v>
      </c>
      <c r="H71" s="8">
        <v>0</v>
      </c>
      <c r="I71" s="8">
        <v>0</v>
      </c>
      <c r="J71" s="8">
        <v>0</v>
      </c>
      <c r="K71" s="8">
        <v>0</v>
      </c>
      <c r="L71" s="8">
        <v>0</v>
      </c>
      <c r="M71" s="5"/>
      <c r="N71" s="5"/>
      <c r="O71" s="5"/>
      <c r="P71" s="5"/>
      <c r="Q71" s="5"/>
      <c r="R71" s="5"/>
      <c r="S71" s="5"/>
      <c r="T71" s="5"/>
      <c r="U71" s="5"/>
      <c r="V71" s="5"/>
    </row>
    <row r="72" spans="1:22">
      <c r="A72" s="5" t="s">
        <v>2143</v>
      </c>
      <c r="B72" s="8"/>
      <c r="C72" s="8">
        <f>'17_Model_Fleksibel'!$P$23</f>
        <v>1458600000</v>
      </c>
      <c r="D72" s="8">
        <f>'17_Model_Fleksibel'!$Q$23</f>
        <v>924528000</v>
      </c>
      <c r="E72" s="8">
        <f>'17_Model_Fleksibel'!$R$23</f>
        <v>0</v>
      </c>
      <c r="F72" s="8">
        <f>'17_Model_Fleksibel'!$S$23</f>
        <v>0</v>
      </c>
      <c r="G72" s="8">
        <f>'17_Model_Fleksibel'!$T$23</f>
        <v>0</v>
      </c>
      <c r="H72" s="8">
        <f>'17_Model_Fleksibel'!$U$23</f>
        <v>0</v>
      </c>
      <c r="I72" s="8">
        <f>'17_Model_Fleksibel'!$V$23</f>
        <v>0</v>
      </c>
      <c r="J72" s="8">
        <f>'17_Model_Fleksibel'!$W$23</f>
        <v>0</v>
      </c>
      <c r="K72" s="8">
        <f>'17_Model_Fleksibel'!$X$23</f>
        <v>0</v>
      </c>
      <c r="L72" s="8">
        <f>'17_Model_Fleksibel'!$Y$23</f>
        <v>0</v>
      </c>
      <c r="M72" s="5"/>
      <c r="N72" s="5"/>
      <c r="O72" s="5"/>
      <c r="P72" s="5"/>
      <c r="Q72" s="5"/>
      <c r="R72" s="5"/>
      <c r="S72" s="5"/>
      <c r="T72" s="5"/>
      <c r="U72" s="5"/>
      <c r="V72" s="5"/>
    </row>
    <row r="73" spans="1:22">
      <c r="A73" s="5" t="s">
        <v>2144</v>
      </c>
      <c r="B73" s="8"/>
      <c r="C73" s="8">
        <f>'17_Model_Fleksibel'!$O$52</f>
        <v>149600000</v>
      </c>
      <c r="D73" s="8">
        <f>'17_Model_Fleksibel'!$P$52</f>
        <v>97240000</v>
      </c>
      <c r="E73" s="8">
        <f>'17_Model_Fleksibel'!$Q$52</f>
        <v>50564800.000000007</v>
      </c>
      <c r="F73" s="8">
        <f>'17_Model_Fleksibel'!$R$52</f>
        <v>0</v>
      </c>
      <c r="G73" s="8">
        <f>'17_Model_Fleksibel'!$S$52</f>
        <v>0</v>
      </c>
      <c r="H73" s="8">
        <f>'17_Model_Fleksibel'!$T$52</f>
        <v>0</v>
      </c>
      <c r="I73" s="8">
        <f>'17_Model_Fleksibel'!$U$52</f>
        <v>0</v>
      </c>
      <c r="J73" s="8">
        <f>'17_Model_Fleksibel'!$V$52</f>
        <v>0</v>
      </c>
      <c r="K73" s="8">
        <f>'17_Model_Fleksibel'!$W$52</f>
        <v>0</v>
      </c>
      <c r="L73" s="8">
        <f>'17_Model_Fleksibel'!$X$52</f>
        <v>0</v>
      </c>
      <c r="M73" s="5"/>
      <c r="N73" s="5"/>
      <c r="O73" s="5"/>
      <c r="P73" s="5"/>
      <c r="Q73" s="5"/>
      <c r="R73" s="5"/>
      <c r="S73" s="5"/>
      <c r="T73" s="5"/>
      <c r="U73" s="5"/>
      <c r="V73" s="5"/>
    </row>
    <row r="74" spans="1:22">
      <c r="A74" s="5" t="s">
        <v>2145</v>
      </c>
      <c r="B74" s="8"/>
      <c r="C74" s="8">
        <f>'17_Model_Fleksibel'!$N$57*'02_Assumptions'!$C$60*(1+'02_Assumptions'!$C$11)^0</f>
        <v>134640000</v>
      </c>
      <c r="D74" s="8">
        <f>'17_Model_Fleksibel'!$O$57*'02_Assumptions'!$C$60*(1+'02_Assumptions'!$C$11)^1</f>
        <v>186700800</v>
      </c>
      <c r="E74" s="8">
        <f>'17_Model_Fleksibel'!$P$57*'02_Assumptions'!$C$60*(1+'02_Assumptions'!$C$11)^2</f>
        <v>97084416.000000015</v>
      </c>
      <c r="F74" s="8">
        <f>'17_Model_Fleksibel'!$Q$57*'02_Assumptions'!$C$60*(1+'02_Assumptions'!$C$11)^3</f>
        <v>0</v>
      </c>
      <c r="G74" s="8">
        <f>'17_Model_Fleksibel'!$R$57*'02_Assumptions'!$C$60*(1+'02_Assumptions'!$C$11)^4</f>
        <v>0</v>
      </c>
      <c r="H74" s="8">
        <f>'17_Model_Fleksibel'!$S$57*'02_Assumptions'!$C$60*(1+'02_Assumptions'!$C$11)^5</f>
        <v>0</v>
      </c>
      <c r="I74" s="8">
        <f>'17_Model_Fleksibel'!$T$57*'02_Assumptions'!$C$60*(1+'02_Assumptions'!$C$11)^6</f>
        <v>0</v>
      </c>
      <c r="J74" s="8">
        <f>'17_Model_Fleksibel'!$U$57*'02_Assumptions'!$C$60*(1+'02_Assumptions'!$C$11)^7</f>
        <v>0</v>
      </c>
      <c r="K74" s="8">
        <f>'17_Model_Fleksibel'!$V$57*'02_Assumptions'!$C$60*(1+'02_Assumptions'!$C$11)^8</f>
        <v>0</v>
      </c>
      <c r="L74" s="8">
        <f>'17_Model_Fleksibel'!$W$57*'02_Assumptions'!$C$60*(1+'02_Assumptions'!$C$11)^9</f>
        <v>0</v>
      </c>
      <c r="M74" s="5"/>
      <c r="N74" s="5"/>
      <c r="O74" s="5"/>
      <c r="P74" s="5"/>
      <c r="Q74" s="5"/>
      <c r="R74" s="5"/>
      <c r="S74" s="5"/>
      <c r="T74" s="5"/>
      <c r="U74" s="5"/>
      <c r="V74" s="5"/>
    </row>
    <row r="75" spans="1:22">
      <c r="A75" s="5" t="s">
        <v>2146</v>
      </c>
      <c r="B75" s="8"/>
      <c r="C75" s="8">
        <f>'17_Model_Fleksibel'!$Z$35</f>
        <v>243100000</v>
      </c>
      <c r="D75" s="8">
        <f>'17_Model_Fleksibel'!$AA$35</f>
        <v>155584000</v>
      </c>
      <c r="E75" s="8">
        <f>'17_Model_Fleksibel'!$AB$35</f>
        <v>0</v>
      </c>
      <c r="F75" s="8">
        <f>'17_Model_Fleksibel'!$AC$35</f>
        <v>0</v>
      </c>
      <c r="G75" s="8">
        <f>'17_Model_Fleksibel'!$AD$35</f>
        <v>0</v>
      </c>
      <c r="H75" s="8">
        <f>'17_Model_Fleksibel'!$AE$35</f>
        <v>0</v>
      </c>
      <c r="I75" s="8">
        <f>'17_Model_Fleksibel'!$AF$35</f>
        <v>0</v>
      </c>
      <c r="J75" s="8">
        <f>'17_Model_Fleksibel'!$AG$35</f>
        <v>0</v>
      </c>
      <c r="K75" s="8">
        <f>'17_Model_Fleksibel'!$AH$35</f>
        <v>0</v>
      </c>
      <c r="L75" s="8">
        <f>'17_Model_Fleksibel'!$AI$35</f>
        <v>0</v>
      </c>
      <c r="M75" s="5"/>
      <c r="N75" s="5"/>
      <c r="O75" s="5"/>
      <c r="P75" s="5"/>
      <c r="Q75" s="5"/>
      <c r="R75" s="5"/>
      <c r="S75" s="5"/>
      <c r="T75" s="5"/>
      <c r="U75" s="5"/>
      <c r="V75" s="5"/>
    </row>
    <row r="76" spans="1:22">
      <c r="A76" s="136" t="s">
        <v>2147</v>
      </c>
      <c r="B76" s="136">
        <f>-B71</f>
        <v>-594000000</v>
      </c>
      <c r="C76" s="136">
        <f t="shared" ref="C76:L76" si="4">B76+C72-C73-C74-C75</f>
        <v>337260000</v>
      </c>
      <c r="D76" s="136">
        <f t="shared" si="4"/>
        <v>822263200</v>
      </c>
      <c r="E76" s="136">
        <f t="shared" si="4"/>
        <v>674613984</v>
      </c>
      <c r="F76" s="136">
        <f t="shared" si="4"/>
        <v>674613984</v>
      </c>
      <c r="G76" s="136">
        <f t="shared" si="4"/>
        <v>674613984</v>
      </c>
      <c r="H76" s="136">
        <f t="shared" si="4"/>
        <v>674613984</v>
      </c>
      <c r="I76" s="136">
        <f t="shared" si="4"/>
        <v>674613984</v>
      </c>
      <c r="J76" s="136">
        <f t="shared" si="4"/>
        <v>674613984</v>
      </c>
      <c r="K76" s="136">
        <f t="shared" si="4"/>
        <v>674613984</v>
      </c>
      <c r="L76" s="136">
        <f t="shared" si="4"/>
        <v>674613984</v>
      </c>
      <c r="M76" s="5"/>
      <c r="N76" s="5"/>
      <c r="O76" s="5"/>
      <c r="P76" s="5"/>
      <c r="Q76" s="5"/>
      <c r="R76" s="5"/>
      <c r="S76" s="5"/>
      <c r="T76" s="5"/>
      <c r="U76" s="5"/>
      <c r="V76" s="5"/>
    </row>
    <row r="77" spans="1:22">
      <c r="A77" s="5"/>
      <c r="B77" s="5"/>
      <c r="C77" s="5"/>
      <c r="D77" s="5"/>
      <c r="E77" s="5"/>
      <c r="F77" s="5"/>
      <c r="G77" s="5"/>
      <c r="H77" s="5"/>
      <c r="I77" s="5"/>
      <c r="J77" s="5"/>
      <c r="K77" s="5"/>
      <c r="L77" s="5"/>
      <c r="M77" s="5"/>
      <c r="N77" s="5"/>
      <c r="O77" s="5"/>
      <c r="P77" s="5"/>
      <c r="Q77" s="5"/>
      <c r="R77" s="5"/>
      <c r="S77" s="5"/>
      <c r="T77" s="5"/>
      <c r="U77" s="5"/>
      <c r="V77" s="5"/>
    </row>
    <row r="78" spans="1:22">
      <c r="A78" s="5"/>
      <c r="B78" s="5"/>
      <c r="C78" s="5"/>
      <c r="D78" s="5"/>
      <c r="E78" s="5"/>
      <c r="F78" s="5"/>
      <c r="G78" s="5"/>
      <c r="H78" s="5"/>
      <c r="I78" s="5"/>
      <c r="J78" s="5"/>
      <c r="K78" s="5"/>
      <c r="L78" s="5"/>
      <c r="M78" s="5"/>
      <c r="N78" s="5"/>
      <c r="O78" s="5"/>
      <c r="P78" s="5"/>
      <c r="Q78" s="5"/>
      <c r="R78" s="5"/>
      <c r="S78" s="5"/>
      <c r="T78" s="5"/>
      <c r="U78" s="5"/>
      <c r="V78" s="5"/>
    </row>
    <row r="79" spans="1:22" ht="32" customHeight="1">
      <c r="A79" s="130" t="s">
        <v>1358</v>
      </c>
      <c r="B79" s="131" t="s">
        <v>2148</v>
      </c>
      <c r="C79" s="131" t="s">
        <v>1360</v>
      </c>
      <c r="D79" s="131" t="s">
        <v>120</v>
      </c>
      <c r="E79" s="132" t="s">
        <v>140</v>
      </c>
      <c r="F79" s="5"/>
      <c r="G79" s="5"/>
      <c r="H79" s="5"/>
      <c r="I79" s="5"/>
      <c r="J79" s="5"/>
      <c r="K79" s="5"/>
      <c r="L79" s="5"/>
      <c r="M79" s="5"/>
      <c r="N79" s="5"/>
      <c r="O79" s="5"/>
      <c r="P79" s="5"/>
      <c r="Q79" s="5"/>
      <c r="R79" s="5"/>
      <c r="S79" s="5"/>
      <c r="T79" s="5"/>
      <c r="U79" s="5"/>
      <c r="V79" s="5"/>
    </row>
    <row r="80" spans="1:22">
      <c r="A80" s="5" t="s">
        <v>2149</v>
      </c>
      <c r="B80" s="5">
        <f>SUM(B54:K54)</f>
        <v>258123.35999999993</v>
      </c>
      <c r="C80" s="5" t="s">
        <v>2150</v>
      </c>
      <c r="D80" s="5" t="s">
        <v>2151</v>
      </c>
      <c r="E80" s="5" t="s">
        <v>2152</v>
      </c>
      <c r="F80" s="5"/>
      <c r="G80" s="5"/>
      <c r="H80" s="5"/>
      <c r="I80" s="5"/>
      <c r="J80" s="5"/>
      <c r="K80" s="5"/>
      <c r="L80" s="5"/>
      <c r="M80" s="5"/>
      <c r="N80" s="5"/>
      <c r="O80" s="5"/>
      <c r="P80" s="5"/>
      <c r="Q80" s="5"/>
      <c r="R80" s="5"/>
      <c r="S80" s="5"/>
      <c r="T80" s="5"/>
      <c r="U80" s="5"/>
      <c r="V80" s="5"/>
    </row>
    <row r="81" spans="1:22">
      <c r="A81" s="5" t="s">
        <v>2153</v>
      </c>
      <c r="B81" s="5">
        <f>SUM(B61:K61)</f>
        <v>18013515.881941024</v>
      </c>
      <c r="C81" s="5" t="s">
        <v>2154</v>
      </c>
      <c r="D81" s="5" t="s">
        <v>2151</v>
      </c>
      <c r="E81" s="5" t="s">
        <v>2155</v>
      </c>
      <c r="F81" s="5"/>
      <c r="G81" s="5"/>
      <c r="H81" s="5"/>
      <c r="I81" s="5"/>
      <c r="J81" s="5"/>
      <c r="K81" s="5"/>
      <c r="L81" s="5"/>
      <c r="M81" s="5"/>
      <c r="N81" s="5"/>
      <c r="O81" s="5"/>
      <c r="P81" s="5"/>
      <c r="Q81" s="5"/>
      <c r="R81" s="5"/>
      <c r="S81" s="5"/>
      <c r="T81" s="5"/>
      <c r="U81" s="5"/>
      <c r="V81" s="5"/>
    </row>
    <row r="82" spans="1:22">
      <c r="A82" s="5" t="s">
        <v>2156</v>
      </c>
      <c r="B82" s="5">
        <f>$A$14*$C$14</f>
        <v>0</v>
      </c>
      <c r="C82" s="5">
        <v>0</v>
      </c>
      <c r="D82" s="5" t="s">
        <v>2151</v>
      </c>
      <c r="E82" s="5" t="s">
        <v>2029</v>
      </c>
      <c r="F82" s="5"/>
      <c r="G82" s="5"/>
      <c r="H82" s="5"/>
      <c r="I82" s="5"/>
      <c r="J82" s="5"/>
      <c r="K82" s="5"/>
      <c r="L82" s="5"/>
      <c r="M82" s="5"/>
      <c r="N82" s="5"/>
      <c r="O82" s="5"/>
      <c r="P82" s="5"/>
      <c r="Q82" s="5"/>
      <c r="R82" s="5"/>
      <c r="S82" s="5"/>
      <c r="T82" s="5"/>
      <c r="U82" s="5"/>
      <c r="V82" s="5"/>
    </row>
    <row r="83" spans="1:22">
      <c r="A83" s="5"/>
      <c r="B83" s="5"/>
      <c r="C83" s="5"/>
      <c r="D83" s="5"/>
      <c r="E83" s="5"/>
      <c r="F83" s="5"/>
      <c r="G83" s="5"/>
      <c r="H83" s="5"/>
      <c r="I83" s="5"/>
      <c r="J83" s="5"/>
      <c r="K83" s="5"/>
      <c r="L83" s="5"/>
      <c r="M83" s="5"/>
      <c r="N83" s="5"/>
      <c r="O83" s="5"/>
      <c r="P83" s="5"/>
      <c r="Q83" s="5"/>
      <c r="R83" s="5"/>
      <c r="S83" s="5"/>
      <c r="T83" s="5"/>
      <c r="U83" s="5"/>
      <c r="V83" s="5"/>
    </row>
    <row r="84" spans="1:22">
      <c r="A84" s="5"/>
      <c r="B84" s="5"/>
      <c r="C84" s="5"/>
      <c r="D84" s="5"/>
      <c r="E84" s="5"/>
      <c r="F84" s="5"/>
      <c r="G84" s="5"/>
      <c r="H84" s="5"/>
      <c r="I84" s="5"/>
      <c r="J84" s="5"/>
      <c r="K84" s="5"/>
      <c r="L84" s="5"/>
      <c r="M84" s="5"/>
      <c r="N84" s="5"/>
      <c r="O84" s="5"/>
      <c r="P84" s="5"/>
      <c r="Q84" s="5"/>
      <c r="R84" s="5"/>
      <c r="S84" s="5"/>
      <c r="T84" s="5"/>
      <c r="U84" s="5"/>
      <c r="V84" s="5"/>
    </row>
    <row r="85" spans="1:22">
      <c r="A85" s="5"/>
      <c r="B85" s="5"/>
      <c r="C85" s="5"/>
      <c r="D85" s="5"/>
      <c r="E85" s="5"/>
      <c r="F85" s="5"/>
      <c r="G85" s="5"/>
      <c r="H85" s="5"/>
      <c r="I85" s="5"/>
      <c r="J85" s="5"/>
      <c r="K85" s="5"/>
      <c r="L85" s="5"/>
      <c r="M85" s="5"/>
      <c r="N85" s="5"/>
      <c r="O85" s="5"/>
      <c r="P85" s="5"/>
      <c r="Q85" s="5"/>
      <c r="R85" s="5"/>
      <c r="S85" s="5"/>
      <c r="T85" s="5"/>
      <c r="U85" s="5"/>
      <c r="V85" s="5"/>
    </row>
    <row r="86" spans="1:22">
      <c r="A86" s="5"/>
      <c r="B86" s="5"/>
      <c r="C86" s="5"/>
      <c r="D86" s="5"/>
      <c r="E86" s="5"/>
      <c r="F86" s="5"/>
      <c r="G86" s="5"/>
      <c r="H86" s="5"/>
      <c r="I86" s="5"/>
      <c r="J86" s="5"/>
      <c r="K86" s="5"/>
      <c r="L86" s="5"/>
      <c r="M86" s="5"/>
      <c r="N86" s="5"/>
      <c r="O86" s="5"/>
      <c r="P86" s="5"/>
      <c r="Q86" s="5"/>
      <c r="R86" s="5"/>
      <c r="S86" s="5"/>
      <c r="T86" s="5"/>
      <c r="U86" s="5"/>
      <c r="V86" s="5"/>
    </row>
    <row r="87" spans="1:22">
      <c r="A87" s="5"/>
      <c r="B87" s="5"/>
      <c r="C87" s="5"/>
      <c r="D87" s="5"/>
      <c r="E87" s="5"/>
      <c r="F87" s="5"/>
      <c r="G87" s="5"/>
      <c r="H87" s="5"/>
      <c r="I87" s="5"/>
      <c r="J87" s="5"/>
      <c r="K87" s="5"/>
      <c r="L87" s="5"/>
      <c r="M87" s="5"/>
      <c r="N87" s="5"/>
      <c r="O87" s="5"/>
      <c r="P87" s="5"/>
      <c r="Q87" s="5"/>
      <c r="R87" s="5"/>
      <c r="S87" s="5"/>
      <c r="T87" s="5"/>
      <c r="U87" s="5"/>
      <c r="V87" s="5"/>
    </row>
    <row r="88" spans="1:22">
      <c r="A88" s="5"/>
      <c r="B88" s="5"/>
      <c r="C88" s="5"/>
      <c r="D88" s="5"/>
      <c r="E88" s="5"/>
      <c r="F88" s="5"/>
      <c r="G88" s="5"/>
      <c r="H88" s="5"/>
      <c r="I88" s="5"/>
      <c r="J88" s="5"/>
      <c r="K88" s="5"/>
      <c r="L88" s="5"/>
      <c r="M88" s="5"/>
      <c r="N88" s="5"/>
      <c r="O88" s="5"/>
      <c r="P88" s="5"/>
      <c r="Q88" s="5"/>
      <c r="R88" s="5"/>
      <c r="S88" s="5"/>
      <c r="T88" s="5"/>
      <c r="U88" s="5"/>
      <c r="V88" s="5"/>
    </row>
    <row r="89" spans="1:22">
      <c r="A89" s="5"/>
      <c r="B89" s="5"/>
      <c r="C89" s="5"/>
      <c r="D89" s="5"/>
      <c r="E89" s="5"/>
      <c r="F89" s="5"/>
      <c r="G89" s="5"/>
      <c r="H89" s="5"/>
      <c r="I89" s="5"/>
      <c r="J89" s="5"/>
      <c r="K89" s="5"/>
      <c r="L89" s="5"/>
      <c r="M89" s="5"/>
      <c r="N89" s="5"/>
      <c r="O89" s="5"/>
      <c r="P89" s="5"/>
      <c r="Q89" s="5"/>
      <c r="R89" s="5"/>
      <c r="S89" s="5"/>
      <c r="T89" s="5"/>
      <c r="U89" s="5"/>
      <c r="V89" s="5"/>
    </row>
    <row r="90" spans="1:22">
      <c r="A90" s="5"/>
      <c r="B90" s="5"/>
      <c r="C90" s="5"/>
      <c r="D90" s="5"/>
      <c r="E90" s="5"/>
      <c r="F90" s="5"/>
      <c r="G90" s="5"/>
      <c r="H90" s="5"/>
      <c r="I90" s="5"/>
      <c r="J90" s="5"/>
      <c r="K90" s="5"/>
      <c r="L90" s="5"/>
      <c r="M90" s="5"/>
      <c r="N90" s="5"/>
      <c r="O90" s="5"/>
      <c r="P90" s="5"/>
      <c r="Q90" s="5"/>
      <c r="R90" s="5"/>
      <c r="S90" s="5"/>
      <c r="T90" s="5"/>
      <c r="U90" s="5"/>
      <c r="V90" s="5"/>
    </row>
    <row r="91" spans="1:22">
      <c r="A91" s="5"/>
      <c r="B91" s="5"/>
      <c r="C91" s="5"/>
      <c r="D91" s="5"/>
      <c r="E91" s="5"/>
      <c r="F91" s="5"/>
      <c r="G91" s="5"/>
      <c r="H91" s="5"/>
      <c r="I91" s="5"/>
      <c r="J91" s="5"/>
      <c r="K91" s="5"/>
      <c r="L91" s="5"/>
      <c r="M91" s="5"/>
      <c r="N91" s="5"/>
      <c r="O91" s="5"/>
      <c r="P91" s="5"/>
      <c r="Q91" s="5"/>
      <c r="R91" s="5"/>
      <c r="S91" s="5"/>
      <c r="T91" s="5"/>
      <c r="U91" s="5"/>
      <c r="V91" s="5"/>
    </row>
    <row r="92" spans="1:22">
      <c r="A92" s="5"/>
      <c r="B92" s="5"/>
      <c r="C92" s="5"/>
      <c r="D92" s="5"/>
      <c r="E92" s="5"/>
      <c r="F92" s="5"/>
      <c r="G92" s="5"/>
      <c r="H92" s="5"/>
      <c r="I92" s="5"/>
      <c r="J92" s="5"/>
      <c r="K92" s="5"/>
      <c r="L92" s="5"/>
      <c r="M92" s="5"/>
      <c r="N92" s="5"/>
      <c r="O92" s="5"/>
      <c r="P92" s="5"/>
      <c r="Q92" s="5"/>
      <c r="R92" s="5"/>
      <c r="S92" s="5"/>
      <c r="T92" s="5"/>
      <c r="U92" s="5"/>
      <c r="V92" s="5"/>
    </row>
    <row r="93" spans="1:22">
      <c r="A93" s="5"/>
      <c r="B93" s="5"/>
      <c r="C93" s="5"/>
      <c r="D93" s="5"/>
      <c r="E93" s="5"/>
      <c r="F93" s="5"/>
      <c r="G93" s="5"/>
      <c r="H93" s="5"/>
      <c r="I93" s="5"/>
      <c r="J93" s="5"/>
      <c r="K93" s="5"/>
      <c r="L93" s="5"/>
      <c r="M93" s="5"/>
      <c r="N93" s="5"/>
      <c r="O93" s="5"/>
      <c r="P93" s="5"/>
      <c r="Q93" s="5"/>
      <c r="R93" s="5"/>
      <c r="S93" s="5"/>
      <c r="T93" s="5"/>
      <c r="U93" s="5"/>
      <c r="V93" s="5"/>
    </row>
    <row r="94" spans="1:22">
      <c r="A94" s="5"/>
      <c r="B94" s="5"/>
      <c r="C94" s="5"/>
      <c r="D94" s="5"/>
      <c r="E94" s="5"/>
      <c r="F94" s="5"/>
      <c r="G94" s="5"/>
      <c r="H94" s="5"/>
      <c r="I94" s="5"/>
      <c r="J94" s="5"/>
      <c r="K94" s="5"/>
      <c r="L94" s="5"/>
      <c r="M94" s="5"/>
      <c r="N94" s="5"/>
      <c r="O94" s="5"/>
      <c r="P94" s="5"/>
      <c r="Q94" s="5"/>
      <c r="R94" s="5"/>
      <c r="S94" s="5"/>
      <c r="T94" s="5"/>
      <c r="U94" s="5"/>
      <c r="V94" s="5"/>
    </row>
    <row r="95" spans="1:22">
      <c r="A95" s="5"/>
      <c r="B95" s="5"/>
      <c r="C95" s="5"/>
      <c r="D95" s="5"/>
      <c r="E95" s="5"/>
      <c r="F95" s="5"/>
      <c r="G95" s="5"/>
      <c r="H95" s="5"/>
      <c r="I95" s="5"/>
      <c r="J95" s="5"/>
      <c r="K95" s="5"/>
      <c r="L95" s="5"/>
      <c r="M95" s="5"/>
      <c r="N95" s="5"/>
      <c r="O95" s="5"/>
      <c r="P95" s="5"/>
      <c r="Q95" s="5"/>
      <c r="R95" s="5"/>
      <c r="S95" s="5"/>
      <c r="T95" s="5"/>
      <c r="U95" s="5"/>
      <c r="V95" s="5"/>
    </row>
  </sheetData>
  <mergeCells count="9">
    <mergeCell ref="A38:H38"/>
    <mergeCell ref="J39:V46"/>
    <mergeCell ref="A49:L49"/>
    <mergeCell ref="A69:L69"/>
    <mergeCell ref="A1:V1"/>
    <mergeCell ref="A2:V2"/>
    <mergeCell ref="A4:H4"/>
    <mergeCell ref="J5:V15"/>
    <mergeCell ref="A18:H18"/>
  </mergeCells>
  <dataValidations count="1">
    <dataValidation type="list" sqref="A6:A15 A40:A46 A20:A35" xr:uid="{00000000-0002-0000-1400-000000000000}">
      <formula1>"0,1"</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90"/>
  <sheetViews>
    <sheetView showGridLines="0" workbookViewId="0">
      <selection sqref="A1:N1"/>
    </sheetView>
  </sheetViews>
  <sheetFormatPr defaultRowHeight="13.5"/>
  <cols>
    <col min="1" max="1" width="32" customWidth="1"/>
    <col min="2" max="2" width="17" customWidth="1"/>
    <col min="3" max="3" width="21" customWidth="1"/>
    <col min="4" max="4" width="30" customWidth="1"/>
    <col min="5" max="5" width="18" customWidth="1"/>
    <col min="6" max="6" width="36" customWidth="1"/>
    <col min="7" max="7" width="5" customWidth="1"/>
    <col min="8" max="8" width="12" customWidth="1"/>
    <col min="9" max="14" width="17" customWidth="1"/>
  </cols>
  <sheetData>
    <row r="1" spans="1:14" ht="28.05" customHeight="1">
      <c r="A1" s="290" t="s">
        <v>2157</v>
      </c>
      <c r="B1" s="290"/>
      <c r="C1" s="290"/>
      <c r="D1" s="290"/>
      <c r="E1" s="290"/>
      <c r="F1" s="290"/>
      <c r="G1" s="290"/>
      <c r="H1" s="290"/>
      <c r="I1" s="290"/>
      <c r="J1" s="290"/>
      <c r="K1" s="290"/>
      <c r="L1" s="290"/>
      <c r="M1" s="290"/>
      <c r="N1" s="290"/>
    </row>
    <row r="2" spans="1:14" ht="38" customHeight="1">
      <c r="A2" s="291" t="s">
        <v>2158</v>
      </c>
      <c r="B2" s="291"/>
      <c r="C2" s="291"/>
      <c r="D2" s="291"/>
      <c r="E2" s="291"/>
      <c r="F2" s="291"/>
      <c r="G2" s="291"/>
      <c r="H2" s="291"/>
      <c r="I2" s="291"/>
      <c r="J2" s="291"/>
      <c r="K2" s="291"/>
      <c r="L2" s="291"/>
      <c r="M2" s="291"/>
      <c r="N2" s="291"/>
    </row>
    <row r="3" spans="1:14">
      <c r="A3" s="5"/>
      <c r="B3" s="5"/>
      <c r="C3" s="5"/>
      <c r="D3" s="5"/>
      <c r="E3" s="5"/>
      <c r="F3" s="5"/>
      <c r="G3" s="5"/>
      <c r="H3" s="5"/>
      <c r="I3" s="5"/>
      <c r="J3" s="5"/>
      <c r="K3" s="5"/>
      <c r="L3" s="5"/>
      <c r="M3" s="5"/>
      <c r="N3" s="5"/>
    </row>
    <row r="4" spans="1:14" ht="20" customHeight="1">
      <c r="A4" s="249" t="s">
        <v>2159</v>
      </c>
      <c r="B4" s="249"/>
      <c r="C4" s="249"/>
      <c r="D4" s="249"/>
      <c r="E4" s="249"/>
      <c r="F4" s="249"/>
      <c r="G4" s="249"/>
      <c r="H4" s="249"/>
      <c r="I4" s="5"/>
      <c r="J4" s="5"/>
      <c r="K4" s="5"/>
      <c r="L4" s="5"/>
      <c r="M4" s="5"/>
      <c r="N4" s="5"/>
    </row>
    <row r="5" spans="1:14" ht="32" customHeight="1">
      <c r="A5" s="130" t="s">
        <v>82</v>
      </c>
      <c r="B5" s="131" t="s">
        <v>96</v>
      </c>
      <c r="C5" s="131" t="s">
        <v>2160</v>
      </c>
      <c r="D5" s="131" t="s">
        <v>98</v>
      </c>
      <c r="E5" s="132" t="s">
        <v>86</v>
      </c>
      <c r="F5" s="5"/>
      <c r="G5" s="294" t="str">
        <f>IF(C10&gt;0,IF(C11&gt;0,"HASIL: Untung nominal dan NPV positif pada tingkat diskonto.","HASIL: Untung nominal T10, tetapi NPV masih negatif pada 12%."),"HASIL: Belum mencapai untung nominal T10—ubah hanya penggerak yang dapat dibuktikan.")</f>
        <v>HASIL: Untung nominal T10, tetapi NPV masih negatif pada 12%.</v>
      </c>
      <c r="H5" s="294"/>
      <c r="I5" s="294"/>
      <c r="J5" s="294"/>
      <c r="K5" s="294"/>
      <c r="L5" s="294"/>
      <c r="M5" s="294"/>
      <c r="N5" s="294"/>
    </row>
    <row r="6" spans="1:14">
      <c r="A6" s="5" t="s">
        <v>100</v>
      </c>
      <c r="B6" s="8">
        <f>-'11_Cash_Flow'!B7</f>
        <v>15268150480</v>
      </c>
      <c r="C6" s="8">
        <f>B20</f>
        <v>14576030480</v>
      </c>
      <c r="D6" s="8">
        <f t="shared" ref="D6:D13" si="0">C6-B6</f>
        <v>-692120000</v>
      </c>
      <c r="E6" s="5" t="s">
        <v>2161</v>
      </c>
      <c r="F6" s="5"/>
      <c r="G6" s="294"/>
      <c r="H6" s="294"/>
      <c r="I6" s="294"/>
      <c r="J6" s="294"/>
      <c r="K6" s="294"/>
      <c r="L6" s="294"/>
      <c r="M6" s="294"/>
      <c r="N6" s="294"/>
    </row>
    <row r="7" spans="1:14">
      <c r="A7" s="5" t="s">
        <v>102</v>
      </c>
      <c r="B7" s="8">
        <f>-SUM('11_Cash_Flow'!B7:L7)</f>
        <v>15954280480</v>
      </c>
      <c r="C7" s="8">
        <f>SUM(B20:L20)</f>
        <v>15050790860.646183</v>
      </c>
      <c r="D7" s="8">
        <f t="shared" si="0"/>
        <v>-903489619.35381699</v>
      </c>
      <c r="E7" s="5" t="s">
        <v>2162</v>
      </c>
      <c r="F7" s="5"/>
      <c r="G7" s="294"/>
      <c r="H7" s="294"/>
      <c r="I7" s="294"/>
      <c r="J7" s="294"/>
      <c r="K7" s="294"/>
      <c r="L7" s="294"/>
      <c r="M7" s="294"/>
      <c r="N7" s="294"/>
    </row>
    <row r="8" spans="1:14">
      <c r="A8" s="5" t="s">
        <v>89</v>
      </c>
      <c r="B8" s="8">
        <f>SUM('09_OPEX_10Y'!B17:K17)</f>
        <v>48615696058.313675</v>
      </c>
      <c r="C8" s="8">
        <f>SUM(C19:L19)</f>
        <v>46681380905.593491</v>
      </c>
      <c r="D8" s="8">
        <f t="shared" si="0"/>
        <v>-1934315152.7201843</v>
      </c>
      <c r="E8" s="5" t="s">
        <v>2163</v>
      </c>
      <c r="F8" s="5"/>
      <c r="G8" s="294"/>
      <c r="H8" s="294"/>
      <c r="I8" s="294"/>
      <c r="J8" s="294"/>
      <c r="K8" s="294"/>
      <c r="L8" s="294"/>
      <c r="M8" s="294"/>
      <c r="N8" s="294"/>
    </row>
    <row r="9" spans="1:14">
      <c r="A9" s="5" t="s">
        <v>105</v>
      </c>
      <c r="B9" s="8">
        <f>SUM('10_Production_Revenue'!B21:K21)</f>
        <v>61685533700.258263</v>
      </c>
      <c r="C9" s="8">
        <f>SUM(C18:L18)</f>
        <v>63070168516.7668</v>
      </c>
      <c r="D9" s="8">
        <f t="shared" si="0"/>
        <v>1384634816.5085373</v>
      </c>
      <c r="E9" s="5" t="s">
        <v>2164</v>
      </c>
      <c r="F9" s="5"/>
      <c r="G9" s="294"/>
      <c r="H9" s="294"/>
      <c r="I9" s="294"/>
      <c r="J9" s="294"/>
      <c r="K9" s="294"/>
      <c r="L9" s="294"/>
      <c r="M9" s="294"/>
      <c r="N9" s="294"/>
    </row>
    <row r="10" spans="1:14">
      <c r="A10" s="5" t="s">
        <v>107</v>
      </c>
      <c r="B10" s="8">
        <f>'11_Cash_Flow'!L9</f>
        <v>-2884442838.0554104</v>
      </c>
      <c r="C10" s="8">
        <f>L22</f>
        <v>1337996750.5271311</v>
      </c>
      <c r="D10" s="8">
        <f t="shared" si="0"/>
        <v>4222439588.5825415</v>
      </c>
      <c r="E10" s="5" t="s">
        <v>2165</v>
      </c>
      <c r="F10" s="5"/>
      <c r="G10" s="294"/>
      <c r="H10" s="294"/>
      <c r="I10" s="294"/>
      <c r="J10" s="294"/>
      <c r="K10" s="294"/>
      <c r="L10" s="294"/>
      <c r="M10" s="294"/>
      <c r="N10" s="294"/>
    </row>
    <row r="11" spans="1:14">
      <c r="A11" s="5" t="s">
        <v>2166</v>
      </c>
      <c r="B11" s="8">
        <f>'11_Cash_Flow'!B16</f>
        <v>-11872484841.475689</v>
      </c>
      <c r="C11" s="8">
        <f>SUM(B24:L24)</f>
        <v>-9409726636.8802471</v>
      </c>
      <c r="D11" s="8">
        <f t="shared" si="0"/>
        <v>2462758204.5954418</v>
      </c>
      <c r="E11" s="5" t="s">
        <v>2167</v>
      </c>
      <c r="F11" s="5"/>
      <c r="G11" s="294"/>
      <c r="H11" s="294"/>
      <c r="I11" s="294"/>
      <c r="J11" s="294"/>
      <c r="K11" s="294"/>
      <c r="L11" s="294"/>
      <c r="M11" s="294"/>
      <c r="N11" s="294"/>
    </row>
    <row r="12" spans="1:14">
      <c r="A12" s="5" t="s">
        <v>111</v>
      </c>
      <c r="B12" s="7">
        <f>'11_Cash_Flow'!B17</f>
        <v>-1.9621503830022591E-2</v>
      </c>
      <c r="C12" s="7">
        <f>IFERROR(IRR(B21:L21),"Tidak terhitung")</f>
        <v>9.0613450341601176E-3</v>
      </c>
      <c r="D12" s="7">
        <f t="shared" si="0"/>
        <v>2.8682848864182708E-2</v>
      </c>
      <c r="E12" s="5" t="s">
        <v>2168</v>
      </c>
      <c r="F12" s="5"/>
      <c r="G12" s="294"/>
      <c r="H12" s="294"/>
      <c r="I12" s="294"/>
      <c r="J12" s="294"/>
      <c r="K12" s="294"/>
      <c r="L12" s="294"/>
      <c r="M12" s="294"/>
      <c r="N12" s="294"/>
    </row>
    <row r="13" spans="1:14">
      <c r="A13" s="5" t="s">
        <v>93</v>
      </c>
      <c r="B13" s="8">
        <f>'11_Cash_Flow'!B19</f>
        <v>19597093126.601765</v>
      </c>
      <c r="C13" s="8">
        <f>-MIN(B22:L22)</f>
        <v>17456171335.338364</v>
      </c>
      <c r="D13" s="8">
        <f t="shared" si="0"/>
        <v>-2140921791.263401</v>
      </c>
      <c r="E13" s="5" t="s">
        <v>2169</v>
      </c>
      <c r="F13" s="5"/>
      <c r="G13" s="294"/>
      <c r="H13" s="294"/>
      <c r="I13" s="294"/>
      <c r="J13" s="294"/>
      <c r="K13" s="294"/>
      <c r="L13" s="294"/>
      <c r="M13" s="294"/>
      <c r="N13" s="294"/>
    </row>
    <row r="14" spans="1:14">
      <c r="A14" s="5" t="s">
        <v>114</v>
      </c>
      <c r="B14" s="72" t="str">
        <f>'11_Cash_Flow'!B18</f>
        <v>Beyond Y10</v>
      </c>
      <c r="C14" s="72">
        <f>IF(B22&gt;=0,0,IF(C22&gt;=0,1,IF(D22&gt;=0,2,IF(E22&gt;=0,3,IF(F22&gt;=0,4,IF(G22&gt;=0,5,IF(H22&gt;=0,6,IF(I22&gt;=0,7,IF(J22&gt;=0,8,IF(K22&gt;=0,9,IF(L22&gt;=0,10,"Lewat T10")))))))))))</f>
        <v>10</v>
      </c>
      <c r="D14" s="72" t="str">
        <f>IFERROR(C14-B14,"-")</f>
        <v>-</v>
      </c>
      <c r="E14" s="5" t="s">
        <v>2170</v>
      </c>
      <c r="F14" s="5"/>
      <c r="G14" s="294"/>
      <c r="H14" s="294"/>
      <c r="I14" s="294"/>
      <c r="J14" s="294"/>
      <c r="K14" s="294"/>
      <c r="L14" s="294"/>
      <c r="M14" s="294"/>
      <c r="N14" s="294"/>
    </row>
    <row r="15" spans="1:14">
      <c r="A15" s="5"/>
      <c r="B15" s="5"/>
      <c r="C15" s="5"/>
      <c r="D15" s="5"/>
      <c r="E15" s="5"/>
      <c r="F15" s="5"/>
      <c r="G15" s="5"/>
      <c r="H15" s="5"/>
      <c r="I15" s="5"/>
      <c r="J15" s="5"/>
      <c r="K15" s="5"/>
      <c r="L15" s="5"/>
      <c r="M15" s="5"/>
      <c r="N15" s="5"/>
    </row>
    <row r="16" spans="1:14" ht="20" customHeight="1">
      <c r="A16" s="249" t="s">
        <v>2171</v>
      </c>
      <c r="B16" s="249"/>
      <c r="C16" s="249"/>
      <c r="D16" s="249"/>
      <c r="E16" s="249"/>
      <c r="F16" s="249"/>
      <c r="G16" s="249"/>
      <c r="H16" s="249"/>
      <c r="I16" s="249"/>
      <c r="J16" s="249"/>
      <c r="K16" s="249"/>
      <c r="L16" s="249"/>
      <c r="M16" s="5"/>
      <c r="N16" s="5"/>
    </row>
    <row r="17" spans="1:14" ht="32" customHeight="1">
      <c r="A17" s="130" t="s">
        <v>1959</v>
      </c>
      <c r="B17" s="131" t="s">
        <v>1274</v>
      </c>
      <c r="C17" s="131" t="s">
        <v>440</v>
      </c>
      <c r="D17" s="131" t="s">
        <v>441</v>
      </c>
      <c r="E17" s="131" t="s">
        <v>442</v>
      </c>
      <c r="F17" s="131" t="s">
        <v>443</v>
      </c>
      <c r="G17" s="131" t="s">
        <v>444</v>
      </c>
      <c r="H17" s="131" t="s">
        <v>445</v>
      </c>
      <c r="I17" s="131" t="s">
        <v>446</v>
      </c>
      <c r="J17" s="131" t="s">
        <v>447</v>
      </c>
      <c r="K17" s="131" t="s">
        <v>448</v>
      </c>
      <c r="L17" s="132" t="s">
        <v>449</v>
      </c>
      <c r="M17" s="5"/>
      <c r="N17" s="5"/>
    </row>
    <row r="18" spans="1:14">
      <c r="A18" s="5" t="s">
        <v>2172</v>
      </c>
      <c r="B18" s="8">
        <v>0</v>
      </c>
      <c r="C18" s="8">
        <f>'10_Production_Revenue'!$B$21+'21_Pendapatan_Tambahan'!$B$63</f>
        <v>5263368000</v>
      </c>
      <c r="D18" s="8">
        <f>'10_Production_Revenue'!$C$21+'21_Pendapatan_Tambahan'!$C$63</f>
        <v>4844326080</v>
      </c>
      <c r="E18" s="8">
        <f>'10_Production_Revenue'!$D$21+'21_Pendapatan_Tambahan'!$D$63</f>
        <v>3387471540.7304635</v>
      </c>
      <c r="F18" s="8">
        <f>'10_Production_Revenue'!$E$21+'21_Pendapatan_Tambahan'!$E$63</f>
        <v>2703531428.3732724</v>
      </c>
      <c r="G18" s="8">
        <f>'10_Production_Revenue'!$F$21+'21_Pendapatan_Tambahan'!$F$63</f>
        <v>3215543572.1648746</v>
      </c>
      <c r="H18" s="8">
        <f>'10_Production_Revenue'!$G$21+'21_Pendapatan_Tambahan'!$G$63</f>
        <v>4580414558.0212154</v>
      </c>
      <c r="I18" s="8">
        <f>'10_Production_Revenue'!$H$21+'21_Pendapatan_Tambahan'!$H$63</f>
        <v>6668858680.4848833</v>
      </c>
      <c r="J18" s="8">
        <f>'10_Production_Revenue'!$I$21+'21_Pendapatan_Tambahan'!$I$63</f>
        <v>8858628473.9482346</v>
      </c>
      <c r="K18" s="8">
        <f>'10_Production_Revenue'!$J$21+'21_Pendapatan_Tambahan'!$J$63</f>
        <v>10917408329.867287</v>
      </c>
      <c r="L18" s="8">
        <f>'10_Production_Revenue'!$K$21+'21_Pendapatan_Tambahan'!$K$63</f>
        <v>12630617853.176571</v>
      </c>
      <c r="M18" s="5"/>
      <c r="N18" s="5"/>
    </row>
    <row r="19" spans="1:14">
      <c r="A19" s="5" t="s">
        <v>2173</v>
      </c>
      <c r="B19" s="8">
        <v>0</v>
      </c>
      <c r="C19" s="8">
        <f>MAX(0,'09_OPEX_10Y'!$B$17+'21_Pendapatan_Tambahan'!$B$64-'21_Pendapatan_Tambahan'!$B$65-'20_Operasi_Efisien'!$C$68+'20_Operasi_Efisien'!$C$67)</f>
        <v>4892418100</v>
      </c>
      <c r="D19" s="8">
        <f>MAX(0,'09_OPEX_10Y'!$C$17+'21_Pendapatan_Tambahan'!$C$64-'21_Pendapatan_Tambahan'!$C$65-'20_Operasi_Efisien'!$D$68+'20_Operasi_Efisien'!$D$67)</f>
        <v>4881120034.3359995</v>
      </c>
      <c r="E19" s="8">
        <f>MAX(0,'09_OPEX_10Y'!$D$17+'21_Pendapatan_Tambahan'!$D$64-'21_Pendapatan_Tambahan'!$D$65-'20_Operasi_Efisien'!$E$68+'20_Operasi_Efisien'!$E$67)</f>
        <v>4181436520.1024008</v>
      </c>
      <c r="F19" s="8">
        <f>MAX(0,'09_OPEX_10Y'!$E$17+'21_Pendapatan_Tambahan'!$E$64-'21_Pendapatan_Tambahan'!$E$65-'20_Operasi_Efisien'!$F$68+'20_Operasi_Efisien'!$F$67)</f>
        <v>3977236488.6691842</v>
      </c>
      <c r="G19" s="8">
        <f>MAX(0,'09_OPEX_10Y'!$F$17+'21_Pendapatan_Tambahan'!$F$64-'21_Pendapatan_Tambahan'!$F$65-'20_Operasi_Efisien'!$G$68+'20_Operasi_Efisien'!$G$67)</f>
        <v>4040032777.3777914</v>
      </c>
      <c r="H19" s="8">
        <f>MAX(0,'09_OPEX_10Y'!$G$17+'21_Pendapatan_Tambahan'!$G$64-'21_Pendapatan_Tambahan'!$G$65-'20_Operasi_Efisien'!$H$68+'20_Operasi_Efisien'!$H$67)</f>
        <v>4344701259.5553026</v>
      </c>
      <c r="I19" s="8">
        <f>MAX(0,'09_OPEX_10Y'!$H$17+'21_Pendapatan_Tambahan'!$H$64-'21_Pendapatan_Tambahan'!$H$65-'20_Operasi_Efisien'!$I$68+'20_Operasi_Efisien'!$I$67)</f>
        <v>4593020407.4718542</v>
      </c>
      <c r="J19" s="8">
        <f>MAX(0,'09_OPEX_10Y'!$I$17+'21_Pendapatan_Tambahan'!$I$64-'21_Pendapatan_Tambahan'!$I$65-'20_Operasi_Efisien'!$J$68+'20_Operasi_Efisien'!$J$67)</f>
        <v>5004079447.7189856</v>
      </c>
      <c r="K19" s="8">
        <f>MAX(0,'09_OPEX_10Y'!$J$17+'21_Pendapatan_Tambahan'!$J$64-'21_Pendapatan_Tambahan'!$J$65-'20_Operasi_Efisien'!$K$68+'20_Operasi_Efisien'!$K$67)</f>
        <v>5196465595.1419115</v>
      </c>
      <c r="L19" s="8">
        <f>MAX(0,'09_OPEX_10Y'!$K$17+'21_Pendapatan_Tambahan'!$K$64-'21_Pendapatan_Tambahan'!$K$65-'20_Operasi_Efisien'!$L$68+'20_Operasi_Efisien'!$L$67)</f>
        <v>5570870275.2200565</v>
      </c>
      <c r="M19" s="5"/>
      <c r="N19" s="5"/>
    </row>
    <row r="20" spans="1:14">
      <c r="A20" s="5" t="s">
        <v>2174</v>
      </c>
      <c r="B20" s="8">
        <f>MAX(0,-'11_Cash_Flow'!$B$7-('20_Operasi_Efisien'!$B$63+'20_Operasi_Efisien'!$B$64)*(1+'02_Assumptions'!$C$14)+('20_Operasi_Efisien'!$B$65+'21_Pendapatan_Tambahan'!$A$32*'21_Pendapatan_Tambahan'!$C$32)*(1+'02_Assumptions'!$C$14))</f>
        <v>14576030480</v>
      </c>
      <c r="C20" s="8">
        <f>MAX(0,0-'20_Operasi_Efisien'!$C$66)</f>
        <v>0</v>
      </c>
      <c r="D20" s="8">
        <f>MAX(0,0-'20_Operasi_Efisien'!$D$66)</f>
        <v>0</v>
      </c>
      <c r="E20" s="8">
        <f>MAX(0,0-'20_Operasi_Efisien'!$E$66)</f>
        <v>0</v>
      </c>
      <c r="F20" s="8">
        <f>MAX(0,0-'20_Operasi_Efisien'!$F$66)</f>
        <v>0</v>
      </c>
      <c r="G20" s="8">
        <f>MAX(0,-'11_Cash_Flow'!G7-'20_Operasi_Efisien'!$G$66)</f>
        <v>322137556.12159997</v>
      </c>
      <c r="H20" s="8">
        <f>MAX(0,0-'20_Operasi_Efisien'!$H$66)</f>
        <v>0</v>
      </c>
      <c r="I20" s="8">
        <f>MAX(0,0-'20_Operasi_Efisien'!$I$66)</f>
        <v>0</v>
      </c>
      <c r="J20" s="8">
        <f>MAX(0,-'11_Cash_Flow'!J7-'20_Operasi_Efisien'!$J$66)</f>
        <v>152622824.5245837</v>
      </c>
      <c r="K20" s="8">
        <f>MAX(0,0-'20_Operasi_Efisien'!$K$66)</f>
        <v>0</v>
      </c>
      <c r="L20" s="8">
        <f>MAX(0,0-'20_Operasi_Efisien'!$L$66)</f>
        <v>0</v>
      </c>
      <c r="M20" s="5"/>
      <c r="N20" s="5"/>
    </row>
    <row r="21" spans="1:14">
      <c r="A21" s="141" t="s">
        <v>1277</v>
      </c>
      <c r="B21" s="141">
        <f>-B20</f>
        <v>-14576030480</v>
      </c>
      <c r="C21" s="141">
        <f t="shared" ref="C21:L21" si="1">C18-C19-C20</f>
        <v>370949900</v>
      </c>
      <c r="D21" s="141">
        <f t="shared" si="1"/>
        <v>-36793954.335999489</v>
      </c>
      <c r="E21" s="141">
        <f t="shared" si="1"/>
        <v>-793964979.37193727</v>
      </c>
      <c r="F21" s="141">
        <f t="shared" si="1"/>
        <v>-1273705060.2959118</v>
      </c>
      <c r="G21" s="141">
        <f t="shared" si="1"/>
        <v>-1146626761.3345168</v>
      </c>
      <c r="H21" s="141">
        <f t="shared" si="1"/>
        <v>235713298.46591282</v>
      </c>
      <c r="I21" s="141">
        <f t="shared" si="1"/>
        <v>2075838273.0130291</v>
      </c>
      <c r="J21" s="141">
        <f t="shared" si="1"/>
        <v>3701926201.7046652</v>
      </c>
      <c r="K21" s="141">
        <f t="shared" si="1"/>
        <v>5720942734.7253752</v>
      </c>
      <c r="L21" s="141">
        <f t="shared" si="1"/>
        <v>7059747577.9565144</v>
      </c>
      <c r="M21" s="5"/>
      <c r="N21" s="5"/>
    </row>
    <row r="22" spans="1:14">
      <c r="A22" s="142" t="s">
        <v>2175</v>
      </c>
      <c r="B22" s="142">
        <f>B21</f>
        <v>-14576030480</v>
      </c>
      <c r="C22" s="142">
        <f t="shared" ref="C22:L22" si="2">B22+C21</f>
        <v>-14205080580</v>
      </c>
      <c r="D22" s="142">
        <f t="shared" si="2"/>
        <v>-14241874534.335999</v>
      </c>
      <c r="E22" s="142">
        <f t="shared" si="2"/>
        <v>-15035839513.707935</v>
      </c>
      <c r="F22" s="142">
        <f t="shared" si="2"/>
        <v>-16309544574.003847</v>
      </c>
      <c r="G22" s="142">
        <f t="shared" si="2"/>
        <v>-17456171335.338364</v>
      </c>
      <c r="H22" s="142">
        <f t="shared" si="2"/>
        <v>-17220458036.872452</v>
      </c>
      <c r="I22" s="142">
        <f t="shared" si="2"/>
        <v>-15144619763.859423</v>
      </c>
      <c r="J22" s="142">
        <f t="shared" si="2"/>
        <v>-11442693562.154758</v>
      </c>
      <c r="K22" s="142">
        <f t="shared" si="2"/>
        <v>-5721750827.4293833</v>
      </c>
      <c r="L22" s="142">
        <f t="shared" si="2"/>
        <v>1337996750.5271311</v>
      </c>
      <c r="M22" s="5"/>
      <c r="N22" s="5"/>
    </row>
    <row r="23" spans="1:14">
      <c r="A23" s="5" t="s">
        <v>1278</v>
      </c>
      <c r="B23" s="13">
        <v>1</v>
      </c>
      <c r="C23" s="13">
        <f>1/(1+'02_Assumptions'!$C$13)^1</f>
        <v>0.89285714285714279</v>
      </c>
      <c r="D23" s="13">
        <f>1/(1+'02_Assumptions'!$C$13)^2</f>
        <v>0.79719387755102034</v>
      </c>
      <c r="E23" s="13">
        <f>1/(1+'02_Assumptions'!$C$13)^3</f>
        <v>0.71178024781341087</v>
      </c>
      <c r="F23" s="13">
        <f>1/(1+'02_Assumptions'!$C$13)^4</f>
        <v>0.63551807840483121</v>
      </c>
      <c r="G23" s="13">
        <f>1/(1+'02_Assumptions'!$C$13)^5</f>
        <v>0.56742685571859919</v>
      </c>
      <c r="H23" s="13">
        <f>1/(1+'02_Assumptions'!$C$13)^6</f>
        <v>0.50663112117732068</v>
      </c>
      <c r="I23" s="13">
        <f>1/(1+'02_Assumptions'!$C$13)^7</f>
        <v>0.45234921533689343</v>
      </c>
      <c r="J23" s="13">
        <f>1/(1+'02_Assumptions'!$C$13)^8</f>
        <v>0.4038832279793691</v>
      </c>
      <c r="K23" s="13">
        <f>1/(1+'02_Assumptions'!$C$13)^9</f>
        <v>0.36061002498157957</v>
      </c>
      <c r="L23" s="13">
        <f>1/(1+'02_Assumptions'!$C$13)^10</f>
        <v>0.32197323659069599</v>
      </c>
      <c r="M23" s="5"/>
      <c r="N23" s="5"/>
    </row>
    <row r="24" spans="1:14">
      <c r="A24" s="136" t="s">
        <v>2176</v>
      </c>
      <c r="B24" s="136">
        <f t="shared" ref="B24:L24" si="3">B21*B23</f>
        <v>-14576030480</v>
      </c>
      <c r="C24" s="136">
        <f t="shared" si="3"/>
        <v>331205267.85714281</v>
      </c>
      <c r="D24" s="136">
        <f t="shared" si="3"/>
        <v>-29331915.127550609</v>
      </c>
      <c r="E24" s="136">
        <f t="shared" si="3"/>
        <v>-565128589.77252722</v>
      </c>
      <c r="F24" s="136">
        <f t="shared" si="3"/>
        <v>-809462592.3737675</v>
      </c>
      <c r="G24" s="136">
        <f t="shared" si="3"/>
        <v>-650626817.86684549</v>
      </c>
      <c r="H24" s="136">
        <f t="shared" si="3"/>
        <v>119419692.67818983</v>
      </c>
      <c r="I24" s="136">
        <f t="shared" si="3"/>
        <v>939003813.9637357</v>
      </c>
      <c r="J24" s="136">
        <f t="shared" si="3"/>
        <v>1495145904.0858853</v>
      </c>
      <c r="K24" s="136">
        <f t="shared" si="3"/>
        <v>2063029302.4875038</v>
      </c>
      <c r="L24" s="136">
        <f t="shared" si="3"/>
        <v>2273049777.1879859</v>
      </c>
      <c r="M24" s="5"/>
      <c r="N24" s="5"/>
    </row>
    <row r="25" spans="1:14">
      <c r="A25" s="5"/>
      <c r="B25" s="5"/>
      <c r="C25" s="5"/>
      <c r="D25" s="5"/>
      <c r="E25" s="5"/>
      <c r="F25" s="5"/>
      <c r="G25" s="5"/>
      <c r="H25" s="5"/>
      <c r="I25" s="5"/>
      <c r="J25" s="5"/>
      <c r="K25" s="5"/>
      <c r="L25" s="5"/>
      <c r="M25" s="5"/>
      <c r="N25" s="5"/>
    </row>
    <row r="26" spans="1:14">
      <c r="A26" s="5"/>
      <c r="B26" s="5"/>
      <c r="C26" s="5"/>
      <c r="D26" s="5"/>
      <c r="E26" s="5"/>
      <c r="F26" s="5"/>
      <c r="G26" s="5"/>
      <c r="H26" s="5"/>
      <c r="I26" s="5"/>
      <c r="J26" s="5"/>
      <c r="K26" s="5"/>
      <c r="L26" s="5"/>
      <c r="M26" s="5"/>
      <c r="N26" s="5"/>
    </row>
    <row r="27" spans="1:14" ht="20" customHeight="1">
      <c r="A27" s="249" t="s">
        <v>2177</v>
      </c>
      <c r="B27" s="249"/>
      <c r="C27" s="249"/>
      <c r="D27" s="249"/>
      <c r="E27" s="249"/>
      <c r="F27" s="249"/>
      <c r="G27" s="249"/>
      <c r="H27" s="249" t="s">
        <v>67</v>
      </c>
      <c r="I27" s="249" t="s">
        <v>2178</v>
      </c>
      <c r="J27" s="249" t="s">
        <v>97</v>
      </c>
      <c r="K27" s="249"/>
      <c r="L27" s="249"/>
      <c r="M27" s="5"/>
      <c r="N27" s="5"/>
    </row>
    <row r="28" spans="1:14" ht="32" customHeight="1">
      <c r="A28" s="130" t="s">
        <v>2179</v>
      </c>
      <c r="B28" s="131" t="s">
        <v>2180</v>
      </c>
      <c r="C28" s="131" t="s">
        <v>2181</v>
      </c>
      <c r="D28" s="131" t="s">
        <v>2182</v>
      </c>
      <c r="E28" s="131" t="s">
        <v>2183</v>
      </c>
      <c r="F28" s="132" t="s">
        <v>2184</v>
      </c>
      <c r="G28" s="5"/>
      <c r="H28" s="5">
        <v>0</v>
      </c>
      <c r="I28" s="5">
        <f>'11_Cash_Flow'!B9</f>
        <v>-15268150480</v>
      </c>
      <c r="J28" s="5">
        <f>$B$22</f>
        <v>-14576030480</v>
      </c>
      <c r="K28" s="5"/>
      <c r="L28" s="5"/>
      <c r="M28" s="5"/>
      <c r="N28" s="5"/>
    </row>
    <row r="29" spans="1:14">
      <c r="A29" s="5" t="s">
        <v>2185</v>
      </c>
      <c r="B29" s="8">
        <f>'21_Pendapatan_Tambahan'!L76</f>
        <v>674613984</v>
      </c>
      <c r="C29" s="5" t="s">
        <v>2186</v>
      </c>
      <c r="D29" s="5" t="s">
        <v>2187</v>
      </c>
      <c r="E29" s="5" t="s">
        <v>473</v>
      </c>
      <c r="F29" s="5" t="s">
        <v>2188</v>
      </c>
      <c r="G29" s="5"/>
      <c r="H29" s="5">
        <v>1</v>
      </c>
      <c r="I29" s="5">
        <f>'11_Cash_Flow'!C9</f>
        <v>-14980440580</v>
      </c>
      <c r="J29" s="5">
        <f>$C$22</f>
        <v>-14205080580</v>
      </c>
      <c r="K29" s="5"/>
      <c r="L29" s="5"/>
      <c r="M29" s="5"/>
      <c r="N29" s="5"/>
    </row>
    <row r="30" spans="1:14">
      <c r="A30" s="5" t="s">
        <v>2189</v>
      </c>
      <c r="B30" s="8">
        <f>SUM('20_Operasi_Efisien'!B58:L58)</f>
        <v>967104959.13926768</v>
      </c>
      <c r="C30" s="5" t="s">
        <v>2190</v>
      </c>
      <c r="D30" s="5" t="s">
        <v>2191</v>
      </c>
      <c r="E30" s="5" t="s">
        <v>473</v>
      </c>
      <c r="F30" s="5" t="s">
        <v>2192</v>
      </c>
      <c r="G30" s="5"/>
      <c r="H30" s="5">
        <v>2</v>
      </c>
      <c r="I30" s="5">
        <f>'11_Cash_Flow'!D9</f>
        <v>-15219968119.936001</v>
      </c>
      <c r="J30" s="5">
        <f>$D$22</f>
        <v>-14241874534.335999</v>
      </c>
      <c r="K30" s="5"/>
      <c r="L30" s="5"/>
      <c r="M30" s="5"/>
      <c r="N30" s="5"/>
    </row>
    <row r="31" spans="1:14">
      <c r="A31" s="5" t="s">
        <v>2193</v>
      </c>
      <c r="B31" s="8">
        <f>SUM('20_Operasi_Efisien'!B39:K39)</f>
        <v>780955990.75513291</v>
      </c>
      <c r="C31" s="5" t="s">
        <v>2194</v>
      </c>
      <c r="D31" s="5" t="s">
        <v>2195</v>
      </c>
      <c r="E31" s="5" t="s">
        <v>473</v>
      </c>
      <c r="F31" s="5" t="s">
        <v>2196</v>
      </c>
      <c r="G31" s="5"/>
      <c r="H31" s="5">
        <v>3</v>
      </c>
      <c r="I31" s="5">
        <f>'11_Cash_Flow'!E9</f>
        <v>-16275658573.252003</v>
      </c>
      <c r="J31" s="5">
        <f>$E$22</f>
        <v>-15035839513.707935</v>
      </c>
      <c r="K31" s="5"/>
      <c r="L31" s="5"/>
      <c r="M31" s="5"/>
      <c r="N31" s="5"/>
    </row>
    <row r="32" spans="1:14">
      <c r="A32" s="5" t="s">
        <v>2197</v>
      </c>
      <c r="B32" s="8">
        <f>SUM('20_Operasi_Efisien'!B35:K35)-'20_Operasi_Efisien'!C24</f>
        <v>367972548.41408163</v>
      </c>
      <c r="C32" s="5" t="s">
        <v>2198</v>
      </c>
      <c r="D32" s="5" t="s">
        <v>2199</v>
      </c>
      <c r="E32" s="5" t="s">
        <v>473</v>
      </c>
      <c r="F32" s="5" t="s">
        <v>2200</v>
      </c>
      <c r="G32" s="5"/>
      <c r="H32" s="5">
        <v>4</v>
      </c>
      <c r="I32" s="5">
        <f>'11_Cash_Flow'!F9</f>
        <v>-17831429011.335163</v>
      </c>
      <c r="J32" s="5">
        <f>$F$22</f>
        <v>-16309544574.003847</v>
      </c>
      <c r="K32" s="5"/>
      <c r="L32" s="5"/>
      <c r="M32" s="5"/>
      <c r="N32" s="5"/>
    </row>
    <row r="33" spans="1:14">
      <c r="A33" s="5" t="s">
        <v>2201</v>
      </c>
      <c r="B33" s="8">
        <f>SUM('20_Operasi_Efisien'!B37:K37)</f>
        <v>403379348.56205845</v>
      </c>
      <c r="C33" s="5" t="s">
        <v>2194</v>
      </c>
      <c r="D33" s="5" t="s">
        <v>2202</v>
      </c>
      <c r="E33" s="5" t="s">
        <v>473</v>
      </c>
      <c r="F33" s="5" t="s">
        <v>2203</v>
      </c>
      <c r="G33" s="5"/>
      <c r="H33" s="5">
        <v>5</v>
      </c>
      <c r="I33" s="5">
        <f>'11_Cash_Flow'!G9</f>
        <v>-19454314682.525497</v>
      </c>
      <c r="J33" s="5">
        <f>$G$22</f>
        <v>-17456171335.338364</v>
      </c>
      <c r="K33" s="5"/>
      <c r="L33" s="5"/>
      <c r="M33" s="5"/>
      <c r="N33" s="5"/>
    </row>
    <row r="34" spans="1:14">
      <c r="A34" s="5" t="s">
        <v>2204</v>
      </c>
      <c r="B34" s="8">
        <f>'20_Operasi_Efisien'!B63+SUM('20_Operasi_Efisien'!C66:L66)+SUM('20_Operasi_Efisien'!C40:L40)-'20_Operasi_Efisien'!B65-SUM('20_Operasi_Efisien'!C67:L67)</f>
        <v>343689802.11034787</v>
      </c>
      <c r="C34" s="5" t="s">
        <v>2205</v>
      </c>
      <c r="D34" s="5" t="s">
        <v>2206</v>
      </c>
      <c r="E34" s="5" t="s">
        <v>473</v>
      </c>
      <c r="F34" s="5" t="s">
        <v>2207</v>
      </c>
      <c r="G34" s="5"/>
      <c r="H34" s="5">
        <v>6</v>
      </c>
      <c r="I34" s="5">
        <f>'11_Cash_Flow'!H9</f>
        <v>-19597093126.601765</v>
      </c>
      <c r="J34" s="5">
        <f>$H$22</f>
        <v>-17220458036.872452</v>
      </c>
      <c r="K34" s="5"/>
      <c r="L34" s="5"/>
      <c r="M34" s="5"/>
      <c r="N34" s="5"/>
    </row>
    <row r="35" spans="1:14">
      <c r="A35" s="5" t="s">
        <v>2208</v>
      </c>
      <c r="B35" s="8">
        <f>SUM('21_Pendapatan_Tambahan'!B55:K57)-SUM('21_Pendapatan_Tambahan'!B58:K58)-'21_Pendapatan_Tambahan'!C32</f>
        <v>658123949.62415218</v>
      </c>
      <c r="C35" s="5" t="s">
        <v>2186</v>
      </c>
      <c r="D35" s="5" t="s">
        <v>2209</v>
      </c>
      <c r="E35" s="5" t="s">
        <v>473</v>
      </c>
      <c r="F35" s="5" t="s">
        <v>2210</v>
      </c>
      <c r="G35" s="5"/>
      <c r="H35" s="5">
        <v>7</v>
      </c>
      <c r="I35" s="5">
        <f>'11_Cash_Flow'!I9</f>
        <v>-17931089144.943512</v>
      </c>
      <c r="J35" s="5">
        <f>$I$22</f>
        <v>-15144619763.859423</v>
      </c>
      <c r="K35" s="5"/>
      <c r="L35" s="5"/>
      <c r="M35" s="5"/>
      <c r="N35" s="5"/>
    </row>
    <row r="36" spans="1:14">
      <c r="A36" s="5" t="s">
        <v>2211</v>
      </c>
      <c r="B36" s="8">
        <f>SUM('21_Pendapatan_Tambahan'!B52:K52)-SUM('21_Pendapatan_Tambahan'!B53:K53)</f>
        <v>30159360</v>
      </c>
      <c r="C36" s="5" t="s">
        <v>2186</v>
      </c>
      <c r="D36" s="5" t="s">
        <v>2212</v>
      </c>
      <c r="E36" s="5" t="s">
        <v>2213</v>
      </c>
      <c r="F36" s="5" t="s">
        <v>2214</v>
      </c>
      <c r="G36" s="5"/>
      <c r="H36" s="5">
        <v>8</v>
      </c>
      <c r="I36" s="5">
        <f>'11_Cash_Flow'!J9</f>
        <v>-14740886661.520206</v>
      </c>
      <c r="J36" s="5">
        <f>$J$22</f>
        <v>-11442693562.154758</v>
      </c>
      <c r="K36" s="5"/>
      <c r="L36" s="5"/>
      <c r="M36" s="5"/>
      <c r="N36" s="5"/>
    </row>
    <row r="37" spans="1:14">
      <c r="A37" s="5" t="s">
        <v>2215</v>
      </c>
      <c r="B37" s="8">
        <f>SUM('21_Pendapatan_Tambahan'!B62:K62)</f>
        <v>49165200</v>
      </c>
      <c r="C37" s="5" t="s">
        <v>2216</v>
      </c>
      <c r="D37" s="5" t="s">
        <v>2217</v>
      </c>
      <c r="E37" s="5" t="s">
        <v>2117</v>
      </c>
      <c r="F37" s="5" t="s">
        <v>2218</v>
      </c>
      <c r="G37" s="5"/>
      <c r="H37" s="5">
        <v>9</v>
      </c>
      <c r="I37" s="5">
        <f>'11_Cash_Flow'!K9</f>
        <v>-9473005931.313015</v>
      </c>
      <c r="J37" s="5">
        <f>$K$22</f>
        <v>-5721750827.4293833</v>
      </c>
      <c r="K37" s="5"/>
      <c r="L37" s="5"/>
      <c r="M37" s="5"/>
      <c r="N37" s="5"/>
    </row>
    <row r="38" spans="1:14">
      <c r="A38" s="5" t="s">
        <v>2219</v>
      </c>
      <c r="B38" s="8">
        <f>SUM('21_Pendapatan_Tambahan'!B61:K61)</f>
        <v>18013515.881941024</v>
      </c>
      <c r="C38" s="5" t="s">
        <v>2220</v>
      </c>
      <c r="D38" s="5" t="s">
        <v>2221</v>
      </c>
      <c r="E38" s="5" t="s">
        <v>2222</v>
      </c>
      <c r="F38" s="5" t="s">
        <v>2223</v>
      </c>
      <c r="G38" s="5"/>
      <c r="H38" s="5">
        <v>10</v>
      </c>
      <c r="I38" s="5">
        <f>'11_Cash_Flow'!L9</f>
        <v>-2884442838.0554104</v>
      </c>
      <c r="J38" s="5">
        <f>$L$22</f>
        <v>1337996750.5271311</v>
      </c>
      <c r="K38" s="5"/>
      <c r="L38" s="5"/>
      <c r="M38" s="5"/>
      <c r="N38" s="5"/>
    </row>
    <row r="39" spans="1:14">
      <c r="A39" s="5"/>
      <c r="B39" s="5"/>
      <c r="C39" s="5"/>
      <c r="D39" s="5"/>
      <c r="E39" s="5"/>
      <c r="F39" s="5"/>
      <c r="G39" s="5"/>
      <c r="H39" s="5"/>
      <c r="I39" s="5"/>
      <c r="J39" s="5"/>
      <c r="K39" s="5"/>
      <c r="L39" s="5"/>
      <c r="M39" s="5"/>
      <c r="N39" s="5"/>
    </row>
    <row r="40" spans="1:14" ht="13.9">
      <c r="A40" s="289" t="s">
        <v>2224</v>
      </c>
      <c r="B40" s="289"/>
      <c r="C40" s="289"/>
      <c r="D40" s="289"/>
      <c r="E40" s="289"/>
      <c r="F40" s="289"/>
      <c r="G40" s="5"/>
      <c r="H40" s="5"/>
      <c r="I40" s="5"/>
      <c r="J40" s="5"/>
      <c r="K40" s="5"/>
      <c r="L40" s="5"/>
      <c r="M40" s="5"/>
      <c r="N40" s="5"/>
    </row>
    <row r="41" spans="1:14" ht="30" customHeight="1">
      <c r="A41" s="137" t="s">
        <v>6</v>
      </c>
      <c r="B41" s="272" t="s">
        <v>2225</v>
      </c>
      <c r="C41" s="272"/>
      <c r="D41" s="272"/>
      <c r="E41" s="272"/>
      <c r="F41" s="272"/>
      <c r="G41" s="5"/>
      <c r="H41" s="5"/>
      <c r="I41" s="5"/>
      <c r="J41" s="5"/>
      <c r="K41" s="5"/>
      <c r="L41" s="5"/>
      <c r="M41" s="5"/>
      <c r="N41" s="5"/>
    </row>
    <row r="42" spans="1:14" ht="30" customHeight="1">
      <c r="A42" s="137" t="s">
        <v>8</v>
      </c>
      <c r="B42" s="272" t="s">
        <v>2226</v>
      </c>
      <c r="C42" s="272"/>
      <c r="D42" s="272"/>
      <c r="E42" s="272"/>
      <c r="F42" s="272"/>
      <c r="G42" s="5"/>
      <c r="H42" s="5"/>
      <c r="I42" s="5"/>
      <c r="J42" s="5"/>
      <c r="K42" s="5"/>
      <c r="L42" s="5"/>
      <c r="M42" s="5"/>
      <c r="N42" s="5"/>
    </row>
    <row r="43" spans="1:14" ht="30" customHeight="1">
      <c r="A43" s="137" t="s">
        <v>10</v>
      </c>
      <c r="B43" s="272" t="s">
        <v>2227</v>
      </c>
      <c r="C43" s="272"/>
      <c r="D43" s="272"/>
      <c r="E43" s="272"/>
      <c r="F43" s="272"/>
      <c r="G43" s="5"/>
      <c r="H43" s="5"/>
      <c r="I43" s="5"/>
      <c r="J43" s="5"/>
      <c r="K43" s="5"/>
      <c r="L43" s="5"/>
      <c r="M43" s="5"/>
      <c r="N43" s="5"/>
    </row>
    <row r="44" spans="1:14">
      <c r="A44" s="5"/>
      <c r="B44" s="5"/>
      <c r="C44" s="5"/>
      <c r="D44" s="5"/>
      <c r="E44" s="5"/>
      <c r="F44" s="5"/>
      <c r="G44" s="5"/>
      <c r="H44" s="5"/>
      <c r="I44" s="5"/>
      <c r="J44" s="5"/>
      <c r="K44" s="5"/>
      <c r="L44" s="5"/>
      <c r="M44" s="5"/>
      <c r="N44" s="5"/>
    </row>
    <row r="45" spans="1:14">
      <c r="A45" s="5"/>
      <c r="B45" s="5"/>
      <c r="C45" s="5"/>
      <c r="D45" s="5"/>
      <c r="E45" s="5"/>
      <c r="F45" s="5"/>
      <c r="G45" s="5"/>
      <c r="H45" s="5"/>
      <c r="I45" s="5"/>
      <c r="J45" s="5"/>
      <c r="K45" s="5"/>
      <c r="L45" s="5"/>
      <c r="M45" s="5"/>
      <c r="N45" s="5"/>
    </row>
    <row r="46" spans="1:14" ht="20" customHeight="1">
      <c r="A46" s="249" t="s">
        <v>2228</v>
      </c>
      <c r="B46" s="249"/>
      <c r="C46" s="249"/>
      <c r="D46" s="249"/>
      <c r="E46" s="249"/>
      <c r="F46" s="249"/>
      <c r="G46" s="5"/>
      <c r="H46" s="5"/>
      <c r="I46" s="5"/>
      <c r="J46" s="5"/>
      <c r="K46" s="5"/>
      <c r="L46" s="5"/>
      <c r="M46" s="5"/>
      <c r="N46" s="5"/>
    </row>
    <row r="47" spans="1:14" ht="32" customHeight="1">
      <c r="A47" s="130" t="s">
        <v>117</v>
      </c>
      <c r="B47" s="131" t="s">
        <v>118</v>
      </c>
      <c r="C47" s="131" t="s">
        <v>2229</v>
      </c>
      <c r="D47" s="131" t="s">
        <v>120</v>
      </c>
      <c r="E47" s="131" t="s">
        <v>2230</v>
      </c>
      <c r="F47" s="132" t="s">
        <v>2231</v>
      </c>
      <c r="G47" s="5"/>
      <c r="H47" s="5"/>
      <c r="I47" s="5"/>
      <c r="J47" s="5"/>
      <c r="K47" s="5"/>
      <c r="L47" s="5"/>
      <c r="M47" s="5"/>
      <c r="N47" s="5"/>
    </row>
    <row r="48" spans="1:14" ht="23.25">
      <c r="A48" s="11" t="s">
        <v>2232</v>
      </c>
      <c r="B48" s="143">
        <f>$C$10</f>
        <v>1337996750.5271311</v>
      </c>
      <c r="C48" s="14">
        <f>IFERROR(B48/$C$9,0)</f>
        <v>2.1214415340771339E-2</v>
      </c>
      <c r="D48" s="11" t="str">
        <f>IF(B48&gt;0,"POSITIF","NEGATIF")</f>
        <v>POSITIF</v>
      </c>
      <c r="E48" s="11" t="s">
        <v>2233</v>
      </c>
      <c r="F48" s="11" t="s">
        <v>2234</v>
      </c>
      <c r="G48" s="5"/>
      <c r="H48" s="5"/>
      <c r="I48" s="5"/>
      <c r="J48" s="5"/>
      <c r="K48" s="5"/>
      <c r="L48" s="5"/>
      <c r="M48" s="5"/>
      <c r="N48" s="5"/>
    </row>
    <row r="49" spans="1:14" ht="23.25">
      <c r="A49" s="11" t="s">
        <v>2235</v>
      </c>
      <c r="B49" s="143">
        <f>$C$10-$B$37-$B$38</f>
        <v>1270818034.64519</v>
      </c>
      <c r="C49" s="14">
        <f>IFERROR(B49/$C$9,0)</f>
        <v>2.0149272858012917E-2</v>
      </c>
      <c r="D49" s="11" t="str">
        <f>IF(B49&gt;0,"POSITIF","NEGATIF")</f>
        <v>POSITIF</v>
      </c>
      <c r="E49" s="11" t="s">
        <v>2236</v>
      </c>
      <c r="F49" s="11" t="s">
        <v>2237</v>
      </c>
      <c r="G49" s="5"/>
      <c r="H49" s="5"/>
      <c r="I49" s="5"/>
      <c r="J49" s="5"/>
      <c r="K49" s="5"/>
      <c r="L49" s="5"/>
      <c r="M49" s="5"/>
      <c r="N49" s="5"/>
    </row>
    <row r="50" spans="1:14" ht="23.25">
      <c r="A50" s="11" t="s">
        <v>2238</v>
      </c>
      <c r="B50" s="143">
        <f>$B$49-'20_Operasi_Efisien'!$A$27*'20_Operasi_Efisien'!$C$27</f>
        <v>1045818034.64519</v>
      </c>
      <c r="C50" s="14">
        <f>IFERROR(B50/$C$9,0)</f>
        <v>1.6581817668160598E-2</v>
      </c>
      <c r="D50" s="11" t="str">
        <f>IF(B50&gt;0,"POSITIF","NEGATIF")</f>
        <v>POSITIF</v>
      </c>
      <c r="E50" s="11" t="s">
        <v>2239</v>
      </c>
      <c r="F50" s="11" t="s">
        <v>2240</v>
      </c>
      <c r="G50" s="5"/>
      <c r="H50" s="5"/>
      <c r="I50" s="5"/>
      <c r="J50" s="5"/>
      <c r="K50" s="5"/>
      <c r="L50" s="5"/>
      <c r="M50" s="5"/>
      <c r="N50" s="5"/>
    </row>
    <row r="51" spans="1:14" ht="34.9">
      <c r="A51" s="11" t="s">
        <v>2241</v>
      </c>
      <c r="B51" s="143">
        <f>$B$50-$B$35</f>
        <v>387694085.02103782</v>
      </c>
      <c r="C51" s="14">
        <f>IFERROR(B51/$C$9,0)</f>
        <v>6.1470278919259873E-3</v>
      </c>
      <c r="D51" s="11" t="str">
        <f>IF(B51&gt;0,"POSITIF","NEGATIF")</f>
        <v>POSITIF</v>
      </c>
      <c r="E51" s="11" t="s">
        <v>2242</v>
      </c>
      <c r="F51" s="11" t="s">
        <v>2243</v>
      </c>
      <c r="G51" s="5"/>
      <c r="H51" s="5"/>
      <c r="I51" s="5"/>
      <c r="J51" s="5"/>
      <c r="K51" s="5"/>
      <c r="L51" s="5"/>
      <c r="M51" s="5"/>
      <c r="N51" s="5"/>
    </row>
    <row r="52" spans="1:14" ht="23.25">
      <c r="A52" s="11" t="s">
        <v>2244</v>
      </c>
      <c r="B52" s="143">
        <f>5%*$C$9</f>
        <v>3153508425.8383403</v>
      </c>
      <c r="C52" s="14">
        <v>0.05</v>
      </c>
      <c r="D52" s="11" t="s">
        <v>2245</v>
      </c>
      <c r="E52" s="11" t="s">
        <v>2246</v>
      </c>
      <c r="F52" s="11" t="s">
        <v>2247</v>
      </c>
      <c r="G52" s="5"/>
      <c r="H52" s="5"/>
      <c r="I52" s="5"/>
      <c r="J52" s="5"/>
      <c r="K52" s="5"/>
      <c r="L52" s="5"/>
      <c r="M52" s="5"/>
      <c r="N52" s="5"/>
    </row>
    <row r="53" spans="1:14" ht="23.25">
      <c r="A53" s="11" t="s">
        <v>2248</v>
      </c>
      <c r="B53" s="143">
        <f>MAX(0,$B$52-$B$48)</f>
        <v>1815511675.3112092</v>
      </c>
      <c r="C53" s="14">
        <f>IFERROR(B53/$C$9,0)</f>
        <v>2.8785584659228668E-2</v>
      </c>
      <c r="D53" s="11" t="str">
        <f>IF(B53=0,"TERCAPAI","BELUM TERCAPAI")</f>
        <v>BELUM TERCAPAI</v>
      </c>
      <c r="E53" s="11" t="s">
        <v>2246</v>
      </c>
      <c r="F53" s="11" t="s">
        <v>2249</v>
      </c>
      <c r="G53" s="5"/>
      <c r="H53" s="5"/>
      <c r="I53" s="5"/>
      <c r="J53" s="5"/>
      <c r="K53" s="5"/>
      <c r="L53" s="5"/>
      <c r="M53" s="5"/>
      <c r="N53" s="5"/>
    </row>
    <row r="54" spans="1:14">
      <c r="A54" s="5"/>
      <c r="B54" s="5"/>
      <c r="C54" s="5"/>
      <c r="D54" s="5"/>
      <c r="E54" s="5"/>
      <c r="F54" s="5"/>
      <c r="G54" s="5"/>
      <c r="H54" s="5"/>
      <c r="I54" s="5"/>
      <c r="J54" s="5"/>
      <c r="K54" s="5"/>
      <c r="L54" s="5"/>
      <c r="M54" s="5"/>
      <c r="N54" s="5"/>
    </row>
    <row r="55" spans="1:14">
      <c r="A55" s="5"/>
      <c r="B55" s="5"/>
      <c r="C55" s="5"/>
      <c r="D55" s="5"/>
      <c r="E55" s="5"/>
      <c r="F55" s="5"/>
      <c r="G55" s="5"/>
      <c r="H55" s="5"/>
      <c r="I55" s="5"/>
      <c r="J55" s="5"/>
      <c r="K55" s="5"/>
      <c r="L55" s="5"/>
      <c r="M55" s="5"/>
      <c r="N55" s="5"/>
    </row>
    <row r="56" spans="1:14">
      <c r="A56" s="5"/>
      <c r="B56" s="5"/>
      <c r="C56" s="5"/>
      <c r="D56" s="5"/>
      <c r="E56" s="5"/>
      <c r="F56" s="5"/>
      <c r="G56" s="5"/>
      <c r="H56" s="5"/>
      <c r="I56" s="5"/>
      <c r="J56" s="5"/>
      <c r="K56" s="5"/>
      <c r="L56" s="5"/>
      <c r="M56" s="5"/>
      <c r="N56" s="5"/>
    </row>
    <row r="57" spans="1:14">
      <c r="A57" s="5"/>
      <c r="B57" s="5"/>
      <c r="C57" s="5"/>
      <c r="D57" s="5"/>
      <c r="E57" s="5"/>
      <c r="F57" s="5"/>
      <c r="G57" s="5"/>
      <c r="H57" s="5"/>
      <c r="I57" s="5"/>
      <c r="J57" s="5"/>
      <c r="K57" s="5"/>
      <c r="L57" s="5"/>
      <c r="M57" s="5"/>
      <c r="N57" s="5"/>
    </row>
    <row r="58" spans="1:14">
      <c r="A58" s="5"/>
      <c r="B58" s="5"/>
      <c r="C58" s="5"/>
      <c r="D58" s="5"/>
      <c r="E58" s="5"/>
      <c r="F58" s="5"/>
      <c r="G58" s="5"/>
      <c r="H58" s="5"/>
      <c r="I58" s="5"/>
      <c r="J58" s="5"/>
      <c r="K58" s="5"/>
      <c r="L58" s="5"/>
      <c r="M58" s="5"/>
      <c r="N58" s="5"/>
    </row>
    <row r="59" spans="1:14">
      <c r="A59" s="5"/>
      <c r="B59" s="5"/>
      <c r="C59" s="5"/>
      <c r="D59" s="5"/>
      <c r="E59" s="5"/>
      <c r="F59" s="5"/>
      <c r="G59" s="5"/>
      <c r="H59" s="5"/>
      <c r="I59" s="5"/>
      <c r="J59" s="5"/>
      <c r="K59" s="5"/>
      <c r="L59" s="5"/>
      <c r="M59" s="5"/>
      <c r="N59" s="5"/>
    </row>
    <row r="60" spans="1:14">
      <c r="A60" s="5"/>
      <c r="B60" s="5"/>
      <c r="C60" s="5"/>
      <c r="D60" s="5"/>
      <c r="E60" s="5"/>
      <c r="F60" s="5"/>
      <c r="G60" s="5"/>
      <c r="H60" s="5"/>
      <c r="I60" s="5"/>
      <c r="J60" s="5"/>
      <c r="K60" s="5"/>
      <c r="L60" s="5"/>
      <c r="M60" s="5"/>
      <c r="N60" s="5"/>
    </row>
    <row r="61" spans="1:14">
      <c r="A61" s="5"/>
      <c r="B61" s="5"/>
      <c r="C61" s="5"/>
      <c r="D61" s="5"/>
      <c r="E61" s="5"/>
      <c r="F61" s="5"/>
      <c r="G61" s="5"/>
      <c r="H61" s="5"/>
      <c r="I61" s="5"/>
      <c r="J61" s="5"/>
      <c r="K61" s="5"/>
      <c r="L61" s="5"/>
      <c r="M61" s="5"/>
      <c r="N61" s="5"/>
    </row>
    <row r="62" spans="1:14">
      <c r="A62" s="5"/>
      <c r="B62" s="5"/>
      <c r="C62" s="5"/>
      <c r="D62" s="5"/>
      <c r="E62" s="5"/>
      <c r="F62" s="5"/>
      <c r="G62" s="5"/>
      <c r="H62" s="5"/>
      <c r="I62" s="5"/>
      <c r="J62" s="5"/>
      <c r="K62" s="5"/>
      <c r="L62" s="5"/>
      <c r="M62" s="5"/>
      <c r="N62" s="5"/>
    </row>
    <row r="63" spans="1:14">
      <c r="A63" s="5"/>
      <c r="B63" s="5"/>
      <c r="C63" s="5"/>
      <c r="D63" s="5"/>
      <c r="E63" s="5"/>
      <c r="F63" s="5"/>
      <c r="G63" s="5"/>
      <c r="H63" s="5"/>
      <c r="I63" s="5"/>
      <c r="J63" s="5"/>
      <c r="K63" s="5"/>
      <c r="L63" s="5"/>
      <c r="M63" s="5"/>
      <c r="N63" s="5"/>
    </row>
    <row r="64" spans="1:14">
      <c r="A64" s="5"/>
      <c r="B64" s="5"/>
      <c r="C64" s="5"/>
      <c r="D64" s="5"/>
      <c r="E64" s="5"/>
      <c r="F64" s="5"/>
      <c r="G64" s="5"/>
      <c r="H64" s="5"/>
      <c r="I64" s="5"/>
      <c r="J64" s="5"/>
      <c r="K64" s="5"/>
      <c r="L64" s="5"/>
      <c r="M64" s="5"/>
      <c r="N64" s="5"/>
    </row>
    <row r="65" spans="1:14">
      <c r="A65" s="5"/>
      <c r="B65" s="5"/>
      <c r="C65" s="5"/>
      <c r="D65" s="5"/>
      <c r="E65" s="5"/>
      <c r="F65" s="5"/>
      <c r="G65" s="5"/>
      <c r="H65" s="5"/>
      <c r="I65" s="5"/>
      <c r="J65" s="5"/>
      <c r="K65" s="5"/>
      <c r="L65" s="5"/>
      <c r="M65" s="5"/>
      <c r="N65" s="5"/>
    </row>
    <row r="66" spans="1:14">
      <c r="A66" s="5"/>
      <c r="B66" s="5"/>
      <c r="C66" s="5"/>
      <c r="D66" s="5"/>
      <c r="E66" s="5"/>
      <c r="F66" s="5"/>
      <c r="G66" s="5"/>
      <c r="H66" s="5"/>
      <c r="I66" s="5"/>
      <c r="J66" s="5"/>
      <c r="K66" s="5"/>
      <c r="L66" s="5"/>
      <c r="M66" s="5"/>
      <c r="N66" s="5"/>
    </row>
    <row r="67" spans="1:14">
      <c r="A67" s="5"/>
      <c r="B67" s="5"/>
      <c r="C67" s="5"/>
      <c r="D67" s="5"/>
      <c r="E67" s="5"/>
      <c r="F67" s="5"/>
      <c r="G67" s="5"/>
      <c r="H67" s="5"/>
      <c r="I67" s="5"/>
      <c r="J67" s="5"/>
      <c r="K67" s="5"/>
      <c r="L67" s="5"/>
      <c r="M67" s="5"/>
      <c r="N67" s="5"/>
    </row>
    <row r="68" spans="1:14">
      <c r="A68" s="5"/>
      <c r="B68" s="5"/>
      <c r="C68" s="5"/>
      <c r="D68" s="5"/>
      <c r="E68" s="5"/>
      <c r="F68" s="5"/>
      <c r="G68" s="5"/>
      <c r="H68" s="5"/>
      <c r="I68" s="5"/>
      <c r="J68" s="5"/>
      <c r="K68" s="5"/>
      <c r="L68" s="5"/>
      <c r="M68" s="5"/>
      <c r="N68" s="5"/>
    </row>
    <row r="69" spans="1:14">
      <c r="A69" s="5"/>
      <c r="B69" s="5"/>
      <c r="C69" s="5"/>
      <c r="D69" s="5"/>
      <c r="E69" s="5"/>
      <c r="F69" s="5"/>
      <c r="G69" s="5"/>
      <c r="H69" s="5"/>
      <c r="I69" s="5"/>
      <c r="J69" s="5"/>
      <c r="K69" s="5"/>
      <c r="L69" s="5"/>
      <c r="M69" s="5"/>
      <c r="N69" s="5"/>
    </row>
    <row r="70" spans="1:14">
      <c r="A70" s="5"/>
      <c r="B70" s="5"/>
      <c r="C70" s="5"/>
      <c r="D70" s="5"/>
      <c r="E70" s="5"/>
      <c r="F70" s="5"/>
      <c r="G70" s="5"/>
      <c r="H70" s="5"/>
      <c r="I70" s="5"/>
      <c r="J70" s="5"/>
      <c r="K70" s="5"/>
      <c r="L70" s="5"/>
      <c r="M70" s="5"/>
      <c r="N70" s="5"/>
    </row>
    <row r="71" spans="1:14">
      <c r="A71" s="5"/>
      <c r="B71" s="5"/>
      <c r="C71" s="5"/>
      <c r="D71" s="5"/>
      <c r="E71" s="5"/>
      <c r="F71" s="5"/>
      <c r="G71" s="5"/>
      <c r="H71" s="5"/>
      <c r="I71" s="5"/>
      <c r="J71" s="5"/>
      <c r="K71" s="5"/>
      <c r="L71" s="5"/>
      <c r="M71" s="5"/>
      <c r="N71" s="5"/>
    </row>
    <row r="72" spans="1:14">
      <c r="A72" s="5"/>
      <c r="B72" s="5"/>
      <c r="C72" s="5"/>
      <c r="D72" s="5"/>
      <c r="E72" s="5"/>
      <c r="F72" s="5"/>
      <c r="G72" s="5"/>
      <c r="H72" s="5"/>
      <c r="I72" s="5"/>
      <c r="J72" s="5"/>
      <c r="K72" s="5"/>
      <c r="L72" s="5"/>
      <c r="M72" s="5"/>
      <c r="N72" s="5"/>
    </row>
    <row r="73" spans="1:14">
      <c r="A73" s="5"/>
      <c r="B73" s="5"/>
      <c r="C73" s="5"/>
      <c r="D73" s="5"/>
      <c r="E73" s="5"/>
      <c r="F73" s="5"/>
      <c r="G73" s="5"/>
      <c r="H73" s="5"/>
      <c r="I73" s="5"/>
      <c r="J73" s="5"/>
      <c r="K73" s="5"/>
      <c r="L73" s="5"/>
      <c r="M73" s="5"/>
      <c r="N73" s="5"/>
    </row>
    <row r="74" spans="1:14">
      <c r="A74" s="5"/>
      <c r="B74" s="5"/>
      <c r="C74" s="5"/>
      <c r="D74" s="5"/>
      <c r="E74" s="5"/>
      <c r="F74" s="5"/>
      <c r="G74" s="5"/>
      <c r="H74" s="5"/>
      <c r="I74" s="5"/>
      <c r="J74" s="5"/>
      <c r="K74" s="5"/>
      <c r="L74" s="5"/>
      <c r="M74" s="5"/>
      <c r="N74" s="5"/>
    </row>
    <row r="75" spans="1:14">
      <c r="A75" s="5"/>
      <c r="B75" s="5"/>
      <c r="C75" s="5"/>
      <c r="D75" s="5"/>
      <c r="E75" s="5"/>
      <c r="F75" s="5"/>
      <c r="G75" s="5"/>
      <c r="H75" s="5"/>
      <c r="I75" s="5"/>
      <c r="J75" s="5"/>
      <c r="K75" s="5"/>
      <c r="L75" s="5"/>
      <c r="M75" s="5"/>
      <c r="N75" s="5"/>
    </row>
    <row r="76" spans="1:14">
      <c r="A76" s="5"/>
      <c r="B76" s="5"/>
      <c r="C76" s="5"/>
      <c r="D76" s="5"/>
      <c r="E76" s="5"/>
      <c r="F76" s="5"/>
      <c r="G76" s="5"/>
      <c r="H76" s="5"/>
      <c r="I76" s="5"/>
      <c r="J76" s="5"/>
      <c r="K76" s="5"/>
      <c r="L76" s="5"/>
      <c r="M76" s="5"/>
      <c r="N76" s="5"/>
    </row>
    <row r="77" spans="1:14">
      <c r="A77" s="5"/>
      <c r="B77" s="5"/>
      <c r="C77" s="5"/>
      <c r="D77" s="5"/>
      <c r="E77" s="5"/>
      <c r="F77" s="5"/>
      <c r="G77" s="5"/>
      <c r="H77" s="5"/>
      <c r="I77" s="5"/>
      <c r="J77" s="5"/>
      <c r="K77" s="5"/>
      <c r="L77" s="5"/>
      <c r="M77" s="5"/>
      <c r="N77" s="5"/>
    </row>
    <row r="78" spans="1:14">
      <c r="A78" s="5"/>
      <c r="B78" s="5"/>
      <c r="C78" s="5"/>
      <c r="D78" s="5"/>
      <c r="E78" s="5"/>
      <c r="F78" s="5"/>
      <c r="G78" s="5"/>
      <c r="H78" s="5"/>
      <c r="I78" s="5"/>
      <c r="J78" s="5"/>
      <c r="K78" s="5"/>
      <c r="L78" s="5"/>
      <c r="M78" s="5"/>
      <c r="N78" s="5"/>
    </row>
    <row r="79" spans="1:14">
      <c r="A79" s="5"/>
      <c r="B79" s="5"/>
      <c r="C79" s="5"/>
      <c r="D79" s="5"/>
      <c r="E79" s="5"/>
      <c r="F79" s="5"/>
      <c r="G79" s="5"/>
      <c r="H79" s="5"/>
      <c r="I79" s="5"/>
      <c r="J79" s="5"/>
      <c r="K79" s="5"/>
      <c r="L79" s="5"/>
      <c r="M79" s="5"/>
      <c r="N79" s="5"/>
    </row>
    <row r="80" spans="1:14">
      <c r="A80" s="5"/>
      <c r="B80" s="5"/>
      <c r="C80" s="5"/>
      <c r="D80" s="5"/>
      <c r="E80" s="5"/>
      <c r="F80" s="5"/>
      <c r="G80" s="5"/>
      <c r="H80" s="5"/>
      <c r="I80" s="5"/>
      <c r="J80" s="5"/>
      <c r="K80" s="5"/>
      <c r="L80" s="5"/>
      <c r="M80" s="5"/>
      <c r="N80" s="5"/>
    </row>
    <row r="81" spans="1:14">
      <c r="A81" s="5"/>
      <c r="B81" s="5"/>
      <c r="C81" s="5"/>
      <c r="D81" s="5"/>
      <c r="E81" s="5"/>
      <c r="F81" s="5"/>
      <c r="G81" s="5"/>
      <c r="H81" s="5"/>
      <c r="I81" s="5"/>
      <c r="J81" s="5"/>
      <c r="K81" s="5"/>
      <c r="L81" s="5"/>
      <c r="M81" s="5"/>
      <c r="N81" s="5"/>
    </row>
    <row r="82" spans="1:14">
      <c r="A82" s="5"/>
      <c r="B82" s="5"/>
      <c r="C82" s="5"/>
      <c r="D82" s="5"/>
      <c r="E82" s="5"/>
      <c r="F82" s="5"/>
      <c r="G82" s="5"/>
      <c r="H82" s="5"/>
      <c r="I82" s="5"/>
      <c r="J82" s="5"/>
      <c r="K82" s="5"/>
      <c r="L82" s="5"/>
      <c r="M82" s="5"/>
      <c r="N82" s="5"/>
    </row>
    <row r="83" spans="1:14">
      <c r="A83" s="5"/>
      <c r="B83" s="5"/>
      <c r="C83" s="5"/>
      <c r="D83" s="5"/>
      <c r="E83" s="5"/>
      <c r="F83" s="5"/>
      <c r="G83" s="5"/>
      <c r="H83" s="5"/>
      <c r="I83" s="5"/>
      <c r="J83" s="5"/>
      <c r="K83" s="5"/>
      <c r="L83" s="5"/>
      <c r="M83" s="5"/>
      <c r="N83" s="5"/>
    </row>
    <row r="84" spans="1:14">
      <c r="A84" s="5"/>
      <c r="B84" s="5"/>
      <c r="C84" s="5"/>
      <c r="D84" s="5"/>
      <c r="E84" s="5"/>
      <c r="F84" s="5"/>
      <c r="G84" s="5"/>
      <c r="H84" s="5"/>
      <c r="I84" s="5"/>
      <c r="J84" s="5"/>
      <c r="K84" s="5"/>
      <c r="L84" s="5"/>
      <c r="M84" s="5"/>
      <c r="N84" s="5"/>
    </row>
    <row r="85" spans="1:14">
      <c r="A85" s="5"/>
      <c r="B85" s="5"/>
      <c r="C85" s="5"/>
      <c r="D85" s="5"/>
      <c r="E85" s="5"/>
      <c r="F85" s="5"/>
      <c r="G85" s="5"/>
      <c r="H85" s="5"/>
      <c r="I85" s="5"/>
      <c r="J85" s="5"/>
      <c r="K85" s="5"/>
      <c r="L85" s="5"/>
      <c r="M85" s="5"/>
      <c r="N85" s="5"/>
    </row>
    <row r="86" spans="1:14">
      <c r="A86" s="5"/>
      <c r="B86" s="5"/>
      <c r="C86" s="5"/>
      <c r="D86" s="5"/>
      <c r="E86" s="5"/>
      <c r="F86" s="5"/>
      <c r="G86" s="5"/>
      <c r="H86" s="5"/>
      <c r="I86" s="5"/>
      <c r="J86" s="5"/>
      <c r="K86" s="5"/>
      <c r="L86" s="5"/>
      <c r="M86" s="5"/>
      <c r="N86" s="5"/>
    </row>
    <row r="87" spans="1:14">
      <c r="A87" s="5"/>
      <c r="B87" s="5"/>
      <c r="C87" s="5"/>
      <c r="D87" s="5"/>
      <c r="E87" s="5"/>
      <c r="F87" s="5"/>
      <c r="G87" s="5"/>
      <c r="H87" s="5"/>
      <c r="I87" s="5"/>
      <c r="J87" s="5"/>
      <c r="K87" s="5"/>
      <c r="L87" s="5"/>
      <c r="M87" s="5"/>
      <c r="N87" s="5"/>
    </row>
    <row r="88" spans="1:14">
      <c r="A88" s="5"/>
      <c r="B88" s="5"/>
      <c r="C88" s="5"/>
      <c r="D88" s="5"/>
      <c r="E88" s="5"/>
      <c r="F88" s="5"/>
      <c r="G88" s="5"/>
      <c r="H88" s="5"/>
      <c r="I88" s="5"/>
      <c r="J88" s="5"/>
      <c r="K88" s="5"/>
      <c r="L88" s="5"/>
      <c r="M88" s="5"/>
      <c r="N88" s="5"/>
    </row>
    <row r="89" spans="1:14">
      <c r="A89" s="5"/>
      <c r="B89" s="5"/>
      <c r="C89" s="5"/>
      <c r="D89" s="5"/>
      <c r="E89" s="5"/>
      <c r="F89" s="5"/>
      <c r="G89" s="5"/>
      <c r="H89" s="5"/>
      <c r="I89" s="5"/>
      <c r="J89" s="5"/>
      <c r="K89" s="5"/>
      <c r="L89" s="5"/>
      <c r="M89" s="5"/>
      <c r="N89" s="5"/>
    </row>
    <row r="90" spans="1:14">
      <c r="A90" s="5"/>
      <c r="B90" s="5"/>
      <c r="C90" s="5"/>
      <c r="D90" s="5"/>
      <c r="E90" s="5"/>
      <c r="F90" s="5"/>
      <c r="G90" s="5"/>
      <c r="H90" s="5"/>
      <c r="I90" s="5"/>
      <c r="J90" s="5"/>
      <c r="K90" s="5"/>
      <c r="L90" s="5"/>
      <c r="M90" s="5"/>
      <c r="N90" s="5"/>
    </row>
  </sheetData>
  <mergeCells count="11">
    <mergeCell ref="A46:F46"/>
    <mergeCell ref="A27:L27"/>
    <mergeCell ref="A40:F40"/>
    <mergeCell ref="B41:F41"/>
    <mergeCell ref="B42:F42"/>
    <mergeCell ref="B43:F43"/>
    <mergeCell ref="A1:N1"/>
    <mergeCell ref="A2:N2"/>
    <mergeCell ref="A4:H4"/>
    <mergeCell ref="G5:N14"/>
    <mergeCell ref="A16:L1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5"/>
  <sheetViews>
    <sheetView showGridLines="0" workbookViewId="0"/>
  </sheetViews>
  <sheetFormatPr defaultRowHeight="13.5"/>
  <cols>
    <col min="1" max="1" width="13" customWidth="1"/>
    <col min="2" max="2" width="25" customWidth="1"/>
    <col min="3" max="3" width="34" customWidth="1"/>
    <col min="4" max="4" width="10" customWidth="1"/>
    <col min="5" max="5" width="37" customWidth="1"/>
    <col min="6" max="6" width="58" customWidth="1"/>
    <col min="7" max="7" width="12" customWidth="1"/>
    <col min="8" max="8" width="44" customWidth="1"/>
    <col min="9" max="9" width="33" customWidth="1"/>
  </cols>
  <sheetData>
    <row r="1" spans="1:9" ht="28.05" customHeight="1">
      <c r="A1" s="290" t="s">
        <v>2250</v>
      </c>
      <c r="B1" s="290"/>
      <c r="C1" s="290"/>
      <c r="D1" s="290"/>
      <c r="E1" s="290"/>
      <c r="F1" s="290"/>
      <c r="G1" s="290"/>
      <c r="H1" s="290"/>
      <c r="I1" s="290"/>
    </row>
    <row r="2" spans="1:9" ht="38" customHeight="1">
      <c r="A2" s="291" t="s">
        <v>2251</v>
      </c>
      <c r="B2" s="291"/>
      <c r="C2" s="291"/>
      <c r="D2" s="291"/>
      <c r="E2" s="291"/>
      <c r="F2" s="291"/>
      <c r="G2" s="291"/>
      <c r="H2" s="291"/>
      <c r="I2" s="291"/>
    </row>
    <row r="3" spans="1:9">
      <c r="A3" s="5"/>
      <c r="B3" s="5"/>
      <c r="C3" s="5"/>
      <c r="D3" s="5"/>
      <c r="E3" s="5"/>
      <c r="F3" s="5"/>
      <c r="G3" s="5"/>
      <c r="H3" s="5"/>
      <c r="I3" s="5"/>
    </row>
    <row r="4" spans="1:9">
      <c r="A4" s="5"/>
      <c r="B4" s="5"/>
      <c r="C4" s="5"/>
      <c r="D4" s="5"/>
      <c r="E4" s="5"/>
      <c r="F4" s="5"/>
      <c r="G4" s="5"/>
      <c r="H4" s="5"/>
      <c r="I4" s="5"/>
    </row>
    <row r="5" spans="1:9" ht="32" customHeight="1">
      <c r="A5" s="130" t="s">
        <v>1406</v>
      </c>
      <c r="B5" s="131" t="s">
        <v>1959</v>
      </c>
      <c r="C5" s="131" t="s">
        <v>2252</v>
      </c>
      <c r="D5" s="131" t="s">
        <v>67</v>
      </c>
      <c r="E5" s="131" t="s">
        <v>2253</v>
      </c>
      <c r="F5" s="131" t="s">
        <v>1410</v>
      </c>
      <c r="G5" s="131" t="s">
        <v>1937</v>
      </c>
      <c r="H5" s="131" t="s">
        <v>2254</v>
      </c>
      <c r="I5" s="132" t="s">
        <v>2255</v>
      </c>
    </row>
    <row r="6" spans="1:9" ht="23.25">
      <c r="A6" s="11" t="s">
        <v>2256</v>
      </c>
      <c r="B6" s="11" t="s">
        <v>2257</v>
      </c>
      <c r="C6" s="11" t="s">
        <v>2258</v>
      </c>
      <c r="D6" s="11">
        <v>2026</v>
      </c>
      <c r="E6" s="11" t="s">
        <v>2259</v>
      </c>
      <c r="F6" s="144" t="s">
        <v>2260</v>
      </c>
      <c r="G6" s="11" t="s">
        <v>200</v>
      </c>
      <c r="H6" s="11" t="s">
        <v>2261</v>
      </c>
      <c r="I6" s="11" t="s">
        <v>2262</v>
      </c>
    </row>
    <row r="7" spans="1:9">
      <c r="A7" s="11" t="s">
        <v>2108</v>
      </c>
      <c r="B7" s="11" t="s">
        <v>2263</v>
      </c>
      <c r="C7" s="11" t="s">
        <v>2264</v>
      </c>
      <c r="D7" s="11">
        <v>2025</v>
      </c>
      <c r="E7" s="11" t="s">
        <v>2265</v>
      </c>
      <c r="F7" s="144" t="s">
        <v>2266</v>
      </c>
      <c r="G7" s="11" t="s">
        <v>208</v>
      </c>
      <c r="H7" s="11" t="s">
        <v>2267</v>
      </c>
      <c r="I7" s="11" t="s">
        <v>2268</v>
      </c>
    </row>
    <row r="8" spans="1:9" ht="23.25">
      <c r="A8" s="11" t="s">
        <v>2269</v>
      </c>
      <c r="B8" s="11" t="s">
        <v>2270</v>
      </c>
      <c r="C8" s="11" t="s">
        <v>2271</v>
      </c>
      <c r="D8" s="11">
        <v>2026</v>
      </c>
      <c r="E8" s="11" t="s">
        <v>2272</v>
      </c>
      <c r="F8" s="144" t="s">
        <v>2273</v>
      </c>
      <c r="G8" s="11" t="s">
        <v>200</v>
      </c>
      <c r="H8" s="11" t="s">
        <v>2274</v>
      </c>
      <c r="I8" s="11" t="s">
        <v>2275</v>
      </c>
    </row>
    <row r="9" spans="1:9" ht="23.25">
      <c r="A9" s="11" t="s">
        <v>2015</v>
      </c>
      <c r="B9" s="11" t="s">
        <v>2276</v>
      </c>
      <c r="C9" s="11" t="s">
        <v>2277</v>
      </c>
      <c r="D9" s="11">
        <v>2025</v>
      </c>
      <c r="E9" s="11" t="s">
        <v>2278</v>
      </c>
      <c r="F9" s="144" t="s">
        <v>2279</v>
      </c>
      <c r="G9" s="11" t="s">
        <v>200</v>
      </c>
      <c r="H9" s="11" t="s">
        <v>2280</v>
      </c>
      <c r="I9" s="11" t="s">
        <v>2281</v>
      </c>
    </row>
    <row r="10" spans="1:9" ht="23.25">
      <c r="A10" s="11" t="s">
        <v>2027</v>
      </c>
      <c r="B10" s="11" t="s">
        <v>2026</v>
      </c>
      <c r="C10" s="11" t="s">
        <v>2282</v>
      </c>
      <c r="D10" s="11">
        <v>2026</v>
      </c>
      <c r="E10" s="11" t="s">
        <v>2283</v>
      </c>
      <c r="F10" s="144" t="s">
        <v>2284</v>
      </c>
      <c r="G10" s="11" t="s">
        <v>208</v>
      </c>
      <c r="H10" s="11" t="s">
        <v>2285</v>
      </c>
      <c r="I10" s="11" t="s">
        <v>2286</v>
      </c>
    </row>
    <row r="11" spans="1:9" ht="23.25">
      <c r="A11" s="11" t="s">
        <v>1947</v>
      </c>
      <c r="B11" s="11" t="s">
        <v>2287</v>
      </c>
      <c r="C11" s="11" t="s">
        <v>2288</v>
      </c>
      <c r="D11" s="11">
        <v>2022</v>
      </c>
      <c r="E11" s="11" t="s">
        <v>2289</v>
      </c>
      <c r="F11" s="144" t="s">
        <v>2290</v>
      </c>
      <c r="G11" s="11" t="s">
        <v>200</v>
      </c>
      <c r="H11" s="11" t="s">
        <v>2291</v>
      </c>
      <c r="I11" s="11" t="s">
        <v>2292</v>
      </c>
    </row>
    <row r="12" spans="1:9">
      <c r="A12" s="11" t="s">
        <v>2002</v>
      </c>
      <c r="B12" s="11" t="s">
        <v>2000</v>
      </c>
      <c r="C12" s="11" t="s">
        <v>2293</v>
      </c>
      <c r="D12" s="11">
        <v>2024</v>
      </c>
      <c r="E12" s="11" t="s">
        <v>2294</v>
      </c>
      <c r="F12" s="144" t="s">
        <v>2295</v>
      </c>
      <c r="G12" s="11" t="s">
        <v>208</v>
      </c>
      <c r="H12" s="11" t="s">
        <v>2296</v>
      </c>
      <c r="I12" s="11" t="s">
        <v>2297</v>
      </c>
    </row>
    <row r="13" spans="1:9">
      <c r="A13" s="11" t="s">
        <v>2011</v>
      </c>
      <c r="B13" s="11" t="s">
        <v>2127</v>
      </c>
      <c r="C13" s="11" t="s">
        <v>2298</v>
      </c>
      <c r="D13" s="11">
        <v>2025</v>
      </c>
      <c r="E13" s="11" t="s">
        <v>2299</v>
      </c>
      <c r="F13" s="144" t="s">
        <v>2300</v>
      </c>
      <c r="G13" s="11" t="s">
        <v>208</v>
      </c>
      <c r="H13" s="11" t="s">
        <v>2301</v>
      </c>
      <c r="I13" s="11" t="s">
        <v>2302</v>
      </c>
    </row>
    <row r="14" spans="1:9" ht="23.25">
      <c r="A14" s="11" t="s">
        <v>2303</v>
      </c>
      <c r="B14" s="11" t="s">
        <v>486</v>
      </c>
      <c r="C14" s="11" t="s">
        <v>2304</v>
      </c>
      <c r="D14" s="11">
        <v>2022</v>
      </c>
      <c r="E14" s="11" t="s">
        <v>2305</v>
      </c>
      <c r="F14" s="144" t="s">
        <v>2306</v>
      </c>
      <c r="G14" s="11" t="s">
        <v>208</v>
      </c>
      <c r="H14" s="11" t="s">
        <v>2307</v>
      </c>
      <c r="I14" s="11" t="s">
        <v>2308</v>
      </c>
    </row>
    <row r="15" spans="1:9" ht="23.25">
      <c r="A15" s="11" t="s">
        <v>2309</v>
      </c>
      <c r="B15" s="11" t="s">
        <v>2310</v>
      </c>
      <c r="C15" s="11" t="s">
        <v>2311</v>
      </c>
      <c r="D15" s="11">
        <v>2025</v>
      </c>
      <c r="E15" s="11" t="s">
        <v>2312</v>
      </c>
      <c r="F15" s="144" t="s">
        <v>2313</v>
      </c>
      <c r="G15" s="11" t="s">
        <v>228</v>
      </c>
      <c r="H15" s="11" t="s">
        <v>2314</v>
      </c>
      <c r="I15" s="11" t="s">
        <v>2315</v>
      </c>
    </row>
    <row r="16" spans="1:9" ht="23.25">
      <c r="A16" s="11" t="s">
        <v>1940</v>
      </c>
      <c r="B16" s="11" t="s">
        <v>2316</v>
      </c>
      <c r="C16" s="11" t="s">
        <v>2317</v>
      </c>
      <c r="D16" s="11">
        <v>2026</v>
      </c>
      <c r="E16" s="11" t="s">
        <v>2318</v>
      </c>
      <c r="F16" s="144" t="s">
        <v>2319</v>
      </c>
      <c r="G16" s="11" t="s">
        <v>228</v>
      </c>
      <c r="H16" s="11" t="s">
        <v>2320</v>
      </c>
      <c r="I16" s="11" t="s">
        <v>2321</v>
      </c>
    </row>
    <row r="17" spans="1:9" ht="20.65">
      <c r="A17" s="11" t="s">
        <v>1953</v>
      </c>
      <c r="B17" s="11" t="s">
        <v>2322</v>
      </c>
      <c r="C17" s="11" t="s">
        <v>2323</v>
      </c>
      <c r="D17" s="11">
        <v>2020</v>
      </c>
      <c r="E17" s="11" t="s">
        <v>2324</v>
      </c>
      <c r="F17" s="144" t="s">
        <v>2325</v>
      </c>
      <c r="G17" s="11" t="s">
        <v>200</v>
      </c>
      <c r="H17" s="11" t="s">
        <v>2326</v>
      </c>
      <c r="I17" s="11" t="s">
        <v>2327</v>
      </c>
    </row>
    <row r="18" spans="1:9" ht="23.25">
      <c r="A18" s="11" t="s">
        <v>2042</v>
      </c>
      <c r="B18" s="11" t="s">
        <v>2328</v>
      </c>
      <c r="C18" s="11" t="s">
        <v>2329</v>
      </c>
      <c r="D18" s="11">
        <v>2018</v>
      </c>
      <c r="E18" s="11" t="s">
        <v>2330</v>
      </c>
      <c r="F18" s="144" t="s">
        <v>2331</v>
      </c>
      <c r="G18" s="11" t="s">
        <v>200</v>
      </c>
      <c r="H18" s="11" t="s">
        <v>2332</v>
      </c>
      <c r="I18" s="11" t="s">
        <v>2333</v>
      </c>
    </row>
    <row r="19" spans="1:9">
      <c r="A19" s="11" t="s">
        <v>2051</v>
      </c>
      <c r="B19" s="11" t="s">
        <v>2334</v>
      </c>
      <c r="C19" s="11" t="s">
        <v>2335</v>
      </c>
      <c r="D19" s="11">
        <v>2025</v>
      </c>
      <c r="E19" s="11" t="s">
        <v>2336</v>
      </c>
      <c r="F19" s="144" t="s">
        <v>2337</v>
      </c>
      <c r="G19" s="11" t="s">
        <v>208</v>
      </c>
      <c r="H19" s="11" t="s">
        <v>2338</v>
      </c>
      <c r="I19" s="11" t="s">
        <v>2339</v>
      </c>
    </row>
    <row r="20" spans="1:9">
      <c r="A20" s="11" t="s">
        <v>2059</v>
      </c>
      <c r="B20" s="11" t="s">
        <v>2340</v>
      </c>
      <c r="C20" s="11" t="s">
        <v>2341</v>
      </c>
      <c r="D20" s="11">
        <v>2025</v>
      </c>
      <c r="E20" s="11" t="s">
        <v>2342</v>
      </c>
      <c r="F20" s="144" t="s">
        <v>2343</v>
      </c>
      <c r="G20" s="11" t="s">
        <v>200</v>
      </c>
      <c r="H20" s="11" t="s">
        <v>2344</v>
      </c>
      <c r="I20" s="11" t="s">
        <v>2345</v>
      </c>
    </row>
    <row r="21" spans="1:9" ht="23.25">
      <c r="A21" s="11" t="s">
        <v>2071</v>
      </c>
      <c r="B21" s="11" t="s">
        <v>2346</v>
      </c>
      <c r="C21" s="11" t="s">
        <v>2347</v>
      </c>
      <c r="D21" s="11">
        <v>2023</v>
      </c>
      <c r="E21" s="11" t="s">
        <v>2348</v>
      </c>
      <c r="F21" s="144" t="s">
        <v>2349</v>
      </c>
      <c r="G21" s="11" t="s">
        <v>208</v>
      </c>
      <c r="H21" s="11" t="s">
        <v>2350</v>
      </c>
      <c r="I21" s="11" t="s">
        <v>2351</v>
      </c>
    </row>
    <row r="22" spans="1:9" ht="23.25">
      <c r="A22" s="11" t="s">
        <v>2088</v>
      </c>
      <c r="B22" s="11" t="s">
        <v>2352</v>
      </c>
      <c r="C22" s="11" t="s">
        <v>2353</v>
      </c>
      <c r="D22" s="11">
        <v>2022</v>
      </c>
      <c r="E22" s="11" t="s">
        <v>2354</v>
      </c>
      <c r="F22" s="144" t="s">
        <v>2355</v>
      </c>
      <c r="G22" s="11" t="s">
        <v>228</v>
      </c>
      <c r="H22" s="11" t="s">
        <v>2356</v>
      </c>
      <c r="I22" s="11" t="s">
        <v>2357</v>
      </c>
    </row>
    <row r="23" spans="1:9">
      <c r="A23" s="11" t="s">
        <v>2358</v>
      </c>
      <c r="B23" s="11" t="s">
        <v>2359</v>
      </c>
      <c r="C23" s="11" t="s">
        <v>2360</v>
      </c>
      <c r="D23" s="11">
        <v>2026</v>
      </c>
      <c r="E23" s="11" t="s">
        <v>2361</v>
      </c>
      <c r="F23" s="144" t="s">
        <v>2362</v>
      </c>
      <c r="G23" s="11" t="s">
        <v>208</v>
      </c>
      <c r="H23" s="11" t="s">
        <v>2363</v>
      </c>
      <c r="I23" s="11" t="s">
        <v>2364</v>
      </c>
    </row>
    <row r="24" spans="1:9">
      <c r="A24" s="11" t="s">
        <v>2365</v>
      </c>
      <c r="B24" s="11" t="s">
        <v>2366</v>
      </c>
      <c r="C24" s="11" t="s">
        <v>2367</v>
      </c>
      <c r="D24" s="11">
        <v>2026</v>
      </c>
      <c r="E24" s="11" t="s">
        <v>2368</v>
      </c>
      <c r="F24" s="144" t="s">
        <v>2369</v>
      </c>
      <c r="G24" s="11" t="s">
        <v>208</v>
      </c>
      <c r="H24" s="11" t="s">
        <v>2370</v>
      </c>
      <c r="I24" s="11" t="s">
        <v>2371</v>
      </c>
    </row>
    <row r="25" spans="1:9">
      <c r="A25" s="11" t="s">
        <v>2372</v>
      </c>
      <c r="B25" s="11" t="s">
        <v>2373</v>
      </c>
      <c r="C25" s="11" t="s">
        <v>2374</v>
      </c>
      <c r="D25" s="11">
        <v>2025</v>
      </c>
      <c r="E25" s="11" t="s">
        <v>2375</v>
      </c>
      <c r="F25" s="144" t="s">
        <v>2376</v>
      </c>
      <c r="G25" s="11" t="s">
        <v>228</v>
      </c>
      <c r="H25" s="11" t="s">
        <v>2377</v>
      </c>
      <c r="I25" s="11" t="s">
        <v>2378</v>
      </c>
    </row>
    <row r="26" spans="1:9">
      <c r="A26" s="11" t="s">
        <v>1943</v>
      </c>
      <c r="B26" s="11" t="s">
        <v>2379</v>
      </c>
      <c r="C26" s="11" t="s">
        <v>2380</v>
      </c>
      <c r="D26" s="11">
        <v>2026</v>
      </c>
      <c r="E26" s="11" t="s">
        <v>2381</v>
      </c>
      <c r="F26" s="144"/>
      <c r="G26" s="11" t="s">
        <v>228</v>
      </c>
      <c r="H26" s="11" t="s">
        <v>2382</v>
      </c>
      <c r="I26" s="11" t="s">
        <v>2383</v>
      </c>
    </row>
    <row r="27" spans="1:9">
      <c r="A27" s="11" t="s">
        <v>2019</v>
      </c>
      <c r="B27" s="11" t="s">
        <v>2384</v>
      </c>
      <c r="C27" s="11" t="s">
        <v>2385</v>
      </c>
      <c r="D27" s="11">
        <v>2026</v>
      </c>
      <c r="E27" s="11" t="s">
        <v>2386</v>
      </c>
      <c r="F27" s="144"/>
      <c r="G27" s="11" t="s">
        <v>228</v>
      </c>
      <c r="H27" s="11" t="s">
        <v>2387</v>
      </c>
      <c r="I27" s="11" t="s">
        <v>2388</v>
      </c>
    </row>
    <row r="28" spans="1:9">
      <c r="A28" s="11" t="s">
        <v>2084</v>
      </c>
      <c r="B28" s="11" t="s">
        <v>2389</v>
      </c>
      <c r="C28" s="11" t="s">
        <v>2390</v>
      </c>
      <c r="D28" s="11">
        <v>2026</v>
      </c>
      <c r="E28" s="11" t="s">
        <v>2391</v>
      </c>
      <c r="F28" s="144"/>
      <c r="G28" s="11" t="s">
        <v>228</v>
      </c>
      <c r="H28" s="11" t="s">
        <v>2392</v>
      </c>
      <c r="I28" s="11" t="s">
        <v>2393</v>
      </c>
    </row>
    <row r="29" spans="1:9">
      <c r="A29" s="5"/>
      <c r="B29" s="5"/>
      <c r="C29" s="5"/>
      <c r="D29" s="5"/>
      <c r="E29" s="5"/>
      <c r="F29" s="5"/>
      <c r="G29" s="5"/>
      <c r="H29" s="5"/>
      <c r="I29" s="5"/>
    </row>
    <row r="30" spans="1:9">
      <c r="A30" s="5"/>
      <c r="B30" s="5"/>
      <c r="C30" s="5"/>
      <c r="D30" s="5"/>
      <c r="E30" s="5"/>
      <c r="F30" s="5"/>
      <c r="G30" s="5"/>
      <c r="H30" s="5"/>
      <c r="I30" s="5"/>
    </row>
    <row r="31" spans="1:9">
      <c r="A31" s="5"/>
      <c r="B31" s="5"/>
      <c r="C31" s="5"/>
      <c r="D31" s="5"/>
      <c r="E31" s="5"/>
      <c r="F31" s="5"/>
      <c r="G31" s="5"/>
      <c r="H31" s="5"/>
      <c r="I31" s="5"/>
    </row>
    <row r="32" spans="1:9">
      <c r="A32" s="5"/>
      <c r="B32" s="5"/>
      <c r="C32" s="5"/>
      <c r="D32" s="5"/>
      <c r="E32" s="5"/>
      <c r="F32" s="5"/>
      <c r="G32" s="5"/>
      <c r="H32" s="5"/>
      <c r="I32" s="5"/>
    </row>
    <row r="33" spans="1:9">
      <c r="A33" s="5"/>
      <c r="B33" s="5"/>
      <c r="C33" s="5"/>
      <c r="D33" s="5"/>
      <c r="E33" s="5"/>
      <c r="F33" s="5"/>
      <c r="G33" s="5"/>
      <c r="H33" s="5"/>
      <c r="I33" s="5"/>
    </row>
    <row r="34" spans="1:9">
      <c r="A34" s="5"/>
      <c r="B34" s="5"/>
      <c r="C34" s="5"/>
      <c r="D34" s="5"/>
      <c r="E34" s="5"/>
      <c r="F34" s="5"/>
      <c r="G34" s="5"/>
      <c r="H34" s="5"/>
      <c r="I34" s="5"/>
    </row>
    <row r="35" spans="1:9">
      <c r="A35" s="5"/>
      <c r="B35" s="5"/>
      <c r="C35" s="5"/>
      <c r="D35" s="5"/>
      <c r="E35" s="5"/>
      <c r="F35" s="5"/>
      <c r="G35" s="5"/>
      <c r="H35" s="5"/>
      <c r="I35" s="5"/>
    </row>
    <row r="36" spans="1:9">
      <c r="A36" s="5"/>
      <c r="B36" s="5"/>
      <c r="C36" s="5"/>
      <c r="D36" s="5"/>
      <c r="E36" s="5"/>
      <c r="F36" s="5"/>
      <c r="G36" s="5"/>
      <c r="H36" s="5"/>
      <c r="I36" s="5"/>
    </row>
    <row r="37" spans="1:9">
      <c r="A37" s="5"/>
      <c r="B37" s="5"/>
      <c r="C37" s="5"/>
      <c r="D37" s="5"/>
      <c r="E37" s="5"/>
      <c r="F37" s="5"/>
      <c r="G37" s="5"/>
      <c r="H37" s="5"/>
      <c r="I37" s="5"/>
    </row>
    <row r="38" spans="1:9">
      <c r="A38" s="5"/>
      <c r="B38" s="5"/>
      <c r="C38" s="5"/>
      <c r="D38" s="5"/>
      <c r="E38" s="5"/>
      <c r="F38" s="5"/>
      <c r="G38" s="5"/>
      <c r="H38" s="5"/>
      <c r="I38" s="5"/>
    </row>
    <row r="39" spans="1:9">
      <c r="A39" s="5"/>
      <c r="B39" s="5"/>
      <c r="C39" s="5"/>
      <c r="D39" s="5"/>
      <c r="E39" s="5"/>
      <c r="F39" s="5"/>
      <c r="G39" s="5"/>
      <c r="H39" s="5"/>
      <c r="I39" s="5"/>
    </row>
    <row r="40" spans="1:9">
      <c r="A40" s="5"/>
      <c r="B40" s="5"/>
      <c r="C40" s="5"/>
      <c r="D40" s="5"/>
      <c r="E40" s="5"/>
      <c r="F40" s="5"/>
      <c r="G40" s="5"/>
      <c r="H40" s="5"/>
      <c r="I40" s="5"/>
    </row>
    <row r="41" spans="1:9">
      <c r="A41" s="5"/>
      <c r="B41" s="5"/>
      <c r="C41" s="5"/>
      <c r="D41" s="5"/>
      <c r="E41" s="5"/>
      <c r="F41" s="5"/>
      <c r="G41" s="5"/>
      <c r="H41" s="5"/>
      <c r="I41" s="5"/>
    </row>
    <row r="42" spans="1:9">
      <c r="A42" s="5"/>
      <c r="B42" s="5"/>
      <c r="C42" s="5"/>
      <c r="D42" s="5"/>
      <c r="E42" s="5"/>
      <c r="F42" s="5"/>
      <c r="G42" s="5"/>
      <c r="H42" s="5"/>
      <c r="I42" s="5"/>
    </row>
    <row r="43" spans="1:9">
      <c r="A43" s="5"/>
      <c r="B43" s="5"/>
      <c r="C43" s="5"/>
      <c r="D43" s="5"/>
      <c r="E43" s="5"/>
      <c r="F43" s="5"/>
      <c r="G43" s="5"/>
      <c r="H43" s="5"/>
      <c r="I43" s="5"/>
    </row>
    <row r="44" spans="1:9">
      <c r="A44" s="5"/>
      <c r="B44" s="5"/>
      <c r="C44" s="5"/>
      <c r="D44" s="5"/>
      <c r="E44" s="5"/>
      <c r="F44" s="5"/>
      <c r="G44" s="5"/>
      <c r="H44" s="5"/>
      <c r="I44" s="5"/>
    </row>
    <row r="45" spans="1:9">
      <c r="A45" s="5"/>
      <c r="B45" s="5"/>
      <c r="C45" s="5"/>
      <c r="D45" s="5"/>
      <c r="E45" s="5"/>
      <c r="F45" s="5"/>
      <c r="G45" s="5"/>
      <c r="H45" s="5"/>
      <c r="I45" s="5"/>
    </row>
  </sheetData>
  <mergeCells count="2">
    <mergeCell ref="A1:I1"/>
    <mergeCell ref="A2:I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2"/>
  <sheetViews>
    <sheetView showGridLines="0" workbookViewId="0">
      <selection activeCell="B7" sqref="B7"/>
    </sheetView>
  </sheetViews>
  <sheetFormatPr defaultRowHeight="13.5"/>
  <cols>
    <col min="1" max="1" width="34" customWidth="1"/>
    <col min="2" max="2" width="18" customWidth="1"/>
    <col min="3" max="3" width="20" customWidth="1"/>
    <col min="4" max="4" width="16" customWidth="1"/>
    <col min="5" max="6" width="12" customWidth="1"/>
    <col min="7" max="7" width="43" customWidth="1"/>
    <col min="8" max="8" width="37" customWidth="1"/>
  </cols>
  <sheetData>
    <row r="1" spans="1:8" ht="28.05" customHeight="1">
      <c r="A1" s="295" t="s">
        <v>2394</v>
      </c>
      <c r="B1" s="295"/>
      <c r="C1" s="295"/>
      <c r="D1" s="295"/>
      <c r="E1" s="295"/>
      <c r="F1" s="295"/>
      <c r="G1" s="295"/>
      <c r="H1" s="295"/>
    </row>
    <row r="2" spans="1:8" ht="42" customHeight="1">
      <c r="A2" s="296" t="s">
        <v>2395</v>
      </c>
      <c r="B2" s="296"/>
      <c r="C2" s="296"/>
      <c r="D2" s="296"/>
      <c r="E2" s="296"/>
      <c r="F2" s="296"/>
      <c r="G2" s="296"/>
      <c r="H2" s="296"/>
    </row>
    <row r="4" spans="1:8" ht="21" customHeight="1">
      <c r="A4" s="297" t="s">
        <v>2396</v>
      </c>
      <c r="B4" s="297"/>
      <c r="C4" s="297"/>
      <c r="D4" s="297"/>
      <c r="E4" s="297"/>
      <c r="F4" s="297"/>
      <c r="G4" s="297"/>
      <c r="H4" s="297"/>
    </row>
    <row r="5" spans="1:8" ht="32" customHeight="1">
      <c r="A5" s="163" t="s">
        <v>1358</v>
      </c>
      <c r="B5" s="163" t="s">
        <v>2397</v>
      </c>
      <c r="C5" s="163" t="s">
        <v>2398</v>
      </c>
      <c r="D5" s="163" t="s">
        <v>85</v>
      </c>
      <c r="E5" s="163" t="s">
        <v>1361</v>
      </c>
      <c r="F5" s="163" t="s">
        <v>120</v>
      </c>
      <c r="G5" s="163" t="s">
        <v>2399</v>
      </c>
      <c r="H5" s="163" t="s">
        <v>2400</v>
      </c>
    </row>
    <row r="6" spans="1:8" ht="31.05" customHeight="1">
      <c r="A6" s="15" t="s">
        <v>105</v>
      </c>
      <c r="B6" s="143">
        <f>'19_Optimasi_10Tahun'!$C$9</f>
        <v>63070168516.7668</v>
      </c>
      <c r="C6" s="143">
        <f>SUM('19_Optimasi_10Tahun'!$C$18:$L$18)</f>
        <v>63070168516.7668</v>
      </c>
      <c r="D6" s="12">
        <f t="shared" ref="D6:D14" si="0">B6-C6</f>
        <v>0</v>
      </c>
      <c r="E6" s="12">
        <v>1</v>
      </c>
      <c r="F6" s="11" t="str">
        <f t="shared" ref="F6:F14" si="1">IF(ABS(D6)&lt;=E6,"OK","REVIEW")</f>
        <v>OK</v>
      </c>
      <c r="G6" s="15" t="s">
        <v>2401</v>
      </c>
      <c r="H6" s="15" t="s">
        <v>2402</v>
      </c>
    </row>
    <row r="7" spans="1:8" ht="31.05" customHeight="1">
      <c r="A7" s="15" t="s">
        <v>89</v>
      </c>
      <c r="B7" s="143">
        <f>'19_Optimasi_10Tahun'!$C$8</f>
        <v>46681380905.593491</v>
      </c>
      <c r="C7" s="143">
        <f>SUM('19_Optimasi_10Tahun'!$C$19:$L$19)</f>
        <v>46681380905.593491</v>
      </c>
      <c r="D7" s="12">
        <f t="shared" si="0"/>
        <v>0</v>
      </c>
      <c r="E7" s="12">
        <v>1</v>
      </c>
      <c r="F7" s="11" t="str">
        <f t="shared" si="1"/>
        <v>OK</v>
      </c>
      <c r="G7" s="15" t="s">
        <v>2403</v>
      </c>
      <c r="H7" s="15" t="s">
        <v>2402</v>
      </c>
    </row>
    <row r="8" spans="1:8" ht="31.05" customHeight="1">
      <c r="A8" s="15" t="s">
        <v>102</v>
      </c>
      <c r="B8" s="143">
        <f>'19_Optimasi_10Tahun'!$C$7</f>
        <v>15050790860.646183</v>
      </c>
      <c r="C8" s="143">
        <f>SUM('19_Optimasi_10Tahun'!$B$20:$L$20)</f>
        <v>15050790860.646183</v>
      </c>
      <c r="D8" s="12">
        <f t="shared" si="0"/>
        <v>0</v>
      </c>
      <c r="E8" s="12">
        <v>1</v>
      </c>
      <c r="F8" s="11" t="str">
        <f t="shared" si="1"/>
        <v>OK</v>
      </c>
      <c r="G8" s="15" t="s">
        <v>2404</v>
      </c>
      <c r="H8" s="15" t="s">
        <v>2402</v>
      </c>
    </row>
    <row r="9" spans="1:8" ht="31.05" customHeight="1">
      <c r="A9" s="15" t="s">
        <v>107</v>
      </c>
      <c r="B9" s="143">
        <f>'19_Optimasi_10Tahun'!$C$10</f>
        <v>1337996750.5271311</v>
      </c>
      <c r="C9" s="143">
        <f>SUM('19_Optimasi_10Tahun'!$B$21:$L$21)</f>
        <v>1337996750.5271311</v>
      </c>
      <c r="D9" s="12">
        <f t="shared" si="0"/>
        <v>0</v>
      </c>
      <c r="E9" s="12">
        <v>1</v>
      </c>
      <c r="F9" s="11" t="str">
        <f t="shared" si="1"/>
        <v>OK</v>
      </c>
      <c r="G9" s="15" t="s">
        <v>2405</v>
      </c>
      <c r="H9" s="15" t="s">
        <v>2402</v>
      </c>
    </row>
    <row r="10" spans="1:8" ht="31.05" customHeight="1">
      <c r="A10" s="15" t="s">
        <v>2406</v>
      </c>
      <c r="B10" s="143">
        <f>'19_Optimasi_10Tahun'!$C$10</f>
        <v>1337996750.5271311</v>
      </c>
      <c r="C10" s="143">
        <f>'19_Optimasi_10Tahun'!$C$9-'19_Optimasi_10Tahun'!$C$8-'19_Optimasi_10Tahun'!$C$7</f>
        <v>1337996750.5271263</v>
      </c>
      <c r="D10" s="12">
        <f t="shared" si="0"/>
        <v>4.76837158203125E-6</v>
      </c>
      <c r="E10" s="12">
        <v>1</v>
      </c>
      <c r="F10" s="11" t="str">
        <f t="shared" si="1"/>
        <v>OK</v>
      </c>
      <c r="G10" s="15" t="s">
        <v>2407</v>
      </c>
      <c r="H10" s="15" t="s">
        <v>2402</v>
      </c>
    </row>
    <row r="11" spans="1:8" ht="31.05" customHeight="1">
      <c r="A11" s="15" t="s">
        <v>109</v>
      </c>
      <c r="B11" s="143">
        <f>'19_Optimasi_10Tahun'!$C$11</f>
        <v>-9409726636.8802471</v>
      </c>
      <c r="C11" s="143">
        <f>SUM('19_Optimasi_10Tahun'!$B$24:$L$24)</f>
        <v>-9409726636.8802471</v>
      </c>
      <c r="D11" s="12">
        <f t="shared" si="0"/>
        <v>0</v>
      </c>
      <c r="E11" s="12">
        <v>1</v>
      </c>
      <c r="F11" s="11" t="str">
        <f t="shared" si="1"/>
        <v>OK</v>
      </c>
      <c r="G11" s="15" t="s">
        <v>2408</v>
      </c>
      <c r="H11" s="15" t="s">
        <v>2402</v>
      </c>
    </row>
    <row r="12" spans="1:8" ht="31.05" customHeight="1">
      <c r="A12" s="15" t="s">
        <v>93</v>
      </c>
      <c r="B12" s="143">
        <f>'19_Optimasi_10Tahun'!$C$13</f>
        <v>17456171335.338364</v>
      </c>
      <c r="C12" s="143">
        <f>-MIN('19_Optimasi_10Tahun'!$B$22:$L$22)</f>
        <v>17456171335.338364</v>
      </c>
      <c r="D12" s="12">
        <f t="shared" si="0"/>
        <v>0</v>
      </c>
      <c r="E12" s="12">
        <v>1</v>
      </c>
      <c r="F12" s="11" t="str">
        <f t="shared" si="1"/>
        <v>OK</v>
      </c>
      <c r="G12" s="15" t="s">
        <v>2409</v>
      </c>
      <c r="H12" s="15" t="s">
        <v>2402</v>
      </c>
    </row>
    <row r="13" spans="1:8" ht="31.05" customHeight="1">
      <c r="A13" s="15" t="s">
        <v>2410</v>
      </c>
      <c r="B13" s="143">
        <f>'01_Dashboard'!$E$6</f>
        <v>14576030480</v>
      </c>
      <c r="C13" s="143">
        <f>'19_Optimasi_10Tahun'!$C$6</f>
        <v>14576030480</v>
      </c>
      <c r="D13" s="12">
        <f t="shared" si="0"/>
        <v>0</v>
      </c>
      <c r="E13" s="12">
        <v>1</v>
      </c>
      <c r="F13" s="11" t="str">
        <f t="shared" si="1"/>
        <v>OK</v>
      </c>
      <c r="G13" s="15" t="s">
        <v>2411</v>
      </c>
      <c r="H13" s="15" t="s">
        <v>2402</v>
      </c>
    </row>
    <row r="14" spans="1:8" ht="31.05" customHeight="1">
      <c r="A14" s="15" t="s">
        <v>2412</v>
      </c>
      <c r="B14" s="143">
        <f>'01_Dashboard'!$I$6</f>
        <v>17456171335.338364</v>
      </c>
      <c r="C14" s="143">
        <f>'19_Optimasi_10Tahun'!$C$13</f>
        <v>17456171335.338364</v>
      </c>
      <c r="D14" s="12">
        <f t="shared" si="0"/>
        <v>0</v>
      </c>
      <c r="E14" s="12">
        <v>1</v>
      </c>
      <c r="F14" s="11" t="str">
        <f t="shared" si="1"/>
        <v>OK</v>
      </c>
      <c r="G14" s="15" t="s">
        <v>2411</v>
      </c>
      <c r="H14" s="15" t="s">
        <v>2402</v>
      </c>
    </row>
    <row r="15" spans="1:8" ht="31.05" customHeight="1">
      <c r="A15" s="15"/>
      <c r="B15" s="168"/>
      <c r="C15" s="168"/>
      <c r="D15" s="11"/>
      <c r="E15" s="11"/>
      <c r="F15" s="11"/>
      <c r="G15" s="15"/>
      <c r="H15" s="15"/>
    </row>
    <row r="16" spans="1:8" ht="31.05" customHeight="1">
      <c r="A16" s="15"/>
      <c r="B16" s="168"/>
      <c r="C16" s="168"/>
      <c r="D16" s="11"/>
      <c r="E16" s="11"/>
      <c r="F16" s="11"/>
      <c r="G16" s="15"/>
      <c r="H16" s="15"/>
    </row>
    <row r="17" spans="1:8" ht="31.05" customHeight="1">
      <c r="A17" s="298" t="s">
        <v>2413</v>
      </c>
      <c r="B17" s="299"/>
      <c r="C17" s="299"/>
      <c r="D17" s="300"/>
      <c r="E17" s="300"/>
      <c r="F17" s="300"/>
      <c r="G17" s="298"/>
      <c r="H17" s="298"/>
    </row>
    <row r="18" spans="1:8" ht="31.05" customHeight="1">
      <c r="A18" s="163" t="s">
        <v>1358</v>
      </c>
      <c r="B18" s="166" t="s">
        <v>2397</v>
      </c>
      <c r="C18" s="166" t="s">
        <v>2414</v>
      </c>
      <c r="D18" s="167" t="s">
        <v>85</v>
      </c>
      <c r="E18" s="167" t="s">
        <v>1361</v>
      </c>
      <c r="F18" s="167" t="s">
        <v>120</v>
      </c>
      <c r="G18" s="163" t="s">
        <v>2399</v>
      </c>
      <c r="H18" s="163" t="s">
        <v>2400</v>
      </c>
    </row>
    <row r="19" spans="1:8" ht="31.05" customHeight="1">
      <c r="A19" s="15" t="s">
        <v>2415</v>
      </c>
      <c r="B19" s="143">
        <f>'19_Optimasi_10Tahun'!$C$6</f>
        <v>14576030480</v>
      </c>
      <c r="C19" s="143">
        <f>-'11_Cash_Flow'!$B$7-('20_Operasi_Efisien'!$B$63+'20_Operasi_Efisien'!$B$64)*(1+'02_Assumptions'!$C$14)+('20_Operasi_Efisien'!$B$65+'21_Pendapatan_Tambahan'!$A$32*'21_Pendapatan_Tambahan'!$C$32)*(1+'02_Assumptions'!$C$14)</f>
        <v>14576030480</v>
      </c>
      <c r="D19" s="12">
        <f>B19-C19</f>
        <v>0</v>
      </c>
      <c r="E19" s="12">
        <v>1</v>
      </c>
      <c r="F19" s="11" t="str">
        <f>IF(ABS(D19)&lt;=E19,"OK","REVIEW")</f>
        <v>OK</v>
      </c>
      <c r="G19" s="15" t="s">
        <v>2416</v>
      </c>
      <c r="H19" s="15" t="s">
        <v>2417</v>
      </c>
    </row>
    <row r="20" spans="1:8" ht="31.05" customHeight="1">
      <c r="A20" s="15" t="s">
        <v>2418</v>
      </c>
      <c r="B20" s="169">
        <f>'21_Pendapatan_Tambahan'!$B$51</f>
        <v>6.16</v>
      </c>
      <c r="C20" s="169">
        <f>'02_Assumptions'!$C$6*'02_Assumptions'!$C$7*'21_Pendapatan_Tambahan'!$C$6*'21_Pendapatan_Tambahan'!$C$7</f>
        <v>6.16</v>
      </c>
      <c r="D20" s="170">
        <f>B20-C20</f>
        <v>0</v>
      </c>
      <c r="E20" s="170">
        <v>1</v>
      </c>
      <c r="F20" s="11" t="str">
        <f>IF(ABS(D20)&lt;=E20,"OK","REVIEW")</f>
        <v>OK</v>
      </c>
      <c r="G20" s="15" t="s">
        <v>2419</v>
      </c>
      <c r="H20" s="15" t="s">
        <v>2420</v>
      </c>
    </row>
    <row r="21" spans="1:8" ht="31.05" customHeight="1">
      <c r="A21" s="15" t="s">
        <v>2421</v>
      </c>
      <c r="B21" s="169">
        <f>'17_Model_Fleksibel'!$E$6</f>
        <v>220000</v>
      </c>
      <c r="C21" s="169">
        <f>'17_Model_Fleksibel'!$A$6*'17_Model_Fleksibel'!$D$6*'02_Assumptions'!$C$24</f>
        <v>220000</v>
      </c>
      <c r="D21" s="170">
        <f>B21-C21</f>
        <v>0</v>
      </c>
      <c r="E21" s="170">
        <v>1</v>
      </c>
      <c r="F21" s="11" t="str">
        <f>IF(ABS(D21)&lt;=E21,"OK","REVIEW")</f>
        <v>OK</v>
      </c>
      <c r="G21" s="15" t="s">
        <v>2422</v>
      </c>
      <c r="H21" s="15" t="s">
        <v>2423</v>
      </c>
    </row>
    <row r="22" spans="1:8" ht="31.05" customHeight="1">
      <c r="A22" s="15" t="s">
        <v>2424</v>
      </c>
      <c r="B22" s="171">
        <f>'21_Pendapatan_Tambahan'!$C$20</f>
        <v>0.6</v>
      </c>
      <c r="C22" s="171">
        <v>1</v>
      </c>
      <c r="D22" s="170">
        <f>C22-B22</f>
        <v>0.4</v>
      </c>
      <c r="E22" s="170">
        <v>0</v>
      </c>
      <c r="F22" s="11" t="str">
        <f>IF(AND(B22&gt;=0,B22&lt;=C22),"OK","REVIEW")</f>
        <v>OK</v>
      </c>
      <c r="G22" s="15" t="s">
        <v>2425</v>
      </c>
      <c r="H22" s="15" t="s">
        <v>2426</v>
      </c>
    </row>
    <row r="23" spans="1:8" ht="31.05" customHeight="1">
      <c r="A23" s="15" t="s">
        <v>2427</v>
      </c>
      <c r="B23" s="143">
        <f>'21_Pendapatan_Tambahan'!$A$14*'21_Pendapatan_Tambahan'!$C$14</f>
        <v>0</v>
      </c>
      <c r="C23" s="143">
        <v>0</v>
      </c>
      <c r="D23" s="12">
        <f>B23-C23</f>
        <v>0</v>
      </c>
      <c r="E23" s="12">
        <v>1</v>
      </c>
      <c r="F23" s="11" t="str">
        <f>IF(ABS(D23)&lt;=E23,"OK","REVIEW")</f>
        <v>OK</v>
      </c>
      <c r="G23" s="15" t="s">
        <v>2428</v>
      </c>
      <c r="H23" s="15" t="s">
        <v>2429</v>
      </c>
    </row>
    <row r="24" spans="1:8" ht="31.05" customHeight="1">
      <c r="A24" s="15" t="s">
        <v>2430</v>
      </c>
      <c r="B24" s="143">
        <f>'01_Dashboard'!$A$10</f>
        <v>-9409726636.8802471</v>
      </c>
      <c r="C24" s="143">
        <f>'19_Optimasi_10Tahun'!$C$11</f>
        <v>-9409726636.8802471</v>
      </c>
      <c r="D24" s="12">
        <f>B24-C24</f>
        <v>0</v>
      </c>
      <c r="E24" s="12">
        <v>1</v>
      </c>
      <c r="F24" s="11" t="str">
        <f>IF(ABS(D24)&lt;=E24,"OK","REVIEW")</f>
        <v>OK</v>
      </c>
      <c r="G24" s="15" t="s">
        <v>2411</v>
      </c>
      <c r="H24" s="15" t="s">
        <v>2431</v>
      </c>
    </row>
    <row r="27" spans="1:8" ht="13.9">
      <c r="A27" s="301" t="s">
        <v>2432</v>
      </c>
      <c r="B27" s="301"/>
      <c r="C27" s="301"/>
      <c r="D27" s="301"/>
      <c r="E27" s="301"/>
      <c r="F27" s="165" t="str">
        <f>IF(COUNTIF(F6:F14,"&lt;&gt;OK")+COUNTIF(F19:F24,"&lt;&gt;OK")=0,"PASS","REVIEW")</f>
        <v>PASS</v>
      </c>
      <c r="G27" s="301" t="s">
        <v>2433</v>
      </c>
      <c r="H27" s="301"/>
    </row>
    <row r="30" spans="1:8">
      <c r="A30" s="302" t="s">
        <v>2434</v>
      </c>
      <c r="B30" s="302"/>
      <c r="C30" s="302"/>
      <c r="D30" s="302"/>
      <c r="E30" s="302"/>
      <c r="F30" s="302"/>
      <c r="G30" s="302"/>
      <c r="H30" s="302"/>
    </row>
    <row r="31" spans="1:8">
      <c r="A31" s="302"/>
      <c r="B31" s="302"/>
      <c r="C31" s="302"/>
      <c r="D31" s="302"/>
      <c r="E31" s="302"/>
      <c r="F31" s="302"/>
      <c r="G31" s="302"/>
      <c r="H31" s="302"/>
    </row>
    <row r="32" spans="1:8">
      <c r="A32" s="302"/>
      <c r="B32" s="302"/>
      <c r="C32" s="302"/>
      <c r="D32" s="302"/>
      <c r="E32" s="302"/>
      <c r="F32" s="302"/>
      <c r="G32" s="302"/>
      <c r="H32" s="302"/>
    </row>
  </sheetData>
  <mergeCells count="7">
    <mergeCell ref="A30:H32"/>
    <mergeCell ref="A1:H1"/>
    <mergeCell ref="A2:H2"/>
    <mergeCell ref="A4:H4"/>
    <mergeCell ref="A17:H17"/>
    <mergeCell ref="A27:E27"/>
    <mergeCell ref="G27:H2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4"/>
  <sheetViews>
    <sheetView showGridLines="0" workbookViewId="0">
      <selection sqref="A1:XFD1048576"/>
    </sheetView>
  </sheetViews>
  <sheetFormatPr defaultRowHeight="13.5"/>
  <cols>
    <col min="1" max="1" width="22.25" bestFit="1" customWidth="1"/>
    <col min="2" max="4" width="15.0625" bestFit="1" customWidth="1"/>
    <col min="5" max="6" width="16.3125" bestFit="1" customWidth="1"/>
    <col min="7" max="9" width="15.0625" bestFit="1" customWidth="1"/>
    <col min="10" max="11" width="16.0625" bestFit="1" customWidth="1"/>
    <col min="12" max="12" width="9.25" bestFit="1" customWidth="1"/>
  </cols>
  <sheetData>
    <row r="1" spans="1:12" ht="28.05" customHeight="1">
      <c r="A1" s="295" t="s">
        <v>2435</v>
      </c>
      <c r="B1" s="295"/>
      <c r="C1" s="295"/>
      <c r="D1" s="295"/>
      <c r="E1" s="295"/>
      <c r="F1" s="295"/>
      <c r="G1" s="295"/>
      <c r="H1" s="295"/>
      <c r="I1" s="295"/>
      <c r="J1" s="295"/>
      <c r="K1" s="295"/>
      <c r="L1" s="295"/>
    </row>
    <row r="2" spans="1:12" ht="34.049999999999997" customHeight="1">
      <c r="A2" s="296" t="s">
        <v>2436</v>
      </c>
      <c r="B2" s="296"/>
      <c r="C2" s="296"/>
      <c r="D2" s="296"/>
      <c r="E2" s="296"/>
      <c r="F2" s="296"/>
      <c r="G2" s="296"/>
      <c r="H2" s="296"/>
      <c r="I2" s="296"/>
      <c r="J2" s="296"/>
      <c r="K2" s="296"/>
      <c r="L2" s="296"/>
    </row>
    <row r="4" spans="1:12" ht="21" customHeight="1">
      <c r="A4" s="297" t="s">
        <v>2437</v>
      </c>
      <c r="B4" s="297"/>
      <c r="C4" s="297"/>
      <c r="D4" s="297"/>
      <c r="E4" s="297"/>
      <c r="F4" s="297"/>
      <c r="G4" s="297"/>
      <c r="H4" s="297"/>
      <c r="I4" s="297"/>
      <c r="J4" s="297"/>
      <c r="K4" s="297"/>
      <c r="L4" s="297"/>
    </row>
    <row r="5" spans="1:12" ht="28.05" customHeight="1">
      <c r="A5" s="172" t="s">
        <v>1959</v>
      </c>
      <c r="B5" s="172" t="s">
        <v>440</v>
      </c>
      <c r="C5" s="172" t="s">
        <v>441</v>
      </c>
      <c r="D5" s="172" t="s">
        <v>442</v>
      </c>
      <c r="E5" s="172" t="s">
        <v>443</v>
      </c>
      <c r="F5" s="172" t="s">
        <v>444</v>
      </c>
      <c r="G5" s="172" t="s">
        <v>445</v>
      </c>
      <c r="H5" s="172" t="s">
        <v>446</v>
      </c>
      <c r="I5" s="172" t="s">
        <v>447</v>
      </c>
      <c r="J5" s="172" t="s">
        <v>448</v>
      </c>
      <c r="K5" s="172" t="s">
        <v>449</v>
      </c>
      <c r="L5" s="172" t="s">
        <v>2438</v>
      </c>
    </row>
    <row r="6" spans="1:12" ht="26" customHeight="1">
      <c r="A6" t="s">
        <v>2439</v>
      </c>
      <c r="B6" s="9">
        <f>'19_Optimasi_10Tahun'!$C$18</f>
        <v>5263368000</v>
      </c>
      <c r="C6" s="9">
        <f>'19_Optimasi_10Tahun'!$D$18</f>
        <v>4844326080</v>
      </c>
      <c r="D6" s="9">
        <f>'19_Optimasi_10Tahun'!$E$18</f>
        <v>3387471540.7304635</v>
      </c>
      <c r="E6" s="9">
        <f>'19_Optimasi_10Tahun'!$F$18</f>
        <v>2703531428.3732724</v>
      </c>
      <c r="F6" s="9">
        <f>'19_Optimasi_10Tahun'!$G$18</f>
        <v>3215543572.1648746</v>
      </c>
      <c r="G6" s="9">
        <f>'19_Optimasi_10Tahun'!$H$18</f>
        <v>4580414558.0212154</v>
      </c>
      <c r="H6" s="9">
        <f>'19_Optimasi_10Tahun'!$I$18</f>
        <v>6668858680.4848833</v>
      </c>
      <c r="I6" s="9">
        <f>'19_Optimasi_10Tahun'!$J$18</f>
        <v>8858628473.9482346</v>
      </c>
      <c r="J6" s="9">
        <f>'19_Optimasi_10Tahun'!$K$18</f>
        <v>10917408329.867287</v>
      </c>
      <c r="K6" s="9">
        <f>'19_Optimasi_10Tahun'!$L$18</f>
        <v>12630617853.176571</v>
      </c>
      <c r="L6" t="s">
        <v>2440</v>
      </c>
    </row>
    <row r="7" spans="1:12" ht="26" customHeight="1">
      <c r="A7" t="s">
        <v>2441</v>
      </c>
      <c r="B7" s="9">
        <f>'10_Production_Revenue'!$B$21+'21_Pendapatan_Tambahan'!$B$63</f>
        <v>5263368000</v>
      </c>
      <c r="C7" s="9">
        <f>'10_Production_Revenue'!$C$21+'21_Pendapatan_Tambahan'!$C$63</f>
        <v>4844326080</v>
      </c>
      <c r="D7" s="9">
        <f>'10_Production_Revenue'!$D$21+'21_Pendapatan_Tambahan'!$D$63</f>
        <v>3387471540.7304635</v>
      </c>
      <c r="E7" s="9">
        <f>'10_Production_Revenue'!$E$21+'21_Pendapatan_Tambahan'!$E$63</f>
        <v>2703531428.3732724</v>
      </c>
      <c r="F7" s="9">
        <f>'10_Production_Revenue'!$F$21+'21_Pendapatan_Tambahan'!$F$63</f>
        <v>3215543572.1648746</v>
      </c>
      <c r="G7" s="9">
        <f>'10_Production_Revenue'!$G$21+'21_Pendapatan_Tambahan'!$G$63</f>
        <v>4580414558.0212154</v>
      </c>
      <c r="H7" s="9">
        <f>'10_Production_Revenue'!$H$21+'21_Pendapatan_Tambahan'!$H$63</f>
        <v>6668858680.4848833</v>
      </c>
      <c r="I7" s="9">
        <f>'10_Production_Revenue'!$I$21+'21_Pendapatan_Tambahan'!$I$63</f>
        <v>8858628473.9482346</v>
      </c>
      <c r="J7" s="9">
        <f>'10_Production_Revenue'!$J$21+'21_Pendapatan_Tambahan'!$J$63</f>
        <v>10917408329.867287</v>
      </c>
      <c r="K7" s="9">
        <f>'10_Production_Revenue'!$K$21+'21_Pendapatan_Tambahan'!$K$63</f>
        <v>12630617853.176571</v>
      </c>
      <c r="L7" t="s">
        <v>2440</v>
      </c>
    </row>
    <row r="8" spans="1:12" ht="26" customHeight="1">
      <c r="A8" t="s">
        <v>2442</v>
      </c>
      <c r="B8" s="9">
        <f t="shared" ref="B8:K8" si="0">B6-B7</f>
        <v>0</v>
      </c>
      <c r="C8" s="9">
        <f t="shared" si="0"/>
        <v>0</v>
      </c>
      <c r="D8" s="9">
        <f t="shared" si="0"/>
        <v>0</v>
      </c>
      <c r="E8" s="9">
        <f t="shared" si="0"/>
        <v>0</v>
      </c>
      <c r="F8" s="9">
        <f t="shared" si="0"/>
        <v>0</v>
      </c>
      <c r="G8" s="9">
        <f t="shared" si="0"/>
        <v>0</v>
      </c>
      <c r="H8" s="9">
        <f t="shared" si="0"/>
        <v>0</v>
      </c>
      <c r="I8" s="9">
        <f t="shared" si="0"/>
        <v>0</v>
      </c>
      <c r="J8" s="9">
        <f t="shared" si="0"/>
        <v>0</v>
      </c>
      <c r="K8" s="9">
        <f t="shared" si="0"/>
        <v>0</v>
      </c>
      <c r="L8" t="str">
        <f>IF(COUNTIF(B8:K8,"&gt;1")+COUNTIF(B8:K8,"&lt;-1")=0,"OK","REVIEW")</f>
        <v>OK</v>
      </c>
    </row>
    <row r="9" spans="1:12" ht="26" customHeight="1">
      <c r="A9" t="s">
        <v>2443</v>
      </c>
      <c r="B9" s="9">
        <f>'19_Optimasi_10Tahun'!$C$19</f>
        <v>4892418100</v>
      </c>
      <c r="C9" s="9">
        <f>'19_Optimasi_10Tahun'!$D$19</f>
        <v>4881120034.3359995</v>
      </c>
      <c r="D9" s="9">
        <f>'19_Optimasi_10Tahun'!$E$19</f>
        <v>4181436520.1024008</v>
      </c>
      <c r="E9" s="9">
        <f>'19_Optimasi_10Tahun'!$F$19</f>
        <v>3977236488.6691842</v>
      </c>
      <c r="F9" s="9">
        <f>'19_Optimasi_10Tahun'!$G$19</f>
        <v>4040032777.3777914</v>
      </c>
      <c r="G9" s="9">
        <f>'19_Optimasi_10Tahun'!$H$19</f>
        <v>4344701259.5553026</v>
      </c>
      <c r="H9" s="9">
        <f>'19_Optimasi_10Tahun'!$I$19</f>
        <v>4593020407.4718542</v>
      </c>
      <c r="I9" s="9">
        <f>'19_Optimasi_10Tahun'!$J$19</f>
        <v>5004079447.7189856</v>
      </c>
      <c r="J9" s="9">
        <f>'19_Optimasi_10Tahun'!$K$19</f>
        <v>5196465595.1419115</v>
      </c>
      <c r="K9" s="9">
        <f>'19_Optimasi_10Tahun'!$L$19</f>
        <v>5570870275.2200565</v>
      </c>
      <c r="L9" t="s">
        <v>2440</v>
      </c>
    </row>
    <row r="10" spans="1:12" ht="26" customHeight="1">
      <c r="A10" t="s">
        <v>2444</v>
      </c>
      <c r="B10" s="9">
        <f>MAX(0,'09_OPEX_10Y'!$B$17+'21_Pendapatan_Tambahan'!$B$64-'21_Pendapatan_Tambahan'!$B$65-'20_Operasi_Efisien'!$C$68+'20_Operasi_Efisien'!$C$67)</f>
        <v>4892418100</v>
      </c>
      <c r="C10" s="9">
        <f>MAX(0,'09_OPEX_10Y'!$C$17+'21_Pendapatan_Tambahan'!$C$64-'21_Pendapatan_Tambahan'!$C$65-'20_Operasi_Efisien'!$D$68+'20_Operasi_Efisien'!$D$67)</f>
        <v>4881120034.3359995</v>
      </c>
      <c r="D10" s="9">
        <f>MAX(0,'09_OPEX_10Y'!$D$17+'21_Pendapatan_Tambahan'!$D$64-'21_Pendapatan_Tambahan'!$D$65-'20_Operasi_Efisien'!$E$68+'20_Operasi_Efisien'!$E$67)</f>
        <v>4181436520.1024008</v>
      </c>
      <c r="E10" s="9">
        <f>MAX(0,'09_OPEX_10Y'!$E$17+'21_Pendapatan_Tambahan'!$E$64-'21_Pendapatan_Tambahan'!$E$65-'20_Operasi_Efisien'!$F$68+'20_Operasi_Efisien'!$F$67)</f>
        <v>3977236488.6691842</v>
      </c>
      <c r="F10" s="9">
        <f>MAX(0,'09_OPEX_10Y'!$F$17+'21_Pendapatan_Tambahan'!$F$64-'21_Pendapatan_Tambahan'!$F$65-'20_Operasi_Efisien'!$G$68+'20_Operasi_Efisien'!$G$67)</f>
        <v>4040032777.3777914</v>
      </c>
      <c r="G10" s="9">
        <f>MAX(0,'09_OPEX_10Y'!$G$17+'21_Pendapatan_Tambahan'!$G$64-'21_Pendapatan_Tambahan'!$G$65-'20_Operasi_Efisien'!$H$68+'20_Operasi_Efisien'!$H$67)</f>
        <v>4344701259.5553026</v>
      </c>
      <c r="H10" s="9">
        <f>MAX(0,'09_OPEX_10Y'!$H$17+'21_Pendapatan_Tambahan'!$H$64-'21_Pendapatan_Tambahan'!$H$65-'20_Operasi_Efisien'!$I$68+'20_Operasi_Efisien'!$I$67)</f>
        <v>4593020407.4718542</v>
      </c>
      <c r="I10" s="9">
        <f>MAX(0,'09_OPEX_10Y'!$I$17+'21_Pendapatan_Tambahan'!$I$64-'21_Pendapatan_Tambahan'!$I$65-'20_Operasi_Efisien'!$J$68+'20_Operasi_Efisien'!$J$67)</f>
        <v>5004079447.7189856</v>
      </c>
      <c r="J10" s="9">
        <f>MAX(0,'09_OPEX_10Y'!$J$17+'21_Pendapatan_Tambahan'!$J$64-'21_Pendapatan_Tambahan'!$J$65-'20_Operasi_Efisien'!$K$68+'20_Operasi_Efisien'!$K$67)</f>
        <v>5196465595.1419115</v>
      </c>
      <c r="K10" s="9">
        <f>MAX(0,'09_OPEX_10Y'!$K$17+'21_Pendapatan_Tambahan'!$K$64-'21_Pendapatan_Tambahan'!$K$65-'20_Operasi_Efisien'!$L$68+'20_Operasi_Efisien'!$L$67)</f>
        <v>5570870275.2200565</v>
      </c>
      <c r="L10" t="s">
        <v>2440</v>
      </c>
    </row>
    <row r="11" spans="1:12" ht="26" customHeight="1">
      <c r="A11" t="s">
        <v>2445</v>
      </c>
      <c r="B11" s="9">
        <f t="shared" ref="B11:K11" si="1">B9-B10</f>
        <v>0</v>
      </c>
      <c r="C11" s="9">
        <f t="shared" si="1"/>
        <v>0</v>
      </c>
      <c r="D11" s="9">
        <f t="shared" si="1"/>
        <v>0</v>
      </c>
      <c r="E11" s="9">
        <f t="shared" si="1"/>
        <v>0</v>
      </c>
      <c r="F11" s="9">
        <f t="shared" si="1"/>
        <v>0</v>
      </c>
      <c r="G11" s="9">
        <f t="shared" si="1"/>
        <v>0</v>
      </c>
      <c r="H11" s="9">
        <f t="shared" si="1"/>
        <v>0</v>
      </c>
      <c r="I11" s="9">
        <f t="shared" si="1"/>
        <v>0</v>
      </c>
      <c r="J11" s="9">
        <f t="shared" si="1"/>
        <v>0</v>
      </c>
      <c r="K11" s="9">
        <f t="shared" si="1"/>
        <v>0</v>
      </c>
      <c r="L11" t="str">
        <f>IF(COUNTIF(B11:K11,"&gt;1")+COUNTIF(B11:K11,"&lt;-1")=0,"OK","REVIEW")</f>
        <v>OK</v>
      </c>
    </row>
    <row r="12" spans="1:12" ht="26" customHeight="1">
      <c r="A12" t="s">
        <v>2446</v>
      </c>
      <c r="B12" s="9">
        <f>'19_Optimasi_10Tahun'!$C$20</f>
        <v>0</v>
      </c>
      <c r="C12" s="9">
        <f>'19_Optimasi_10Tahun'!$D$20</f>
        <v>0</v>
      </c>
      <c r="D12" s="9">
        <f>'19_Optimasi_10Tahun'!$E$20</f>
        <v>0</v>
      </c>
      <c r="E12" s="9">
        <f>'19_Optimasi_10Tahun'!$F$20</f>
        <v>0</v>
      </c>
      <c r="F12" s="9">
        <f>'19_Optimasi_10Tahun'!$G$20</f>
        <v>322137556.12159997</v>
      </c>
      <c r="G12" s="9">
        <f>'19_Optimasi_10Tahun'!$H$20</f>
        <v>0</v>
      </c>
      <c r="H12" s="9">
        <f>'19_Optimasi_10Tahun'!$I$20</f>
        <v>0</v>
      </c>
      <c r="I12" s="9">
        <f>'19_Optimasi_10Tahun'!$J$20</f>
        <v>152622824.5245837</v>
      </c>
      <c r="J12" s="9">
        <f>'19_Optimasi_10Tahun'!$K$20</f>
        <v>0</v>
      </c>
      <c r="K12" s="9">
        <f>'19_Optimasi_10Tahun'!$L$20</f>
        <v>0</v>
      </c>
      <c r="L12" t="s">
        <v>2440</v>
      </c>
    </row>
    <row r="13" spans="1:12" ht="26" customHeight="1">
      <c r="A13" t="s">
        <v>2447</v>
      </c>
      <c r="B13" s="9">
        <f>MAX(0,-'11_Cash_Flow'!$C$7-'20_Operasi_Efisien'!$C$66)</f>
        <v>0</v>
      </c>
      <c r="C13" s="9">
        <f>MAX(0,-'11_Cash_Flow'!$D$7-'20_Operasi_Efisien'!$D$66)</f>
        <v>0</v>
      </c>
      <c r="D13" s="9">
        <f>MAX(0,-'11_Cash_Flow'!$E$7-'20_Operasi_Efisien'!$E$66)</f>
        <v>0</v>
      </c>
      <c r="E13" s="9">
        <f>MAX(0,-'11_Cash_Flow'!$F$7-'20_Operasi_Efisien'!$F$66)</f>
        <v>0</v>
      </c>
      <c r="F13" s="9">
        <f>MAX(0,-'11_Cash_Flow'!$G$7-'20_Operasi_Efisien'!$G$66)</f>
        <v>322137556.12159997</v>
      </c>
      <c r="G13" s="9">
        <f>MAX(0,-'11_Cash_Flow'!$H$7-'20_Operasi_Efisien'!$H$66)</f>
        <v>0</v>
      </c>
      <c r="H13" s="9">
        <f>MAX(0,-'11_Cash_Flow'!$I$7-'20_Operasi_Efisien'!$I$66)</f>
        <v>0</v>
      </c>
      <c r="I13" s="9">
        <f>MAX(0,-'11_Cash_Flow'!$J$7-'20_Operasi_Efisien'!$J$66)</f>
        <v>152622824.5245837</v>
      </c>
      <c r="J13" s="9">
        <f>MAX(0,-'11_Cash_Flow'!$K$7-'20_Operasi_Efisien'!$K$66)</f>
        <v>0</v>
      </c>
      <c r="K13" s="9">
        <f>MAX(0,-'11_Cash_Flow'!$L$7-'20_Operasi_Efisien'!$L$66)</f>
        <v>0</v>
      </c>
      <c r="L13" t="s">
        <v>2440</v>
      </c>
    </row>
    <row r="14" spans="1:12" ht="26" customHeight="1">
      <c r="A14" t="s">
        <v>2448</v>
      </c>
      <c r="B14" s="9">
        <f t="shared" ref="B14:K14" si="2">B12-B13</f>
        <v>0</v>
      </c>
      <c r="C14" s="9">
        <f t="shared" si="2"/>
        <v>0</v>
      </c>
      <c r="D14" s="9">
        <f t="shared" si="2"/>
        <v>0</v>
      </c>
      <c r="E14" s="9">
        <f t="shared" si="2"/>
        <v>0</v>
      </c>
      <c r="F14" s="9">
        <f t="shared" si="2"/>
        <v>0</v>
      </c>
      <c r="G14" s="9">
        <f t="shared" si="2"/>
        <v>0</v>
      </c>
      <c r="H14" s="9">
        <f t="shared" si="2"/>
        <v>0</v>
      </c>
      <c r="I14" s="9">
        <f t="shared" si="2"/>
        <v>0</v>
      </c>
      <c r="J14" s="9">
        <f t="shared" si="2"/>
        <v>0</v>
      </c>
      <c r="K14" s="9">
        <f t="shared" si="2"/>
        <v>0</v>
      </c>
      <c r="L14" t="str">
        <f>IF(COUNTIF(B14:K14,"&gt;1")+COUNTIF(B14:K14,"&lt;-1")=0,"OK","REVIEW")</f>
        <v>OK</v>
      </c>
    </row>
    <row r="15" spans="1:12" ht="26" customHeight="1">
      <c r="A15" t="s">
        <v>2449</v>
      </c>
      <c r="B15" s="9">
        <f>'19_Optimasi_10Tahun'!$C$21</f>
        <v>370949900</v>
      </c>
      <c r="C15" s="9">
        <f>'19_Optimasi_10Tahun'!$D$21</f>
        <v>-36793954.335999489</v>
      </c>
      <c r="D15" s="9">
        <f>'19_Optimasi_10Tahun'!$E$21</f>
        <v>-793964979.37193727</v>
      </c>
      <c r="E15" s="9">
        <f>'19_Optimasi_10Tahun'!$F$21</f>
        <v>-1273705060.2959118</v>
      </c>
      <c r="F15" s="9">
        <f>'19_Optimasi_10Tahun'!$G$21</f>
        <v>-1146626761.3345168</v>
      </c>
      <c r="G15" s="9">
        <f>'19_Optimasi_10Tahun'!$H$21</f>
        <v>235713298.46591282</v>
      </c>
      <c r="H15" s="9">
        <f>'19_Optimasi_10Tahun'!$I$21</f>
        <v>2075838273.0130291</v>
      </c>
      <c r="I15" s="9">
        <f>'19_Optimasi_10Tahun'!$J$21</f>
        <v>3701926201.7046652</v>
      </c>
      <c r="J15" s="9">
        <f>'19_Optimasi_10Tahun'!$K$21</f>
        <v>5720942734.7253752</v>
      </c>
      <c r="K15" s="9">
        <f>'19_Optimasi_10Tahun'!$L$21</f>
        <v>7059747577.9565144</v>
      </c>
      <c r="L15" t="s">
        <v>2440</v>
      </c>
    </row>
    <row r="16" spans="1:12" ht="26" customHeight="1">
      <c r="A16" t="s">
        <v>2450</v>
      </c>
      <c r="B16" s="9">
        <f t="shared" ref="B16:K16" si="3">B7-B10-B13</f>
        <v>370949900</v>
      </c>
      <c r="C16" s="9">
        <f t="shared" si="3"/>
        <v>-36793954.335999489</v>
      </c>
      <c r="D16" s="9">
        <f t="shared" si="3"/>
        <v>-793964979.37193727</v>
      </c>
      <c r="E16" s="9">
        <f t="shared" si="3"/>
        <v>-1273705060.2959118</v>
      </c>
      <c r="F16" s="9">
        <f t="shared" si="3"/>
        <v>-1146626761.3345168</v>
      </c>
      <c r="G16" s="9">
        <f t="shared" si="3"/>
        <v>235713298.46591282</v>
      </c>
      <c r="H16" s="9">
        <f t="shared" si="3"/>
        <v>2075838273.0130291</v>
      </c>
      <c r="I16" s="9">
        <f t="shared" si="3"/>
        <v>3701926201.7046652</v>
      </c>
      <c r="J16" s="9">
        <f t="shared" si="3"/>
        <v>5720942734.7253752</v>
      </c>
      <c r="K16" s="9">
        <f t="shared" si="3"/>
        <v>7059747577.9565144</v>
      </c>
      <c r="L16" t="s">
        <v>2440</v>
      </c>
    </row>
    <row r="17" spans="1:12" ht="26" customHeight="1">
      <c r="A17" t="s">
        <v>2451</v>
      </c>
      <c r="B17" s="9">
        <f t="shared" ref="B17:K17" si="4">B15-B16</f>
        <v>0</v>
      </c>
      <c r="C17" s="9">
        <f t="shared" si="4"/>
        <v>0</v>
      </c>
      <c r="D17" s="9">
        <f t="shared" si="4"/>
        <v>0</v>
      </c>
      <c r="E17" s="9">
        <f t="shared" si="4"/>
        <v>0</v>
      </c>
      <c r="F17" s="9">
        <f t="shared" si="4"/>
        <v>0</v>
      </c>
      <c r="G17" s="9">
        <f t="shared" si="4"/>
        <v>0</v>
      </c>
      <c r="H17" s="9">
        <f t="shared" si="4"/>
        <v>0</v>
      </c>
      <c r="I17" s="9">
        <f t="shared" si="4"/>
        <v>0</v>
      </c>
      <c r="J17" s="9">
        <f t="shared" si="4"/>
        <v>0</v>
      </c>
      <c r="K17" s="9">
        <f t="shared" si="4"/>
        <v>0</v>
      </c>
      <c r="L17" t="str">
        <f>IF(COUNTIF(B17:K17,"&gt;1")+COUNTIF(B17:K17,"&lt;-1")=0,"OK","REVIEW")</f>
        <v>OK</v>
      </c>
    </row>
    <row r="18" spans="1:12" ht="26" customHeight="1">
      <c r="A18" t="s">
        <v>2452</v>
      </c>
      <c r="B18" t="str">
        <f t="shared" ref="B18:K18" si="5">IF(MAX(ABS(B8),ABS(B11),ABS(B14),ABS(B17))&lt;=1,"OK","REVIEW")</f>
        <v>OK</v>
      </c>
      <c r="C18" t="str">
        <f t="shared" si="5"/>
        <v>OK</v>
      </c>
      <c r="D18" t="str">
        <f t="shared" si="5"/>
        <v>OK</v>
      </c>
      <c r="E18" t="str">
        <f t="shared" si="5"/>
        <v>OK</v>
      </c>
      <c r="F18" t="str">
        <f t="shared" si="5"/>
        <v>OK</v>
      </c>
      <c r="G18" t="str">
        <f t="shared" si="5"/>
        <v>OK</v>
      </c>
      <c r="H18" t="str">
        <f t="shared" si="5"/>
        <v>OK</v>
      </c>
      <c r="I18" t="str">
        <f t="shared" si="5"/>
        <v>OK</v>
      </c>
      <c r="J18" t="str">
        <f t="shared" si="5"/>
        <v>OK</v>
      </c>
      <c r="K18" t="str">
        <f t="shared" si="5"/>
        <v>OK</v>
      </c>
      <c r="L18" t="str">
        <f>IF(COUNTIF(B18:K18,"&lt;&gt;OK")=0,"PASS","REVIEW")</f>
        <v>PASS</v>
      </c>
    </row>
    <row r="20" spans="1:12" ht="13.9">
      <c r="A20" s="303" t="s">
        <v>2453</v>
      </c>
      <c r="B20" s="303"/>
      <c r="C20" s="303"/>
      <c r="D20" s="303"/>
      <c r="E20" s="303"/>
      <c r="F20" s="303"/>
      <c r="G20" s="303"/>
      <c r="H20" s="303"/>
      <c r="I20" s="303"/>
      <c r="J20" s="303"/>
      <c r="K20" s="303"/>
      <c r="L20" s="164" t="str">
        <f>$L$18</f>
        <v>PASS</v>
      </c>
    </row>
    <row r="22" spans="1:12">
      <c r="A22" s="302" t="s">
        <v>2454</v>
      </c>
      <c r="B22" s="302"/>
      <c r="C22" s="302"/>
      <c r="D22" s="302"/>
      <c r="E22" s="302"/>
      <c r="F22" s="302"/>
      <c r="G22" s="302"/>
      <c r="H22" s="302"/>
      <c r="I22" s="302"/>
      <c r="J22" s="302"/>
      <c r="K22" s="302"/>
      <c r="L22" s="302"/>
    </row>
    <row r="23" spans="1:12">
      <c r="A23" s="302"/>
      <c r="B23" s="302"/>
      <c r="C23" s="302"/>
      <c r="D23" s="302"/>
      <c r="E23" s="302"/>
      <c r="F23" s="302"/>
      <c r="G23" s="302"/>
      <c r="H23" s="302"/>
      <c r="I23" s="302"/>
      <c r="J23" s="302"/>
      <c r="K23" s="302"/>
      <c r="L23" s="302"/>
    </row>
    <row r="24" spans="1:12">
      <c r="A24" s="302"/>
      <c r="B24" s="302"/>
      <c r="C24" s="302"/>
      <c r="D24" s="302"/>
      <c r="E24" s="302"/>
      <c r="F24" s="302"/>
      <c r="G24" s="302"/>
      <c r="H24" s="302"/>
      <c r="I24" s="302"/>
      <c r="J24" s="302"/>
      <c r="K24" s="302"/>
      <c r="L24" s="302"/>
    </row>
  </sheetData>
  <mergeCells count="5">
    <mergeCell ref="A1:L1"/>
    <mergeCell ref="A2:L2"/>
    <mergeCell ref="A4:L4"/>
    <mergeCell ref="A20:K20"/>
    <mergeCell ref="A22:L2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4"/>
  <sheetViews>
    <sheetView showGridLines="0" workbookViewId="0"/>
  </sheetViews>
  <sheetFormatPr defaultRowHeight="13.5"/>
  <cols>
    <col min="1" max="1" width="28" customWidth="1"/>
    <col min="2" max="2" width="22" customWidth="1"/>
    <col min="3" max="3" width="24" customWidth="1"/>
    <col min="4" max="4" width="18" customWidth="1"/>
    <col min="5" max="5" width="12" customWidth="1"/>
    <col min="6" max="6" width="16" customWidth="1"/>
    <col min="7" max="7" width="22" customWidth="1"/>
    <col min="8" max="8" width="42" customWidth="1"/>
  </cols>
  <sheetData>
    <row r="1" spans="1:8" ht="28.05" customHeight="1">
      <c r="A1" s="304" t="s">
        <v>2455</v>
      </c>
      <c r="B1" s="304"/>
      <c r="C1" s="304"/>
      <c r="D1" s="304"/>
      <c r="E1" s="304"/>
      <c r="F1" s="304"/>
      <c r="G1" s="304"/>
      <c r="H1" s="304"/>
    </row>
    <row r="2" spans="1:8" ht="34.049999999999997" customHeight="1">
      <c r="A2" s="305" t="s">
        <v>2456</v>
      </c>
      <c r="B2" s="305"/>
      <c r="C2" s="305"/>
      <c r="D2" s="305"/>
      <c r="E2" s="305"/>
      <c r="F2" s="305"/>
      <c r="G2" s="305"/>
      <c r="H2" s="305"/>
    </row>
    <row r="3" spans="1:8">
      <c r="A3" s="15"/>
      <c r="B3" s="15"/>
      <c r="C3" s="15"/>
      <c r="D3" s="15"/>
      <c r="E3" s="15"/>
      <c r="F3" s="15"/>
      <c r="G3" s="15"/>
      <c r="H3" s="15"/>
    </row>
    <row r="4" spans="1:8" ht="13.9">
      <c r="A4" s="202" t="s">
        <v>2181</v>
      </c>
      <c r="B4" s="202" t="s">
        <v>135</v>
      </c>
      <c r="C4" s="202" t="s">
        <v>2457</v>
      </c>
      <c r="D4" s="202" t="s">
        <v>2458</v>
      </c>
      <c r="E4" s="15"/>
      <c r="F4" s="15"/>
      <c r="G4" s="15"/>
      <c r="H4" s="15"/>
    </row>
    <row r="5" spans="1:8" ht="13.9">
      <c r="A5" s="173" t="s">
        <v>2459</v>
      </c>
      <c r="B5" s="174" t="s">
        <v>2460</v>
      </c>
      <c r="C5" s="174" t="s">
        <v>2461</v>
      </c>
      <c r="D5" s="203">
        <f>'02_Assumptions'!$C$6</f>
        <v>100</v>
      </c>
      <c r="E5" s="15"/>
      <c r="F5" s="15"/>
      <c r="G5" s="15"/>
      <c r="H5" s="15"/>
    </row>
    <row r="6" spans="1:8" ht="13.9">
      <c r="A6" s="175" t="s">
        <v>2459</v>
      </c>
      <c r="B6" s="176" t="s">
        <v>1721</v>
      </c>
      <c r="C6" s="176" t="s">
        <v>2462</v>
      </c>
      <c r="D6" s="204">
        <f>'02_Assumptions'!$C$8</f>
        <v>1</v>
      </c>
      <c r="E6" s="15"/>
      <c r="F6" s="15"/>
      <c r="G6" s="15"/>
      <c r="H6" s="15"/>
    </row>
    <row r="7" spans="1:8">
      <c r="A7" s="175" t="s">
        <v>2463</v>
      </c>
      <c r="B7" s="176" t="s">
        <v>2464</v>
      </c>
      <c r="C7" s="176" t="s">
        <v>2465</v>
      </c>
      <c r="D7" s="205">
        <f>'02_Assumptions'!$C$24</f>
        <v>88</v>
      </c>
      <c r="E7" s="15"/>
      <c r="F7" s="15"/>
      <c r="G7" s="15"/>
      <c r="H7" s="15"/>
    </row>
    <row r="8" spans="1:8">
      <c r="A8" s="175" t="s">
        <v>2463</v>
      </c>
      <c r="B8" s="176" t="s">
        <v>2466</v>
      </c>
      <c r="C8" s="176" t="s">
        <v>2467</v>
      </c>
      <c r="D8" s="205">
        <f>'02_Assumptions'!$C$25</f>
        <v>12</v>
      </c>
      <c r="E8" s="15"/>
      <c r="F8" s="15"/>
      <c r="G8" s="15"/>
      <c r="H8" s="15"/>
    </row>
    <row r="9" spans="1:8">
      <c r="A9" s="15"/>
      <c r="B9" s="15"/>
      <c r="C9" s="15"/>
      <c r="D9" s="15"/>
      <c r="E9" s="15"/>
      <c r="F9" s="15"/>
      <c r="G9" s="15"/>
      <c r="H9" s="15"/>
    </row>
    <row r="10" spans="1:8">
      <c r="A10" s="15"/>
      <c r="B10" s="15"/>
      <c r="C10" s="15"/>
      <c r="D10" s="15"/>
      <c r="E10" s="15"/>
      <c r="F10" s="15"/>
      <c r="G10" s="15"/>
      <c r="H10" s="15"/>
    </row>
    <row r="11" spans="1:8" ht="13.9">
      <c r="A11" s="202" t="s">
        <v>1358</v>
      </c>
      <c r="B11" s="202" t="s">
        <v>1359</v>
      </c>
      <c r="C11" s="202" t="s">
        <v>2468</v>
      </c>
      <c r="D11" s="202" t="s">
        <v>85</v>
      </c>
      <c r="E11" s="202" t="s">
        <v>1361</v>
      </c>
      <c r="F11" s="202" t="s">
        <v>120</v>
      </c>
      <c r="G11" s="202" t="s">
        <v>2469</v>
      </c>
      <c r="H11" s="202" t="s">
        <v>140</v>
      </c>
    </row>
    <row r="12" spans="1:8">
      <c r="A12" s="173" t="s">
        <v>2464</v>
      </c>
      <c r="B12" s="177">
        <f>'02_Assumptions'!$C$24</f>
        <v>88</v>
      </c>
      <c r="C12" s="177">
        <f>'02_Assumptions'!$C$6*'02_Assumptions'!$C$7</f>
        <v>88</v>
      </c>
      <c r="D12" s="177">
        <f t="shared" ref="D12:D19" si="0">B12-C12</f>
        <v>0</v>
      </c>
      <c r="E12" s="177">
        <v>1E-4</v>
      </c>
      <c r="F12" s="174" t="str">
        <f t="shared" ref="F12:F19" si="1">IF(ABS(D12)&lt;=E12,"OK","PERIKSA")</f>
        <v>OK</v>
      </c>
      <c r="G12" s="174" t="s">
        <v>2470</v>
      </c>
      <c r="H12" s="174" t="s">
        <v>2471</v>
      </c>
    </row>
    <row r="13" spans="1:8">
      <c r="A13" s="175" t="s">
        <v>2472</v>
      </c>
      <c r="B13" s="178">
        <f>'04_Planting_Design'!$D$6</f>
        <v>7304</v>
      </c>
      <c r="C13" s="178">
        <f>'02_Assumptions'!$C$24*'02_Assumptions'!$C$26*'02_Assumptions'!$C$150</f>
        <v>7304</v>
      </c>
      <c r="D13" s="178">
        <f t="shared" si="0"/>
        <v>0</v>
      </c>
      <c r="E13" s="178">
        <v>0.01</v>
      </c>
      <c r="F13" s="176" t="str">
        <f t="shared" si="1"/>
        <v>OK</v>
      </c>
      <c r="G13" s="176" t="s">
        <v>2470</v>
      </c>
      <c r="H13" s="176" t="s">
        <v>2473</v>
      </c>
    </row>
    <row r="14" spans="1:8">
      <c r="A14" s="175" t="s">
        <v>2474</v>
      </c>
      <c r="B14" s="178">
        <f>'04_Planting_Design'!$F$6</f>
        <v>2640</v>
      </c>
      <c r="C14" s="178">
        <f>'02_Assumptions'!$C$24*'02_Assumptions'!$C$27*'02_Assumptions'!$C$151</f>
        <v>2640</v>
      </c>
      <c r="D14" s="178">
        <f t="shared" si="0"/>
        <v>0</v>
      </c>
      <c r="E14" s="178">
        <v>0.01</v>
      </c>
      <c r="F14" s="176" t="str">
        <f t="shared" si="1"/>
        <v>OK</v>
      </c>
      <c r="G14" s="176" t="s">
        <v>2470</v>
      </c>
      <c r="H14" s="176" t="s">
        <v>2473</v>
      </c>
    </row>
    <row r="15" spans="1:8">
      <c r="A15" s="175" t="s">
        <v>2475</v>
      </c>
      <c r="B15" s="178">
        <f>'04_Planting_Design'!$H$6</f>
        <v>44000</v>
      </c>
      <c r="C15" s="178">
        <f>'02_Assumptions'!$C$24*'02_Assumptions'!$C$28*'02_Assumptions'!$C$152</f>
        <v>44000</v>
      </c>
      <c r="D15" s="178">
        <f t="shared" si="0"/>
        <v>0</v>
      </c>
      <c r="E15" s="178">
        <v>0.01</v>
      </c>
      <c r="F15" s="176" t="str">
        <f t="shared" si="1"/>
        <v>OK</v>
      </c>
      <c r="G15" s="176" t="s">
        <v>2470</v>
      </c>
      <c r="H15" s="176" t="s">
        <v>2473</v>
      </c>
    </row>
    <row r="16" spans="1:8">
      <c r="A16" s="175" t="s">
        <v>2476</v>
      </c>
      <c r="B16" s="178">
        <f>'04_Planting_Design'!$L$6</f>
        <v>220000</v>
      </c>
      <c r="C16" s="178">
        <f>'17_Model_Fleksibel'!$E$6</f>
        <v>220000</v>
      </c>
      <c r="D16" s="178">
        <f t="shared" si="0"/>
        <v>0</v>
      </c>
      <c r="E16" s="178">
        <v>0.01</v>
      </c>
      <c r="F16" s="176" t="str">
        <f t="shared" si="1"/>
        <v>OK</v>
      </c>
      <c r="G16" s="176" t="s">
        <v>2470</v>
      </c>
      <c r="H16" s="176" t="s">
        <v>2477</v>
      </c>
    </row>
    <row r="17" spans="1:8">
      <c r="A17" s="175" t="s">
        <v>2478</v>
      </c>
      <c r="B17" s="178">
        <f>SUM('05_Workplan_Labor'!$I$6:$I$25)+(SUM('05_Workplan_Labor'!$J$6:$J$25)-SUM('05_Workplan_Labor'!$I$6:$I$25))*('02_Assumptions'!$C$8-1)/3</f>
        <v>9974.0800000000017</v>
      </c>
      <c r="C17" s="178">
        <f>SUM('05_Workplan_Labor'!$N$6:$Y$25)</f>
        <v>9974.0800000000017</v>
      </c>
      <c r="D17" s="178">
        <f t="shared" si="0"/>
        <v>0</v>
      </c>
      <c r="E17" s="178">
        <v>0.01</v>
      </c>
      <c r="F17" s="176" t="str">
        <f t="shared" si="1"/>
        <v>OK</v>
      </c>
      <c r="G17" s="176" t="s">
        <v>2479</v>
      </c>
      <c r="H17" s="176" t="s">
        <v>2480</v>
      </c>
    </row>
    <row r="18" spans="1:8">
      <c r="A18" s="175" t="s">
        <v>2481</v>
      </c>
      <c r="B18" s="178">
        <f>'07_Agri_Inputs'!$H$10</f>
        <v>124487</v>
      </c>
      <c r="C18" s="178">
        <f>'07_Agri_Inputs'!$H$10</f>
        <v>124487</v>
      </c>
      <c r="D18" s="178">
        <f t="shared" si="0"/>
        <v>0</v>
      </c>
      <c r="E18" s="178">
        <v>0.01</v>
      </c>
      <c r="F18" s="176" t="str">
        <f t="shared" si="1"/>
        <v>OK</v>
      </c>
      <c r="G18" s="176" t="s">
        <v>2482</v>
      </c>
      <c r="H18" s="176" t="s">
        <v>2483</v>
      </c>
    </row>
    <row r="19" spans="1:8">
      <c r="A19" s="175" t="s">
        <v>2484</v>
      </c>
      <c r="B19" s="178">
        <f>'20_Operasi_Efisien'!$D$13</f>
        <v>92</v>
      </c>
      <c r="C19" s="178">
        <f>ROUNDUP(MAX('05_Workplan_Labor'!$Z$27*1.3,'02_Assumptions'!$C$8*10),0)</f>
        <v>92</v>
      </c>
      <c r="D19" s="178">
        <f t="shared" si="0"/>
        <v>0</v>
      </c>
      <c r="E19" s="178">
        <v>0.01</v>
      </c>
      <c r="F19" s="176" t="str">
        <f t="shared" si="1"/>
        <v>OK</v>
      </c>
      <c r="G19" s="176" t="s">
        <v>2485</v>
      </c>
      <c r="H19" s="176" t="s">
        <v>2486</v>
      </c>
    </row>
    <row r="20" spans="1:8">
      <c r="A20" s="175" t="s">
        <v>2487</v>
      </c>
      <c r="B20" s="176" t="str">
        <f>'20_Operasi_Efisien'!$P$6</f>
        <v>Sewa</v>
      </c>
      <c r="C20" s="176" t="str">
        <f>'20_Operasi_Efisien'!$U$6</f>
        <v>Sewa</v>
      </c>
      <c r="D20" s="176">
        <f>IF(B20=C20,0,1)</f>
        <v>0</v>
      </c>
      <c r="E20" s="176">
        <v>0</v>
      </c>
      <c r="F20" s="176" t="str">
        <f>IF(D20=0,"OK","PERIKSA")</f>
        <v>OK</v>
      </c>
      <c r="G20" s="176" t="s">
        <v>2488</v>
      </c>
      <c r="H20" s="176" t="s">
        <v>2489</v>
      </c>
    </row>
    <row r="21" spans="1:8">
      <c r="A21" s="15"/>
      <c r="B21" s="15"/>
      <c r="C21" s="15"/>
      <c r="D21" s="15"/>
      <c r="E21" s="15"/>
      <c r="F21" s="15"/>
      <c r="G21" s="15"/>
      <c r="H21" s="15"/>
    </row>
    <row r="22" spans="1:8">
      <c r="A22" s="15"/>
      <c r="B22" s="15"/>
      <c r="C22" s="15"/>
      <c r="D22" s="15"/>
      <c r="E22" s="15"/>
      <c r="F22" s="15"/>
      <c r="G22" s="15"/>
      <c r="H22" s="15"/>
    </row>
    <row r="23" spans="1:8" ht="13.9">
      <c r="A23" s="306" t="s">
        <v>2490</v>
      </c>
      <c r="B23" s="306"/>
      <c r="C23" s="306"/>
      <c r="D23" s="306"/>
      <c r="E23" s="306"/>
      <c r="F23" s="306"/>
      <c r="G23" s="306"/>
      <c r="H23" s="306"/>
    </row>
    <row r="24" spans="1:8" ht="16.899999999999999">
      <c r="A24" s="307" t="str">
        <f>IF(COUNTIF(F12:F20,"PERIKSA")=0,"PASS — dependensi utama tertaut","REVIEW — lihat baris berstatus PERIKSA")</f>
        <v>PASS — dependensi utama tertaut</v>
      </c>
      <c r="B24" s="307"/>
      <c r="C24" s="307"/>
      <c r="D24" s="307"/>
      <c r="E24" s="307"/>
      <c r="F24" s="307"/>
      <c r="G24" s="307"/>
      <c r="H24" s="307"/>
    </row>
  </sheetData>
  <mergeCells count="4">
    <mergeCell ref="A1:H1"/>
    <mergeCell ref="A2:H2"/>
    <mergeCell ref="A23:H23"/>
    <mergeCell ref="A24:H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00_Cover</vt:lpstr>
      <vt:lpstr>Panduan_Per_Sheet</vt:lpstr>
      <vt:lpstr>01_Dashboard</vt:lpstr>
      <vt:lpstr>02_Assumptions</vt:lpstr>
      <vt:lpstr>03_Land_Screening</vt:lpstr>
      <vt:lpstr>04_Planting_Design</vt:lpstr>
      <vt:lpstr>05_Workplan_Labor</vt:lpstr>
      <vt:lpstr>06_Equipment_Tools</vt:lpstr>
      <vt:lpstr>07_Agri_Inputs</vt:lpstr>
      <vt:lpstr>08_CAPEX_RAB</vt:lpstr>
      <vt:lpstr>09_OPEX_10Y</vt:lpstr>
      <vt:lpstr>10_Production_Revenue</vt:lpstr>
      <vt:lpstr>11_Cash_Flow</vt:lpstr>
      <vt:lpstr>12_Scenario_1v4</vt:lpstr>
      <vt:lpstr>13_Sensitivity</vt:lpstr>
      <vt:lpstr>14_Certification_ESG</vt:lpstr>
      <vt:lpstr>15_Checks</vt:lpstr>
      <vt:lpstr>16_Sources</vt:lpstr>
      <vt:lpstr>17_Model_Fleksibel</vt:lpstr>
      <vt:lpstr>20_Operasi_Efisien</vt:lpstr>
      <vt:lpstr>21_Pendapatan_Tambahan</vt:lpstr>
      <vt:lpstr>19_Optimasi_10Tahun</vt:lpstr>
      <vt:lpstr>22_Sumber_Optimasi</vt:lpstr>
      <vt:lpstr>23_Audit_Formula</vt:lpstr>
      <vt:lpstr>24_Audit_Tahunan</vt:lpstr>
      <vt:lpstr>25_Peta_Penggerak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Fadly</dc:creator>
  <cp:lastModifiedBy>Muhammad Fadly</cp:lastModifiedBy>
  <dcterms:created xsi:type="dcterms:W3CDTF">2026-08-27T11:31:24Z</dcterms:created>
  <dcterms:modified xsi:type="dcterms:W3CDTF">2026-08-27T11:31:24Z</dcterms:modified>
</cp:coreProperties>
</file>