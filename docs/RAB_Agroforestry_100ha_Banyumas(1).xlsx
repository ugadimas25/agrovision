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eae6384c8f64f9a" /></Relationships>
</file>

<file path=xl/workbook.xml><?xml version="1.0" encoding="utf-8"?>
<x:workbook xmlns:x="http://schemas.openxmlformats.org/spreadsheetml/2006/main">
  <x:sheets>
    <x:sheet xmlns:r="http://schemas.openxmlformats.org/officeDocument/2006/relationships" name="00_Cover" sheetId="1" r:id="Rfe88e71c12a34938"/>
    <x:sheet xmlns:r="http://schemas.openxmlformats.org/officeDocument/2006/relationships" name="01_Dashboard" sheetId="2" r:id="Re91178bbcacb4363"/>
    <x:sheet xmlns:r="http://schemas.openxmlformats.org/officeDocument/2006/relationships" name="02_Assumptions" sheetId="3" r:id="R698dc17f834c43a3"/>
    <x:sheet xmlns:r="http://schemas.openxmlformats.org/officeDocument/2006/relationships" name="03_Land_Screening" sheetId="4" r:id="R7f06180e1b714edf"/>
    <x:sheet xmlns:r="http://schemas.openxmlformats.org/officeDocument/2006/relationships" name="04_Planting_Design" sheetId="5" r:id="R2271184e892c4181"/>
    <x:sheet xmlns:r="http://schemas.openxmlformats.org/officeDocument/2006/relationships" name="05_Workplan_Labor" sheetId="6" r:id="Rc2e1372a52834eb5"/>
    <x:sheet xmlns:r="http://schemas.openxmlformats.org/officeDocument/2006/relationships" name="06_Equipment_Tools" sheetId="7" r:id="Ra869108967fd415f"/>
    <x:sheet xmlns:r="http://schemas.openxmlformats.org/officeDocument/2006/relationships" name="07_Agri_Inputs" sheetId="8" r:id="R5339c12a5a1a4fdf"/>
    <x:sheet xmlns:r="http://schemas.openxmlformats.org/officeDocument/2006/relationships" name="08_CAPEX_RAB" sheetId="9" r:id="R06868b0cc7c94d38"/>
    <x:sheet xmlns:r="http://schemas.openxmlformats.org/officeDocument/2006/relationships" name="09_OPEX_10Y" sheetId="10" r:id="R420be15b1fae4b2b"/>
    <x:sheet xmlns:r="http://schemas.openxmlformats.org/officeDocument/2006/relationships" name="10_Production_Revenue" sheetId="11" r:id="R29ff67c314414762"/>
    <x:sheet xmlns:r="http://schemas.openxmlformats.org/officeDocument/2006/relationships" name="11_Cash_Flow" sheetId="12" r:id="R78c3994ec9b542a9"/>
    <x:sheet xmlns:r="http://schemas.openxmlformats.org/officeDocument/2006/relationships" name="12_Scenario_1v4" sheetId="13" r:id="Re7e6711e9d4f4890"/>
    <x:sheet xmlns:r="http://schemas.openxmlformats.org/officeDocument/2006/relationships" name="13_Sensitivity" sheetId="14" r:id="Rd3f9d315c13f4530"/>
    <x:sheet xmlns:r="http://schemas.openxmlformats.org/officeDocument/2006/relationships" name="14_Certification_ESG" sheetId="15" r:id="Rc06826730dbb4413"/>
    <x:sheet xmlns:r="http://schemas.openxmlformats.org/officeDocument/2006/relationships" name="15_Checks" sheetId="16" r:id="R35c9f17190114a93"/>
    <x:sheet xmlns:r="http://schemas.openxmlformats.org/officeDocument/2006/relationships" name="16_Sources" sheetId="17" r:id="Reb67d159ebb84862"/>
    <x:sheet xmlns:r="http://schemas.openxmlformats.org/officeDocument/2006/relationships" name="17_Model_Fleksibel" sheetId="18" r:id="R3eb04aac6a234c3d"/>
    <x:sheet xmlns:r="http://schemas.openxmlformats.org/officeDocument/2006/relationships" name="18_Panduan_Per_Sheet" sheetId="19" r:id="R8af28fcfc15940f5"/>
  </x:sheets>
</x:workbook>
</file>

<file path=xl/comments1.xml><?xml version="1.0" encoding="utf-8"?>
<x:comments xmlns:x="http://schemas.openxmlformats.org/spreadsheetml/2006/main">
  <x:authors>
    <x:author>tc={055ABAB5-CE23-CB7E-77FA-75B49D1B1206}</x:author>
    <x:author>tc={93D0A90D-A55A-0CF9-7A33-18AE005E0DB6}</x:author>
    <x:author>tc={4FF01813-E17E-0F8D-18D0-7599CBB79BA3}</x:author>
    <x:author>tc={80AE2BE2-F2E6-0678-5E40-630734E6FF2D}</x:author>
    <x:author>tc={A9B5002C-11B7-454A-4DD5-C18EE93FA0E9}</x:author>
  </x:authors>
  <x:commentList>
    <x:comment ref="C46" authorId="0">
      <x:text>
        <x:r>
          <x:t>[Threaded comment]
Your version of Excel allows you to read this threaded comment; however, any edits to it will get removed if the file is opened in a newer version of Excel. Learn more: https://go.microsoft.com/fwlink/?linkid=870924
Comment:
    Source: https://www.pertanian.go.id/?act=view&amp;id=7236&amp;show=news | Kementan reported ordinary coconut farmgate at Rp2,000-3,000/butir in Oct 2025. Model uses Rp3,000 and no aromatic premium.</x:t>
        </x:r>
      </x:text>
    </x:comment>
    <x:comment ref="C47" authorId="1">
      <x:text>
        <x:r>
          <x:t>[Threaded comment]
Your version of Excel allows you to read this threaded comment; however, any edits to it will get removed if the file is opened in a newer version of Excel. Learn more: https://go.microsoft.com/fwlink/?linkid=870924
Comment:
    Source: https://rri.co.id/purwokerto/umkm/1254378/puncak-musim-penghujan-harga-durian-di-purwokerto-mengalami-peningkatan | Price varies widely. Rp35,000/kg is a conservative planning input, not a quotation.</x:t>
        </x:r>
      </x:text>
    </x:comment>
    <x:comment ref="C48" authorId="2">
      <x:text>
        <x:r>
          <x:t>[Threaded comment]
Your version of Excel allows you to read this threaded comment; however, any edits to it will get removed if the file is opened in a newer version of Excel. Learn more: https://go.microsoft.com/fwlink/?linkid=870924
Comment:
    Source: https://banyuwangikab.go.id/berita/harga-stabil-dan-banyak-diminati-banyuwangi-pacu-produksi-pisang-cavendish | Farm price benchmark Rp6,000/kg.</x:t>
        </x:r>
      </x:text>
    </x:comment>
    <x:comment ref="C62" authorId="3">
      <x:text>
        <x:r>
          <x:t>[Threaded comment]
Your version of Excel allows you to read this threaded comment; however, any edits to it will get removed if the file is opened in a newer version of Excel. Learn more: https://go.microsoft.com/fwlink/?linkid=870924
Comment:
    Official UMK 2026: https://jdih.jatengprov.go.id/inventarisasi-hukum/download/kepgub_100-3-3-1-505_th_2025</x:t>
        </x:r>
      </x:text>
    </x:comment>
    <x:comment ref="C131" authorId="4">
      <x:text>
        <x:r>
          <x:t>[Threaded comment]
Your version of Excel allows you to read this threaded comment; however, any edits to it will get removed if the file is opened in a newer version of Excel. Learn more: https://go.microsoft.com/fwlink/?linkid=870924
Comment:
    Banana fertilizer guidance: 0.233 kg Urea, 0.10 kg SP-36 and 0.10 kg KCl per plant/year from Kementan technology guide. Source: https://repository.pertanian.go.id/server/api/core/bitstreams/650af8ff-94fb-4a63-816a-1cb30eea671c/content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General"/>
    <x:numFmt numFmtId="201" formatCode="0.0%;[Red](0.0%);-"/>
    <x:numFmt numFmtId="202" formatCode="&quot;Rp&quot; #,##0;[Red](&quot;Rp&quot; #,##0);-"/>
    <x:numFmt numFmtId="203" formatCode="#,##0.0;[Red](#,##0.0);-"/>
    <x:numFmt numFmtId="204" formatCode="0.000"/>
    <x:numFmt numFmtId="205" formatCode="#,##0;[Red](#,##0);-"/>
    <x:numFmt numFmtId="206" formatCode="&quot;Rp&quot; 0.0,,,&quot; bn&quot;;[Red](&quot;Rp&quot; 0.0,,,&quot; bn&quot;);-"/>
    <x:numFmt numFmtId="207" formatCode="0.00x"/>
  </x:numFmts>
  <x:fonts count="27">
    <x:font>
      <x:sz val="11"/>
      <x:name val="Carlito"/>
    </x:font>
    <x:font>
      <x:b/>
      <x:sz val="16"/>
      <x:color rgb="FFFFFFFF"/>
      <x:name val="Arial"/>
    </x:font>
    <x:font>
      <x:i/>
      <x:sz val="10"/>
      <x:color rgb="FF595959"/>
      <x:name val="Arial"/>
    </x:font>
    <x:font>
      <x:b/>
      <x:sz val="10"/>
      <x:color rgb="FFFFFFFF"/>
      <x:name val="Arial"/>
    </x:font>
    <x:font>
      <x:b/>
      <x:sz val="9"/>
      <x:color rgb="FFFFFFFF"/>
      <x:name val="Arial"/>
    </x:font>
    <x:font>
      <x:sz val="9"/>
      <x:color rgb="FF0000FF"/>
      <x:name val="Arial"/>
    </x:font>
    <x:font>
      <x:sz val="9"/>
      <x:color rgb="FF008000"/>
      <x:name val="Arial"/>
    </x:font>
    <x:font>
      <x:b/>
      <x:sz val="9"/>
      <x:color rgb="FF000000"/>
      <x:name val="Arial"/>
    </x:font>
    <x:font>
      <x:sz val="9"/>
      <x:color rgb="FF000000"/>
      <x:name val="Arial"/>
    </x:font>
    <x:font>
      <x:b/>
      <x:sz val="9"/>
      <x:color rgb="FF008000"/>
      <x:name val="Arial"/>
    </x:font>
    <x:font>
      <x:b/>
      <x:sz val="9"/>
      <x:color rgb="FFC00000"/>
      <x:name val="Arial"/>
    </x:font>
    <x:font>
      <x:sz val="10"/>
      <x:color rgb="FF595959"/>
      <x:name val="Arial"/>
    </x:font>
    <x:font>
      <x:sz val="9"/>
      <x:color rgb="FF595959"/>
      <x:name val="Arial"/>
    </x:font>
    <x:font>
      <x:sz val="10"/>
      <x:color rgb="FF000000"/>
      <x:name val="Arial"/>
    </x:font>
    <x:font>
      <x:b/>
      <x:sz val="10"/>
      <x:color rgb="FF17365D"/>
      <x:name val="Arial"/>
    </x:font>
    <x:font>
      <x:b/>
      <x:sz val="13"/>
      <x:color rgb="FF008000"/>
      <x:name val="Arial"/>
    </x:font>
    <x:font>
      <x:b/>
      <x:sz val="11"/>
      <x:color rgb="FF17365D"/>
      <x:name val="Arial"/>
    </x:font>
    <x:font>
      <x:b/>
      <x:sz val="9"/>
      <x:name val="Arial"/>
    </x:font>
    <x:font>
      <x:i/>
      <x:sz val="9"/>
      <x:color rgb="FF000000"/>
      <x:name val="Arial"/>
    </x:font>
    <x:font>
      <x:b/>
      <x:sz val="18"/>
      <x:color rgb="FFFFFFFF"/>
      <x:name val="Arial"/>
    </x:font>
    <x:font>
      <x:i/>
      <x:sz val="10"/>
      <x:color rgb="FF404040"/>
      <x:name val="Arial"/>
    </x:font>
    <x:font>
      <x:b/>
      <x:sz val="11"/>
      <x:color rgb="FFFFFFFF"/>
      <x:name val="Arial"/>
    </x:font>
    <x:font>
      <x:b/>
      <x:sz val="11"/>
      <x:color rgb="FF1F4E3D"/>
      <x:name val="Arial"/>
    </x:font>
    <x:font>
      <x:b/>
      <x:sz val="9"/>
      <x:color rgb="FF17365D"/>
      <x:name val="Arial"/>
    </x:font>
    <x:font>
      <x:b/>
      <x:sz val="9"/>
      <x:color rgb="FF1F4E3D"/>
      <x:name val="Arial"/>
    </x:font>
    <x:font>
      <x:sz val="10"/>
      <x:color rgb="FF7F4125"/>
      <x:name val="Arial"/>
    </x:font>
    <x:font>
      <x:sz val="11"/>
      <x:name val="Arial"/>
    </x:font>
  </x:fonts>
  <x:fills count="2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6B5D"/>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6B5D"/>
      </x:patternFill>
    </x:fill>
    <x:fill>
      <x:patternFill patternType="solid">
        <x:fgColor rgb="FFFFF2CC"/>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F4F8FB"/>
      </x:patternFill>
    </x:fill>
    <x:fill>
      <x:patternFill patternType="solid">
        <x:fgColor rgb="FFE2F0D9"/>
      </x:patternFill>
    </x:fill>
    <x:fill>
      <x:patternFill patternType="solid">
        <x:fgColor rgb="FF006B54"/>
      </x:patternFill>
    </x:fill>
    <x:fill>
      <x:patternFill patternType="solid">
        <x:fgColor rgb="FFF2F2F2"/>
      </x:patternFill>
    </x:fill>
    <x:fill>
      <x:patternFill patternType="solid">
        <x:fgColor rgb="FFFCE4D6"/>
      </x:patternFill>
    </x:fill>
  </x:fills>
  <x:borders count="38">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top style="thin">
        <x:color rgb="FF595959"/>
      </x:top>
      <x:bottom style="double">
        <x:color rgb="FF595959"/>
      </x:bottom>
    </x:border>
    <x:border>
      <x:top style="thin">
        <x:color rgb="FF595959"/>
      </x:top>
    </x:border>
    <x:border>
      <x:bottom style="double">
        <x:color rgb="FF595959"/>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005A47"/>
      </x:left>
      <x:top style="thin">
        <x:color rgb="FF005A47"/>
      </x:top>
      <x:bottom style="thin">
        <x:color rgb="FF005A47"/>
      </x:bottom>
    </x:border>
    <x:border>
      <x:top style="thin">
        <x:color rgb="FF005A47"/>
      </x:top>
      <x:bottom style="thin">
        <x:color rgb="FF005A47"/>
      </x:bottom>
    </x:border>
    <x:border>
      <x:right style="thin">
        <x:color rgb="FF005A47"/>
      </x:right>
      <x:top style="thin">
        <x:color rgb="FF005A47"/>
      </x:top>
      <x:bottom style="thin">
        <x:color rgb="FF005A47"/>
      </x:bottom>
    </x:border>
    <x:border>
      <x:bottom style="thin">
        <x:color rgb="FFD9E2F3"/>
      </x:bottom>
    </x:border>
    <x:border>
      <x:top style="thin">
        <x:color rgb="FFD9E2F3"/>
      </x:top>
      <x:bottom style="thin">
        <x:color rgb="FFD9E2F3"/>
      </x:bottom>
    </x:border>
    <x:border>
      <x:top style="thin">
        <x:color rgb="FFD9E2F3"/>
      </x:top>
      <x:bottom style="thin">
        <x:color rgb="FFA6A6A6"/>
      </x:bottom>
    </x:border>
    <x:border>
      <x:left style="thin">
        <x:color rgb="FFF4B183"/>
      </x:left>
      <x:top style="thin">
        <x:color rgb="FFF4B183"/>
      </x:top>
    </x:border>
    <x:border>
      <x:top style="thin">
        <x:color rgb="FFF4B183"/>
      </x:top>
    </x:border>
    <x:border>
      <x:right style="thin">
        <x:color rgb="FFF4B183"/>
      </x:right>
      <x:top style="thin">
        <x:color rgb="FFF4B183"/>
      </x:top>
    </x:border>
    <x:border>
      <x:left style="thin">
        <x:color rgb="FFF4B183"/>
      </x:left>
    </x:border>
    <x:border>
      <x:right style="thin">
        <x:color rgb="FFF4B183"/>
      </x:right>
    </x:border>
    <x:border>
      <x:left style="thin">
        <x:color rgb="FFF4B183"/>
      </x:left>
      <x:bottom style="thin">
        <x:color rgb="FFF4B183"/>
      </x:bottom>
    </x:border>
    <x:border>
      <x:bottom style="thin">
        <x:color rgb="FFF4B183"/>
      </x:bottom>
    </x:border>
    <x:border>
      <x:right style="thin">
        <x:color rgb="FFF4B183"/>
      </x:right>
      <x:bottom style="thin">
        <x:color rgb="FFF4B183"/>
      </x:bottom>
    </x:border>
  </x:borders>
  <x:cellStyleXfs count="1">
    <x:xf numFmtId="0" fontId="0" fillId="0" borderId="0"/>
  </x:cellStyleXfs>
  <x:cellXfs count="5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200" fontId="5" fillId="6" borderId="0" xfId="0" applyNumberFormat="1" applyFont="1" applyFill="1" applyBorder="1"/>
    <x:xf numFmtId="201" fontId="5" fillId="6" borderId="0" xfId="0" applyNumberFormat="1" applyFont="1" applyFill="1" applyBorder="1"/>
    <x:xf numFmtId="202" fontId="5" fillId="6" borderId="0" xfId="0" applyNumberFormat="1" applyFont="1" applyFill="1" applyBorder="1"/>
    <x:xf numFmtId="0" fontId="6" fillId="0" borderId="0" xfId="0" applyNumberFormat="1" applyFont="1" applyFill="1" applyBorder="1"/>
    <x:xf numFmtId="203" fontId="6" fillId="0" borderId="0" xfId="0" applyNumberFormat="1" applyFont="1" applyFill="1" applyBorder="1"/>
    <x:xf numFmtId="203" fontId="5" fillId="6" borderId="0" xfId="0" applyNumberFormat="1" applyFont="1" applyFill="1" applyBorder="1"/>
    <x:xf numFmtId="204" fontId="5" fillId="6" borderId="0" xfId="0" applyNumberFormat="1" applyFont="1" applyFill="1" applyBorder="1"/>
    <x:xf numFmtId="0" fontId="7" fillId="5" borderId="1" xfId="0" applyNumberFormat="1" applyFont="1" applyFill="1" applyBorder="1" applyAlignment="1">
      <x:alignment horizontal="center" vertical="center" wrapText="1"/>
    </x:xf>
    <x:xf numFmtId="0" fontId="7" fillId="5" borderId="2" xfId="0" applyNumberFormat="1" applyFont="1" applyFill="1" applyBorder="1" applyAlignment="1">
      <x:alignment horizontal="center" vertical="center" wrapText="1"/>
    </x:xf>
    <x:xf numFmtId="0" fontId="7" fillId="5" borderId="3" xfId="0" applyNumberFormat="1" applyFont="1" applyFill="1" applyBorder="1" applyAlignment="1">
      <x:alignment horizontal="center" vertical="center" wrapText="1"/>
    </x:xf>
    <x:xf numFmtId="0" fontId="8" fillId="0" borderId="0" xfId="0" applyNumberFormat="1" applyFont="1" applyFill="1" applyBorder="1"/>
    <x:xf numFmtId="200" fontId="8" fillId="6" borderId="0" xfId="0" applyNumberFormat="1" applyFont="1" applyFill="1" applyBorder="1"/>
    <x:xf numFmtId="201" fontId="8" fillId="6" borderId="0" xfId="0" applyNumberFormat="1" applyFont="1" applyFill="1" applyBorder="1"/>
    <x:xf numFmtId="202" fontId="8" fillId="6" borderId="0" xfId="0" applyNumberFormat="1" applyFont="1" applyFill="1" applyBorder="1"/>
    <x:xf numFmtId="0" fontId="7" fillId="4" borderId="0" xfId="0" applyNumberFormat="1" applyFont="1" applyFill="1" applyBorder="1" applyAlignment="1">
      <x:alignment vertical="center"/>
    </x:xf>
    <x:xf numFmtId="203" fontId="8" fillId="0" borderId="0" xfId="0" applyNumberFormat="1" applyFont="1" applyFill="1" applyBorder="1"/>
    <x:xf numFmtId="203" fontId="8" fillId="6" borderId="0" xfId="0" applyNumberFormat="1" applyFont="1" applyFill="1" applyBorder="1"/>
    <x:xf numFmtId="204" fontId="8"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4" xfId="0" applyNumberFormat="1" applyFont="1" applyFill="1" applyBorder="1"/>
    <x:xf numFmtId="205" fontId="7" fillId="7" borderId="4" xfId="0" applyNumberFormat="1" applyFont="1" applyFill="1" applyBorder="1"/>
    <x:xf numFmtId="201" fontId="6" fillId="0" borderId="0" xfId="0" applyNumberFormat="1" applyFont="1" applyFill="1" applyBorder="1"/>
    <x:xf numFmtId="205" fontId="6" fillId="0" borderId="0" xfId="0" applyNumberFormat="1" applyFont="1" applyFill="1" applyBorder="1"/>
    <x:xf numFmtId="202" fontId="6" fillId="0" borderId="0" xfId="0" applyNumberFormat="1" applyFont="1" applyFill="1" applyBorder="1"/>
    <x:xf numFmtId="202" fontId="7" fillId="7" borderId="4" xfId="0" applyNumberFormat="1" applyFont="1" applyFill="1" applyBorder="1"/>
    <x:xf numFmtId="202" fontId="0" fillId="0" borderId="0" xfId="0" applyNumberFormat="1" applyFont="1" applyFill="1" applyBorder="1"/>
    <x:xf numFmtId="205" fontId="8" fillId="0" borderId="0" xfId="0" applyNumberFormat="1" applyFont="1" applyFill="1" applyBorder="1"/>
    <x:xf numFmtId="201" fontId="8" fillId="0" borderId="0" xfId="0" applyNumberFormat="1" applyFont="1" applyFill="1" applyBorder="1"/>
    <x:xf numFmtId="202" fontId="8" fillId="0" borderId="0" xfId="0" applyNumberFormat="1" applyFont="1" applyFill="1" applyBorder="1"/>
    <x:xf numFmtId="0" fontId="8" fillId="0" borderId="0" xfId="0" applyNumberFormat="1" applyFont="1" applyFill="1" applyBorder="1" applyAlignment="1">
      <x:alignment wrapText="1"/>
    </x:xf>
    <x:xf numFmtId="202" fontId="8" fillId="0" borderId="0" xfId="0" applyNumberFormat="1" applyFont="1" applyFill="1" applyBorder="1" applyAlignment="1">
      <x:alignment wrapText="1"/>
    </x:xf>
    <x:xf numFmtId="203" fontId="7" fillId="7" borderId="4" xfId="0" applyNumberFormat="1" applyFont="1" applyFill="1" applyBorder="1"/>
    <x:xf numFmtId="203" fontId="0" fillId="0" borderId="0" xfId="0" applyNumberFormat="1" applyFont="1" applyFill="1" applyBorder="1"/>
    <x:xf numFmtId="0" fontId="7" fillId="7" borderId="5" xfId="0" applyNumberFormat="1" applyFont="1" applyFill="1" applyBorder="1"/>
    <x:xf numFmtId="0" fontId="7" fillId="7" borderId="6" xfId="0" applyNumberFormat="1" applyFont="1" applyFill="1" applyBorder="1"/>
    <x:xf numFmtId="203" fontId="7" fillId="7" borderId="5" xfId="0" applyNumberFormat="1" applyFont="1" applyFill="1" applyBorder="1"/>
    <x:xf numFmtId="203" fontId="7" fillId="7" borderId="0" xfId="0" applyNumberFormat="1" applyFont="1" applyFill="1" applyBorder="1"/>
    <x:xf numFmtId="203" fontId="7" fillId="7" borderId="6" xfId="0" applyNumberFormat="1" applyFont="1" applyFill="1" applyBorder="1"/>
    <x:xf numFmtId="203" fontId="8" fillId="0" borderId="0" xfId="0" applyNumberFormat="1" applyFont="1" applyFill="1" applyBorder="1" applyAlignment="1">
      <x:alignment wrapText="1"/>
    </x:xf>
    <x:xf numFmtId="202" fontId="7" fillId="7" borderId="4" xfId="0" applyNumberFormat="1" applyFont="1" applyFill="1" applyBorder="1" applyAlignment="1">
      <x:alignment wrapText="1"/>
    </x:xf>
    <x:xf numFmtId="203" fontId="7" fillId="7" borderId="4" xfId="0" applyNumberFormat="1" applyFont="1" applyFill="1" applyBorder="1" applyAlignment="1">
      <x:alignment wrapText="1"/>
    </x:xf>
    <x:xf numFmtId="0" fontId="7" fillId="4" borderId="0" xfId="0" applyNumberFormat="1" applyFont="1" applyFill="1" applyBorder="1" applyAlignment="1">
      <x:alignment vertical="center" wrapText="1"/>
    </x:xf>
    <x:xf numFmtId="203" fontId="7" fillId="7" borderId="5" xfId="0" applyNumberFormat="1" applyFont="1" applyFill="1" applyBorder="1" applyAlignment="1">
      <x:alignment wrapText="1"/>
    </x:xf>
    <x:xf numFmtId="203" fontId="7" fillId="7" borderId="0" xfId="0" applyNumberFormat="1" applyFont="1" applyFill="1" applyBorder="1" applyAlignment="1">
      <x:alignment wrapText="1"/>
    </x:xf>
    <x:xf numFmtId="203" fontId="7" fillId="7" borderId="6" xfId="0" applyNumberFormat="1" applyFont="1" applyFill="1" applyBorder="1" applyAlignment="1">
      <x:alignment wrapText="1"/>
    </x:xf>
    <x:xf numFmtId="202" fontId="0" fillId="7" borderId="0" xfId="0" applyNumberFormat="1" applyFont="1" applyFill="1" applyBorder="1"/>
    <x:xf numFmtId="202" fontId="7" fillId="7" borderId="0" xfId="0" applyNumberFormat="1" applyFont="1" applyFill="1" applyBorder="1"/>
    <x:xf numFmtId="200" fontId="8" fillId="6" borderId="0" xfId="0" applyNumberFormat="1" applyFont="1" applyFill="1" applyBorder="1" applyAlignment="1">
      <x:alignment wrapText="1"/>
    </x:xf>
    <x:xf numFmtId="202" fontId="8" fillId="6" borderId="0" xfId="0" applyNumberFormat="1" applyFont="1" applyFill="1" applyBorder="1" applyAlignment="1">
      <x:alignment wrapText="1"/>
    </x:xf>
    <x:xf numFmtId="202" fontId="9" fillId="7" borderId="4" xfId="0" applyNumberFormat="1" applyFont="1" applyFill="1" applyBorder="1"/>
    <x:xf numFmtId="206" fontId="6" fillId="0" borderId="0" xfId="0" applyNumberFormat="1" applyFont="1" applyFill="1" applyBorder="1"/>
    <x:xf numFmtId="206" fontId="9" fillId="7" borderId="4" xfId="0" applyNumberFormat="1" applyFont="1" applyFill="1" applyBorder="1"/>
    <x:xf numFmtId="206" fontId="8" fillId="0" borderId="0" xfId="0" applyNumberFormat="1" applyFont="1" applyFill="1" applyBorder="1"/>
    <x:xf numFmtId="206" fontId="7" fillId="7" borderId="4" xfId="0" applyNumberFormat="1" applyFont="1" applyFill="1" applyBorder="1"/>
    <x:xf numFmtId="206" fontId="8" fillId="0" borderId="0" xfId="0" applyNumberFormat="1" applyFont="1" applyFill="1" applyBorder="1" applyAlignment="1">
      <x:alignment wrapText="1"/>
    </x:xf>
    <x:xf numFmtId="206" fontId="7" fillId="7" borderId="4" xfId="0" applyNumberFormat="1" applyFont="1" applyFill="1" applyBorder="1" applyAlignment="1">
      <x:alignment wrapText="1"/>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wrapText="1"/>
    </x:xf>
    <x:xf numFmtId="202" fontId="7" fillId="7" borderId="5" xfId="0" applyNumberFormat="1" applyFont="1" applyFill="1" applyBorder="1"/>
    <x:xf numFmtId="202" fontId="7" fillId="7" borderId="6" xfId="0" applyNumberFormat="1" applyFont="1" applyFill="1" applyBorder="1"/>
    <x:xf numFmtId="202" fontId="7" fillId="7" borderId="5" xfId="0" applyNumberFormat="1" applyFont="1" applyFill="1" applyBorder="1" applyAlignment="1">
      <x:alignment wrapText="1"/>
    </x:xf>
    <x:xf numFmtId="202" fontId="7" fillId="7" borderId="0" xfId="0" applyNumberFormat="1" applyFont="1" applyFill="1" applyBorder="1" applyAlignment="1">
      <x:alignment wrapText="1"/>
    </x:xf>
    <x:xf numFmtId="202" fontId="7" fillId="7" borderId="6" xfId="0" applyNumberFormat="1" applyFont="1" applyFill="1" applyBorder="1" applyAlignment="1">
      <x:alignment wrapText="1"/>
    </x:xf>
    <x:xf numFmtId="202" fontId="6" fillId="7" borderId="0" xfId="0" applyNumberFormat="1" applyFont="1" applyFill="1" applyBorder="1"/>
    <x:xf numFmtId="204" fontId="6" fillId="0" borderId="0" xfId="0" applyNumberFormat="1" applyFont="1" applyFill="1" applyBorder="1"/>
    <x:xf numFmtId="200" fontId="7" fillId="7" borderId="5" xfId="0" applyNumberFormat="1" applyFont="1" applyFill="1" applyBorder="1"/>
    <x:xf numFmtId="200" fontId="7" fillId="7" borderId="0" xfId="0" applyNumberFormat="1" applyFont="1" applyFill="1" applyBorder="1"/>
    <x:xf numFmtId="200" fontId="7" fillId="7" borderId="6" xfId="0" applyNumberFormat="1" applyFont="1" applyFill="1" applyBorder="1"/>
    <x:xf numFmtId="201" fontId="7" fillId="7" borderId="0" xfId="0" applyNumberFormat="1" applyFont="1" applyFill="1" applyBorder="1"/>
    <x:xf numFmtId="207" fontId="7" fillId="7" borderId="6" xfId="0" applyNumberFormat="1" applyFont="1" applyFill="1" applyBorder="1"/>
    <x:xf numFmtId="204" fontId="8" fillId="0" borderId="0" xfId="0" applyNumberFormat="1" applyFont="1" applyFill="1" applyBorder="1"/>
    <x:xf numFmtId="201" fontId="8" fillId="0" borderId="0" xfId="0" applyNumberFormat="1" applyFont="1" applyFill="1" applyBorder="1" applyAlignment="1">
      <x:alignment wrapText="1"/>
    </x:xf>
    <x:xf numFmtId="201" fontId="0" fillId="0" borderId="0" xfId="0" applyNumberFormat="1" applyFont="1" applyFill="1" applyBorder="1"/>
    <x:xf numFmtId="202" fontId="0" fillId="5" borderId="0" xfId="0" applyNumberFormat="1" applyFont="1" applyFill="1" applyBorder="1"/>
    <x:xf numFmtId="201" fontId="0" fillId="5" borderId="0" xfId="0" applyNumberFormat="1" applyFont="1" applyFill="1" applyBorder="1"/>
    <x:xf numFmtId="202" fontId="4" fillId="5" borderId="0" xfId="0" applyNumberFormat="1" applyFont="1" applyFill="1" applyBorder="1"/>
    <x:xf numFmtId="201" fontId="4" fillId="5" borderId="0" xfId="0" applyNumberFormat="1" applyFont="1" applyFill="1" applyBorder="1"/>
    <x:xf numFmtId="202" fontId="4" fillId="5" borderId="0" xfId="0" applyNumberFormat="1" applyFont="1" applyFill="1" applyBorder="1" applyAlignment="1">
      <x:alignment horizontal="center"/>
    </x:xf>
    <x:xf numFmtId="201" fontId="4" fillId="5" borderId="0" xfId="0" applyNumberFormat="1" applyFont="1" applyFill="1" applyBorder="1" applyAlignment="1">
      <x:alignment horizontal="center"/>
    </x:xf>
    <x:xf numFmtId="0" fontId="11" fillId="3" borderId="0" xfId="0" applyNumberFormat="1" applyFont="1" applyFill="1" applyBorder="1"/>
    <x:xf numFmtId="0" fontId="11" fillId="3" borderId="0" xfId="0" applyNumberFormat="1" applyFont="1" applyFill="1" applyBorder="1" applyAlignment="1">
      <x:alignment wrapText="1"/>
    </x:xf>
    <x:xf numFmtId="202" fontId="7" fillId="5" borderId="0" xfId="0" applyNumberFormat="1" applyFont="1" applyFill="1" applyBorder="1" applyAlignment="1">
      <x:alignment horizontal="center"/>
    </x:xf>
    <x:xf numFmtId="201" fontId="7" fillId="5" borderId="0" xfId="0" applyNumberFormat="1" applyFont="1" applyFill="1" applyBorder="1" applyAlignment="1">
      <x:alignment horizontal="center"/>
    </x:xf>
    <x:xf numFmtId="0" fontId="8" fillId="3" borderId="0" xfId="0" applyNumberFormat="1" applyFont="1" applyFill="1" applyBorder="1" applyAlignment="1">
      <x:alignment wrapText="1"/>
    </x:xf>
    <x:xf numFmtId="201" fontId="7" fillId="7" borderId="4" xfId="0" applyNumberFormat="1" applyFont="1" applyFill="1" applyBorder="1"/>
    <x:xf numFmtId="201" fontId="7" fillId="7" borderId="4" xfId="0" applyNumberFormat="1" applyFont="1" applyFill="1" applyBorder="1" applyAlignment="1">
      <x:alignment wrapText="1"/>
    </x:xf>
    <x:xf numFmtId="200" fontId="7" fillId="7" borderId="4"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8" fillId="8" borderId="0" xfId="0" applyNumberFormat="1" applyFont="1" applyFill="1" applyBorder="1" applyAlignment="1">
      <x:alignment wrapText="1"/>
    </x:xf>
    <x:xf numFmtId="0" fontId="13" fillId="7" borderId="0" xfId="0" applyNumberFormat="1" applyFont="1" applyFill="1" applyBorder="1"/>
    <x:xf numFmtId="0" fontId="13" fillId="7" borderId="7" xfId="0" applyNumberFormat="1" applyFont="1" applyFill="1" applyBorder="1"/>
    <x:xf numFmtId="0" fontId="13" fillId="7" borderId="8" xfId="0" applyNumberFormat="1" applyFont="1" applyFill="1" applyBorder="1"/>
    <x:xf numFmtId="0" fontId="13" fillId="7" borderId="9" xfId="0" applyNumberFormat="1" applyFont="1" applyFill="1" applyBorder="1"/>
    <x:xf numFmtId="0" fontId="13" fillId="7" borderId="10" xfId="0" applyNumberFormat="1" applyFont="1" applyFill="1" applyBorder="1"/>
    <x:xf numFmtId="0" fontId="13" fillId="7" borderId="11" xfId="0" applyNumberFormat="1" applyFont="1" applyFill="1" applyBorder="1"/>
    <x:xf numFmtId="0" fontId="13" fillId="7" borderId="12" xfId="0" applyNumberFormat="1" applyFont="1" applyFill="1" applyBorder="1"/>
    <x:xf numFmtId="0" fontId="13" fillId="7" borderId="13" xfId="0" applyNumberFormat="1" applyFont="1" applyFill="1" applyBorder="1"/>
    <x:xf numFmtId="0" fontId="13" fillId="7" borderId="14" xfId="0" applyNumberFormat="1" applyFont="1" applyFill="1" applyBorder="1"/>
    <x:xf numFmtId="0" fontId="13" fillId="7" borderId="7" xfId="0" applyNumberFormat="1" applyFont="1" applyFill="1" applyBorder="1" applyAlignment="1">
      <x:alignment horizontal="center"/>
    </x:xf>
    <x:xf numFmtId="0" fontId="13" fillId="7" borderId="8" xfId="0" applyNumberFormat="1" applyFont="1" applyFill="1" applyBorder="1" applyAlignment="1">
      <x:alignment horizontal="center"/>
    </x:xf>
    <x:xf numFmtId="0" fontId="13" fillId="7" borderId="9" xfId="0" applyNumberFormat="1" applyFont="1" applyFill="1" applyBorder="1" applyAlignment="1">
      <x:alignment horizontal="center"/>
    </x:xf>
    <x:xf numFmtId="0" fontId="13" fillId="7" borderId="10" xfId="0" applyNumberFormat="1" applyFont="1" applyFill="1" applyBorder="1" applyAlignment="1">
      <x:alignment horizontal="center"/>
    </x:xf>
    <x:xf numFmtId="0" fontId="13" fillId="7" borderId="0" xfId="0" applyNumberFormat="1" applyFont="1" applyFill="1" applyBorder="1" applyAlignment="1">
      <x:alignment horizontal="center"/>
    </x:xf>
    <x:xf numFmtId="0" fontId="13" fillId="7" borderId="11" xfId="0" applyNumberFormat="1" applyFont="1" applyFill="1" applyBorder="1" applyAlignment="1">
      <x:alignment horizontal="center"/>
    </x:xf>
    <x:xf numFmtId="0" fontId="13" fillId="7" borderId="12" xfId="0" applyNumberFormat="1" applyFont="1" applyFill="1" applyBorder="1" applyAlignment="1">
      <x:alignment horizontal="center"/>
    </x:xf>
    <x:xf numFmtId="0" fontId="13" fillId="7" borderId="13" xfId="0" applyNumberFormat="1" applyFont="1" applyFill="1" applyBorder="1" applyAlignment="1">
      <x:alignment horizontal="center"/>
    </x:xf>
    <x:xf numFmtId="0" fontId="13" fillId="7" borderId="14" xfId="0" applyNumberFormat="1" applyFont="1" applyFill="1" applyBorder="1" applyAlignment="1">
      <x:alignment horizontal="center"/>
    </x:xf>
    <x:xf numFmtId="0" fontId="13" fillId="7" borderId="7" xfId="0" applyNumberFormat="1" applyFont="1" applyFill="1" applyBorder="1" applyAlignment="1">
      <x:alignment horizontal="center" vertical="center"/>
    </x:xf>
    <x:xf numFmtId="0" fontId="13" fillId="7" borderId="8" xfId="0" applyNumberFormat="1" applyFont="1" applyFill="1" applyBorder="1" applyAlignment="1">
      <x:alignment horizontal="center" vertical="center"/>
    </x:xf>
    <x:xf numFmtId="0" fontId="13" fillId="7" borderId="9" xfId="0" applyNumberFormat="1" applyFont="1" applyFill="1" applyBorder="1" applyAlignment="1">
      <x:alignment horizontal="center" vertical="center"/>
    </x:xf>
    <x:xf numFmtId="0" fontId="13" fillId="7" borderId="10" xfId="0" applyNumberFormat="1" applyFont="1" applyFill="1" applyBorder="1" applyAlignment="1">
      <x:alignment horizontal="center" vertical="center"/>
    </x:xf>
    <x:xf numFmtId="0" fontId="13" fillId="7" borderId="0" xfId="0" applyNumberFormat="1" applyFont="1" applyFill="1" applyBorder="1" applyAlignment="1">
      <x:alignment horizontal="center" vertical="center"/>
    </x:xf>
    <x:xf numFmtId="0" fontId="13" fillId="7" borderId="11" xfId="0" applyNumberFormat="1" applyFont="1" applyFill="1" applyBorder="1" applyAlignment="1">
      <x:alignment horizontal="center" vertical="center"/>
    </x:xf>
    <x:xf numFmtId="0" fontId="13" fillId="7" borderId="12" xfId="0" applyNumberFormat="1" applyFont="1" applyFill="1" applyBorder="1" applyAlignment="1">
      <x:alignment horizontal="center" vertical="center"/>
    </x:xf>
    <x:xf numFmtId="0" fontId="13" fillId="7" borderId="13" xfId="0" applyNumberFormat="1" applyFont="1" applyFill="1" applyBorder="1" applyAlignment="1">
      <x:alignment horizontal="center" vertical="center"/>
    </x:xf>
    <x:xf numFmtId="0" fontId="13" fillId="7" borderId="14" xfId="0" applyNumberFormat="1" applyFont="1" applyFill="1" applyBorder="1" applyAlignment="1">
      <x:alignment horizontal="center" vertical="center"/>
    </x:xf>
    <x:xf numFmtId="0" fontId="14" fillId="7" borderId="7" xfId="0" applyNumberFormat="1" applyFont="1" applyFill="1" applyBorder="1" applyAlignment="1">
      <x:alignment horizontal="center" vertical="center"/>
    </x:xf>
    <x:xf numFmtId="0" fontId="15" fillId="7" borderId="10" xfId="0" applyNumberFormat="1" applyFont="1" applyFill="1" applyBorder="1" applyAlignment="1">
      <x:alignment horizontal="center" vertical="center"/>
    </x:xf>
    <x:xf numFmtId="0" fontId="15" fillId="7" borderId="0" xfId="0" applyNumberFormat="1" applyFont="1" applyFill="1" applyBorder="1" applyAlignment="1">
      <x:alignment horizontal="center" vertical="center"/>
    </x:xf>
    <x:xf numFmtId="0" fontId="15" fillId="7" borderId="11" xfId="0" applyNumberFormat="1" applyFont="1" applyFill="1" applyBorder="1" applyAlignment="1">
      <x:alignment horizontal="center" vertical="center"/>
    </x:xf>
    <x:xf numFmtId="0" fontId="15" fillId="7" borderId="12" xfId="0" applyNumberFormat="1" applyFont="1" applyFill="1" applyBorder="1" applyAlignment="1">
      <x:alignment horizontal="center" vertical="center"/>
    </x:xf>
    <x:xf numFmtId="0" fontId="15" fillId="7" borderId="13" xfId="0" applyNumberFormat="1" applyFont="1" applyFill="1" applyBorder="1" applyAlignment="1">
      <x:alignment horizontal="center" vertical="center"/>
    </x:xf>
    <x:xf numFmtId="0" fontId="15" fillId="7" borderId="14" xfId="0" applyNumberFormat="1" applyFont="1" applyFill="1" applyBorder="1" applyAlignment="1">
      <x:alignment horizontal="center" vertical="center"/>
    </x:xf>
    <x:xf numFmtId="0" fontId="13" fillId="3" borderId="0" xfId="0" applyNumberFormat="1" applyFont="1" applyFill="1" applyBorder="1"/>
    <x:xf numFmtId="0" fontId="13" fillId="3" borderId="7" xfId="0" applyNumberFormat="1" applyFont="1" applyFill="1" applyBorder="1"/>
    <x:xf numFmtId="0" fontId="13" fillId="3" borderId="8" xfId="0" applyNumberFormat="1" applyFont="1" applyFill="1" applyBorder="1"/>
    <x:xf numFmtId="0" fontId="13" fillId="3" borderId="9" xfId="0" applyNumberFormat="1" applyFont="1" applyFill="1" applyBorder="1"/>
    <x:xf numFmtId="0" fontId="13" fillId="3" borderId="10" xfId="0" applyNumberFormat="1" applyFont="1" applyFill="1" applyBorder="1"/>
    <x:xf numFmtId="0" fontId="13" fillId="3" borderId="11" xfId="0" applyNumberFormat="1" applyFont="1" applyFill="1" applyBorder="1"/>
    <x:xf numFmtId="0" fontId="13" fillId="3" borderId="12" xfId="0" applyNumberFormat="1" applyFont="1" applyFill="1" applyBorder="1"/>
    <x:xf numFmtId="0" fontId="13" fillId="3" borderId="13" xfId="0" applyNumberFormat="1" applyFont="1" applyFill="1" applyBorder="1"/>
    <x:xf numFmtId="0" fontId="13" fillId="3" borderId="14" xfId="0" applyNumberFormat="1" applyFont="1" applyFill="1" applyBorder="1"/>
    <x:xf numFmtId="0" fontId="13" fillId="3" borderId="7" xfId="0" applyNumberFormat="1" applyFont="1" applyFill="1" applyBorder="1" applyAlignment="1">
      <x:alignment horizontal="center"/>
    </x:xf>
    <x:xf numFmtId="0" fontId="13" fillId="3" borderId="8" xfId="0" applyNumberFormat="1" applyFont="1" applyFill="1" applyBorder="1" applyAlignment="1">
      <x:alignment horizontal="center"/>
    </x:xf>
    <x:xf numFmtId="0" fontId="13" fillId="3" borderId="9" xfId="0" applyNumberFormat="1" applyFont="1" applyFill="1" applyBorder="1" applyAlignment="1">
      <x:alignment horizontal="center"/>
    </x:xf>
    <x:xf numFmtId="0" fontId="13" fillId="3" borderId="10" xfId="0" applyNumberFormat="1" applyFont="1" applyFill="1" applyBorder="1" applyAlignment="1">
      <x:alignment horizontal="center"/>
    </x:xf>
    <x:xf numFmtId="0" fontId="13" fillId="3" borderId="0" xfId="0" applyNumberFormat="1" applyFont="1" applyFill="1" applyBorder="1" applyAlignment="1">
      <x:alignment horizontal="center"/>
    </x:xf>
    <x:xf numFmtId="0" fontId="13" fillId="3" borderId="11" xfId="0" applyNumberFormat="1" applyFont="1" applyFill="1" applyBorder="1" applyAlignment="1">
      <x:alignment horizontal="center"/>
    </x:xf>
    <x:xf numFmtId="0" fontId="13" fillId="3" borderId="12" xfId="0" applyNumberFormat="1" applyFont="1" applyFill="1" applyBorder="1" applyAlignment="1">
      <x:alignment horizontal="center"/>
    </x:xf>
    <x:xf numFmtId="0" fontId="13" fillId="3" borderId="13" xfId="0" applyNumberFormat="1" applyFont="1" applyFill="1" applyBorder="1" applyAlignment="1">
      <x:alignment horizontal="center"/>
    </x:xf>
    <x:xf numFmtId="0" fontId="13" fillId="3" borderId="14" xfId="0" applyNumberFormat="1" applyFont="1" applyFill="1" applyBorder="1" applyAlignment="1">
      <x:alignment horizontal="center"/>
    </x:xf>
    <x:xf numFmtId="0" fontId="13" fillId="3" borderId="7" xfId="0" applyNumberFormat="1" applyFont="1" applyFill="1" applyBorder="1" applyAlignment="1">
      <x:alignment horizontal="center" vertical="center"/>
    </x:xf>
    <x:xf numFmtId="0" fontId="13" fillId="3" borderId="8" xfId="0" applyNumberFormat="1" applyFont="1" applyFill="1" applyBorder="1" applyAlignment="1">
      <x:alignment horizontal="center" vertical="center"/>
    </x:xf>
    <x:xf numFmtId="0" fontId="13" fillId="3" borderId="9" xfId="0" applyNumberFormat="1" applyFont="1" applyFill="1" applyBorder="1" applyAlignment="1">
      <x:alignment horizontal="center" vertical="center"/>
    </x:xf>
    <x:xf numFmtId="0" fontId="13" fillId="3" borderId="10" xfId="0" applyNumberFormat="1" applyFont="1" applyFill="1" applyBorder="1" applyAlignment="1">
      <x:alignment horizontal="center" vertical="center"/>
    </x:xf>
    <x:xf numFmtId="0" fontId="13" fillId="3" borderId="0" xfId="0" applyNumberFormat="1" applyFont="1" applyFill="1" applyBorder="1" applyAlignment="1">
      <x:alignment horizontal="center" vertical="center"/>
    </x:xf>
    <x:xf numFmtId="0" fontId="13" fillId="3" borderId="11" xfId="0" applyNumberFormat="1" applyFont="1" applyFill="1" applyBorder="1" applyAlignment="1">
      <x:alignment horizontal="center" vertical="center"/>
    </x:xf>
    <x:xf numFmtId="0" fontId="13" fillId="3" borderId="12" xfId="0" applyNumberFormat="1" applyFont="1" applyFill="1" applyBorder="1" applyAlignment="1">
      <x:alignment horizontal="center" vertical="center"/>
    </x:xf>
    <x:xf numFmtId="0" fontId="13" fillId="3" borderId="13" xfId="0" applyNumberFormat="1" applyFont="1" applyFill="1" applyBorder="1" applyAlignment="1">
      <x:alignment horizontal="center" vertical="center"/>
    </x:xf>
    <x:xf numFmtId="0" fontId="13" fillId="3" borderId="14" xfId="0" applyNumberFormat="1" applyFont="1" applyFill="1" applyBorder="1" applyAlignment="1">
      <x:alignment horizontal="center" vertical="center"/>
    </x:xf>
    <x:xf numFmtId="0" fontId="14" fillId="3" borderId="7" xfId="0" applyNumberFormat="1" applyFont="1" applyFill="1" applyBorder="1" applyAlignment="1">
      <x:alignment horizontal="center" vertical="center"/>
    </x:xf>
    <x:xf numFmtId="0" fontId="15" fillId="3" borderId="10" xfId="0" applyNumberFormat="1" applyFont="1" applyFill="1" applyBorder="1" applyAlignment="1">
      <x:alignment horizontal="center" vertical="center"/>
    </x:xf>
    <x:xf numFmtId="0" fontId="15" fillId="3" borderId="0" xfId="0" applyNumberFormat="1" applyFont="1" applyFill="1" applyBorder="1" applyAlignment="1">
      <x:alignment horizontal="center" vertical="center"/>
    </x:xf>
    <x:xf numFmtId="0" fontId="15" fillId="3" borderId="11" xfId="0" applyNumberFormat="1" applyFont="1" applyFill="1" applyBorder="1" applyAlignment="1">
      <x:alignment horizontal="center" vertical="center"/>
    </x:xf>
    <x:xf numFmtId="0" fontId="15" fillId="3" borderId="12" xfId="0" applyNumberFormat="1" applyFont="1" applyFill="1" applyBorder="1" applyAlignment="1">
      <x:alignment horizontal="center" vertical="center"/>
    </x:xf>
    <x:xf numFmtId="0" fontId="15" fillId="3" borderId="13" xfId="0" applyNumberFormat="1" applyFont="1" applyFill="1" applyBorder="1" applyAlignment="1">
      <x:alignment horizontal="center" vertical="center"/>
    </x:xf>
    <x:xf numFmtId="0" fontId="15" fillId="3" borderId="14" xfId="0" applyNumberFormat="1" applyFont="1" applyFill="1" applyBorder="1" applyAlignment="1">
      <x:alignment horizontal="center" vertical="center"/>
    </x:xf>
    <x:xf numFmtId="203" fontId="15" fillId="7" borderId="10" xfId="0" applyNumberFormat="1" applyFont="1" applyFill="1" applyBorder="1" applyAlignment="1">
      <x:alignment horizontal="center" vertical="center"/>
    </x:xf>
    <x:xf numFmtId="203" fontId="15" fillId="7" borderId="0" xfId="0" applyNumberFormat="1" applyFont="1" applyFill="1" applyBorder="1" applyAlignment="1">
      <x:alignment horizontal="center" vertical="center"/>
    </x:xf>
    <x:xf numFmtId="203" fontId="15" fillId="7" borderId="11" xfId="0" applyNumberFormat="1" applyFont="1" applyFill="1" applyBorder="1" applyAlignment="1">
      <x:alignment horizontal="center" vertical="center"/>
    </x:xf>
    <x:xf numFmtId="203" fontId="15" fillId="7" borderId="12" xfId="0" applyNumberFormat="1" applyFont="1" applyFill="1" applyBorder="1" applyAlignment="1">
      <x:alignment horizontal="center" vertical="center"/>
    </x:xf>
    <x:xf numFmtId="203" fontId="15" fillId="7" borderId="13" xfId="0" applyNumberFormat="1" applyFont="1" applyFill="1" applyBorder="1" applyAlignment="1">
      <x:alignment horizontal="center" vertical="center"/>
    </x:xf>
    <x:xf numFmtId="203" fontId="15" fillId="7" borderId="14" xfId="0" applyNumberFormat="1" applyFont="1" applyFill="1" applyBorder="1" applyAlignment="1">
      <x:alignment horizontal="center" vertical="center"/>
    </x:xf>
    <x:xf numFmtId="202" fontId="15" fillId="3" borderId="10" xfId="0" applyNumberFormat="1" applyFont="1" applyFill="1" applyBorder="1" applyAlignment="1">
      <x:alignment horizontal="center" vertical="center"/>
    </x:xf>
    <x:xf numFmtId="202" fontId="15" fillId="3" borderId="0" xfId="0" applyNumberFormat="1" applyFont="1" applyFill="1" applyBorder="1" applyAlignment="1">
      <x:alignment horizontal="center" vertical="center"/>
    </x:xf>
    <x:xf numFmtId="202" fontId="15" fillId="3" borderId="11" xfId="0" applyNumberFormat="1" applyFont="1" applyFill="1" applyBorder="1" applyAlignment="1">
      <x:alignment horizontal="center" vertical="center"/>
    </x:xf>
    <x:xf numFmtId="205" fontId="15" fillId="3" borderId="12" xfId="0" applyNumberFormat="1" applyFont="1" applyFill="1" applyBorder="1" applyAlignment="1">
      <x:alignment horizontal="center" vertical="center"/>
    </x:xf>
    <x:xf numFmtId="205" fontId="15" fillId="3" borderId="13" xfId="0" applyNumberFormat="1" applyFont="1" applyFill="1" applyBorder="1" applyAlignment="1">
      <x:alignment horizontal="center" vertical="center"/>
    </x:xf>
    <x:xf numFmtId="205" fontId="15" fillId="3" borderId="14" xfId="0" applyNumberFormat="1" applyFont="1" applyFill="1" applyBorder="1" applyAlignment="1">
      <x:alignment horizontal="center" vertical="center"/>
    </x:xf>
    <x:xf numFmtId="202" fontId="15" fillId="7" borderId="10" xfId="0" applyNumberFormat="1" applyFont="1" applyFill="1" applyBorder="1" applyAlignment="1">
      <x:alignment horizontal="center" vertical="center"/>
    </x:xf>
    <x:xf numFmtId="202" fontId="15" fillId="7" borderId="0" xfId="0" applyNumberFormat="1" applyFont="1" applyFill="1" applyBorder="1" applyAlignment="1">
      <x:alignment horizontal="center" vertical="center"/>
    </x:xf>
    <x:xf numFmtId="202" fontId="15" fillId="7" borderId="11" xfId="0" applyNumberFormat="1" applyFont="1" applyFill="1" applyBorder="1" applyAlignment="1">
      <x:alignment horizontal="center" vertical="center"/>
    </x:xf>
    <x:xf numFmtId="205" fontId="15" fillId="7" borderId="12" xfId="0" applyNumberFormat="1" applyFont="1" applyFill="1" applyBorder="1" applyAlignment="1">
      <x:alignment horizontal="center" vertical="center"/>
    </x:xf>
    <x:xf numFmtId="205" fontId="15" fillId="7" borderId="13" xfId="0" applyNumberFormat="1" applyFont="1" applyFill="1" applyBorder="1" applyAlignment="1">
      <x:alignment horizontal="center" vertical="center"/>
    </x:xf>
    <x:xf numFmtId="205" fontId="15" fillId="7" borderId="14" xfId="0" applyNumberFormat="1" applyFont="1" applyFill="1" applyBorder="1" applyAlignment="1">
      <x:alignment horizontal="center" vertical="center"/>
    </x:xf>
    <x:xf numFmtId="201" fontId="15" fillId="3" borderId="12" xfId="0" applyNumberFormat="1" applyFont="1" applyFill="1" applyBorder="1" applyAlignment="1">
      <x:alignment horizontal="center" vertical="center"/>
    </x:xf>
    <x:xf numFmtId="201" fontId="15" fillId="3" borderId="13" xfId="0" applyNumberFormat="1" applyFont="1" applyFill="1" applyBorder="1" applyAlignment="1">
      <x:alignment horizontal="center" vertical="center"/>
    </x:xf>
    <x:xf numFmtId="201" fontId="15" fillId="3" borderId="14" xfId="0" applyNumberFormat="1" applyFont="1" applyFill="1" applyBorder="1" applyAlignment="1">
      <x:alignment horizontal="center" vertical="center"/>
    </x:xf>
    <x:xf numFmtId="205" fontId="15" fillId="7" borderId="10" xfId="0" applyNumberFormat="1" applyFont="1" applyFill="1" applyBorder="1" applyAlignment="1">
      <x:alignment horizontal="center" vertical="center"/>
    </x:xf>
    <x:xf numFmtId="205" fontId="15" fillId="7" borderId="0" xfId="0" applyNumberFormat="1" applyFont="1" applyFill="1" applyBorder="1" applyAlignment="1">
      <x:alignment horizontal="center" vertical="center"/>
    </x:xf>
    <x:xf numFmtId="205" fontId="15" fillId="7" borderId="11" xfId="0" applyNumberFormat="1" applyFont="1" applyFill="1" applyBorder="1" applyAlignment="1">
      <x:alignment horizontal="center" vertical="center"/>
    </x:xf>
    <x:xf numFmtId="205" fontId="15" fillId="3" borderId="10" xfId="0" applyNumberFormat="1" applyFont="1" applyFill="1" applyBorder="1" applyAlignment="1">
      <x:alignment horizontal="center" vertical="center"/>
    </x:xf>
    <x:xf numFmtId="205" fontId="15" fillId="3" borderId="0" xfId="0" applyNumberFormat="1" applyFont="1" applyFill="1" applyBorder="1" applyAlignment="1">
      <x:alignment horizontal="center" vertical="center"/>
    </x:xf>
    <x:xf numFmtId="205" fontId="15" fillId="3" borderId="11" xfId="0" applyNumberFormat="1" applyFont="1" applyFill="1" applyBorder="1" applyAlignment="1">
      <x:alignment horizontal="center" vertical="center"/>
    </x:xf>
    <x:xf numFmtId="203" fontId="15" fillId="3" borderId="12" xfId="0" applyNumberFormat="1" applyFont="1" applyFill="1" applyBorder="1" applyAlignment="1">
      <x:alignment horizontal="center" vertical="center"/>
    </x:xf>
    <x:xf numFmtId="203" fontId="15" fillId="3" borderId="13" xfId="0" applyNumberFormat="1" applyFont="1" applyFill="1" applyBorder="1" applyAlignment="1">
      <x:alignment horizontal="center" vertical="center"/>
    </x:xf>
    <x:xf numFmtId="203" fontId="15" fillId="3" borderId="14" xfId="0" applyNumberFormat="1" applyFont="1" applyFill="1" applyBorder="1" applyAlignment="1">
      <x:alignment horizontal="center" vertical="center"/>
    </x:xf>
    <x:xf numFmtId="0" fontId="16" fillId="6" borderId="0" xfId="0" applyNumberFormat="1" applyFont="1" applyFill="1" applyBorder="1"/>
    <x:xf numFmtId="0" fontId="16" fillId="6"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7" fillId="7" borderId="7" xfId="0" applyNumberFormat="1" applyFont="1" applyFill="1" applyBorder="1" applyAlignment="1">
      <x:alignment horizontal="center" vertical="center"/>
    </x:xf>
    <x:xf numFmtId="0" fontId="8" fillId="7" borderId="8" xfId="0" applyNumberFormat="1" applyFont="1" applyFill="1" applyBorder="1" applyAlignment="1">
      <x:alignment horizontal="center" vertical="center"/>
    </x:xf>
    <x:xf numFmtId="0" fontId="8" fillId="7" borderId="9" xfId="0" applyNumberFormat="1" applyFont="1" applyFill="1" applyBorder="1" applyAlignment="1">
      <x:alignment horizontal="center" vertical="center"/>
    </x:xf>
    <x:xf numFmtId="0" fontId="7" fillId="3" borderId="7" xfId="0" applyNumberFormat="1" applyFont="1" applyFill="1" applyBorder="1" applyAlignment="1">
      <x:alignment horizontal="center" vertical="center"/>
    </x:xf>
    <x:xf numFmtId="0" fontId="8" fillId="3" borderId="8" xfId="0" applyNumberFormat="1" applyFont="1" applyFill="1" applyBorder="1" applyAlignment="1">
      <x:alignment horizontal="center" vertical="center"/>
    </x:xf>
    <x:xf numFmtId="0" fontId="8" fillId="3" borderId="9" xfId="0" applyNumberFormat="1" applyFont="1" applyFill="1" applyBorder="1" applyAlignment="1">
      <x:alignment horizontal="center" vertical="center"/>
    </x:xf>
    <x:xf numFmtId="203" fontId="7" fillId="7" borderId="10" xfId="0" applyNumberFormat="1" applyFont="1" applyFill="1" applyBorder="1" applyAlignment="1">
      <x:alignment horizontal="center" vertical="center"/>
    </x:xf>
    <x:xf numFmtId="203" fontId="7" fillId="7" borderId="0" xfId="0" applyNumberFormat="1" applyFont="1" applyFill="1" applyBorder="1" applyAlignment="1">
      <x:alignment horizontal="center" vertical="center"/>
    </x:xf>
    <x:xf numFmtId="203" fontId="7" fillId="7" borderId="11" xfId="0" applyNumberFormat="1" applyFont="1" applyFill="1" applyBorder="1" applyAlignment="1">
      <x:alignment horizontal="center" vertical="center"/>
    </x:xf>
    <x:xf numFmtId="202" fontId="7" fillId="3" borderId="10" xfId="0" applyNumberFormat="1" applyFont="1" applyFill="1" applyBorder="1" applyAlignment="1">
      <x:alignment horizontal="center" vertical="center"/>
    </x:xf>
    <x:xf numFmtId="202" fontId="7" fillId="3" borderId="0" xfId="0" applyNumberFormat="1" applyFont="1" applyFill="1" applyBorder="1" applyAlignment="1">
      <x:alignment horizontal="center" vertical="center"/>
    </x:xf>
    <x:xf numFmtId="202" fontId="7" fillId="3" borderId="11" xfId="0" applyNumberFormat="1" applyFont="1" applyFill="1" applyBorder="1" applyAlignment="1">
      <x:alignment horizontal="center" vertical="center"/>
    </x:xf>
    <x:xf numFmtId="202" fontId="7" fillId="7" borderId="10" xfId="0" applyNumberFormat="1" applyFont="1" applyFill="1" applyBorder="1" applyAlignment="1">
      <x:alignment horizontal="center" vertical="center"/>
    </x:xf>
    <x:xf numFmtId="202" fontId="7" fillId="7" borderId="0" xfId="0" applyNumberFormat="1" applyFont="1" applyFill="1" applyBorder="1" applyAlignment="1">
      <x:alignment horizontal="center" vertical="center"/>
    </x:xf>
    <x:xf numFmtId="202" fontId="7" fillId="7" borderId="11" xfId="0" applyNumberFormat="1" applyFont="1" applyFill="1" applyBorder="1" applyAlignment="1">
      <x:alignment horizontal="center" vertical="center"/>
    </x:xf>
    <x:xf numFmtId="203" fontId="7" fillId="7" borderId="12" xfId="0" applyNumberFormat="1" applyFont="1" applyFill="1" applyBorder="1" applyAlignment="1">
      <x:alignment horizontal="center" vertical="center"/>
    </x:xf>
    <x:xf numFmtId="203" fontId="7" fillId="7" borderId="13" xfId="0" applyNumberFormat="1" applyFont="1" applyFill="1" applyBorder="1" applyAlignment="1">
      <x:alignment horizontal="center" vertical="center"/>
    </x:xf>
    <x:xf numFmtId="203" fontId="7" fillId="7" borderId="14" xfId="0" applyNumberFormat="1" applyFont="1" applyFill="1" applyBorder="1" applyAlignment="1">
      <x:alignment horizontal="center" vertical="center"/>
    </x:xf>
    <x:xf numFmtId="205" fontId="7" fillId="3" borderId="12" xfId="0" applyNumberFormat="1" applyFont="1" applyFill="1" applyBorder="1" applyAlignment="1">
      <x:alignment horizontal="center" vertical="center"/>
    </x:xf>
    <x:xf numFmtId="205" fontId="7" fillId="3" borderId="13" xfId="0" applyNumberFormat="1" applyFont="1" applyFill="1" applyBorder="1" applyAlignment="1">
      <x:alignment horizontal="center" vertical="center"/>
    </x:xf>
    <x:xf numFmtId="205" fontId="7" fillId="3" borderId="14" xfId="0" applyNumberFormat="1" applyFont="1" applyFill="1" applyBorder="1" applyAlignment="1">
      <x:alignment horizontal="center" vertical="center"/>
    </x:xf>
    <x:xf numFmtId="205" fontId="7" fillId="7" borderId="12" xfId="0" applyNumberFormat="1" applyFont="1" applyFill="1" applyBorder="1" applyAlignment="1">
      <x:alignment horizontal="center" vertical="center"/>
    </x:xf>
    <x:xf numFmtId="205" fontId="7" fillId="7" borderId="13" xfId="0" applyNumberFormat="1" applyFont="1" applyFill="1" applyBorder="1" applyAlignment="1">
      <x:alignment horizontal="center" vertical="center"/>
    </x:xf>
    <x:xf numFmtId="205" fontId="7" fillId="7" borderId="14" xfId="0" applyNumberFormat="1" applyFont="1" applyFill="1" applyBorder="1" applyAlignment="1">
      <x:alignment horizontal="center" vertical="center"/>
    </x:xf>
    <x:xf numFmtId="205" fontId="7" fillId="7" borderId="10" xfId="0" applyNumberFormat="1" applyFont="1" applyFill="1" applyBorder="1" applyAlignment="1">
      <x:alignment horizontal="center" vertical="center"/>
    </x:xf>
    <x:xf numFmtId="205" fontId="7" fillId="7" borderId="0" xfId="0" applyNumberFormat="1" applyFont="1" applyFill="1" applyBorder="1" applyAlignment="1">
      <x:alignment horizontal="center" vertical="center"/>
    </x:xf>
    <x:xf numFmtId="205" fontId="7" fillId="7" borderId="11" xfId="0" applyNumberFormat="1" applyFont="1" applyFill="1" applyBorder="1" applyAlignment="1">
      <x:alignment horizontal="center" vertical="center"/>
    </x:xf>
    <x:xf numFmtId="205" fontId="7" fillId="3" borderId="10" xfId="0" applyNumberFormat="1" applyFont="1" applyFill="1" applyBorder="1" applyAlignment="1">
      <x:alignment horizontal="center" vertical="center"/>
    </x:xf>
    <x:xf numFmtId="205" fontId="7" fillId="3" borderId="0" xfId="0" applyNumberFormat="1" applyFont="1" applyFill="1" applyBorder="1" applyAlignment="1">
      <x:alignment horizontal="center" vertical="center"/>
    </x:xf>
    <x:xf numFmtId="205" fontId="7" fillId="3" borderId="11" xfId="0" applyNumberFormat="1" applyFont="1" applyFill="1" applyBorder="1" applyAlignment="1">
      <x:alignment horizontal="center" vertical="center"/>
    </x:xf>
    <x:xf numFmtId="201" fontId="7" fillId="3" borderId="12" xfId="0" applyNumberFormat="1" applyFont="1" applyFill="1" applyBorder="1" applyAlignment="1">
      <x:alignment horizontal="center" vertical="center"/>
    </x:xf>
    <x:xf numFmtId="201" fontId="7" fillId="3" borderId="13" xfId="0" applyNumberFormat="1" applyFont="1" applyFill="1" applyBorder="1" applyAlignment="1">
      <x:alignment horizontal="center" vertical="center"/>
    </x:xf>
    <x:xf numFmtId="201" fontId="7" fillId="3" borderId="14" xfId="0" applyNumberFormat="1" applyFont="1" applyFill="1" applyBorder="1" applyAlignment="1">
      <x:alignment horizontal="center" vertical="center"/>
    </x:xf>
    <x:xf numFmtId="203" fontId="7" fillId="3" borderId="12" xfId="0" applyNumberFormat="1" applyFont="1" applyFill="1" applyBorder="1" applyAlignment="1">
      <x:alignment horizontal="center" vertical="center"/>
    </x:xf>
    <x:xf numFmtId="203" fontId="7" fillId="3" borderId="13" xfId="0" applyNumberFormat="1" applyFont="1" applyFill="1" applyBorder="1" applyAlignment="1">
      <x:alignment horizontal="center" vertical="center"/>
    </x:xf>
    <x:xf numFmtId="203" fontId="7" fillId="3" borderId="14" xfId="0" applyNumberFormat="1" applyFont="1" applyFill="1" applyBorder="1" applyAlignment="1">
      <x:alignment horizontal="center" vertical="center"/>
    </x:xf>
    <x:xf numFmtId="0" fontId="7" fillId="6" borderId="0" xfId="0" applyNumberFormat="1" applyFont="1" applyFill="1" applyBorder="1" applyAlignment="1">
      <x:alignment horizontal="center"/>
    </x:xf>
    <x:xf numFmtId="0" fontId="17" fillId="0" borderId="0" xfId="0" applyNumberFormat="1" applyFont="1" applyFill="1" applyBorder="1"/>
    <x:xf numFmtId="0" fontId="7" fillId="0" borderId="0" xfId="0" applyNumberFormat="1" applyFont="1" applyFill="1" applyBorder="1"/>
    <x:xf numFmtId="0" fontId="8" fillId="8" borderId="0" xfId="0" applyNumberFormat="1" applyFont="1" applyFill="1" applyBorder="1"/>
    <x:xf numFmtId="0" fontId="8" fillId="7" borderId="0" xfId="0" applyNumberFormat="1" applyFont="1" applyFill="1" applyBorder="1"/>
    <x:xf numFmtId="0" fontId="0" fillId="0" borderId="0" xfId="0" applyNumberFormat="1" applyFont="1" applyFill="1" applyBorder="1" applyAlignment="1">
      <x:alignment vertical="center"/>
    </x:xf>
    <x:xf numFmtId="0" fontId="8" fillId="3" borderId="0"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0" fontId="7" fillId="0" borderId="0" xfId="0" applyNumberFormat="1" applyFont="1" applyFill="1" applyBorder="1" applyAlignment="1">
      <x:alignment vertical="center"/>
    </x:xf>
    <x:xf numFmtId="200" fontId="8" fillId="6" borderId="0" xfId="0" applyNumberFormat="1" applyFont="1" applyFill="1" applyBorder="1" applyAlignment="1">
      <x:alignment vertical="center"/>
    </x:xf>
    <x:xf numFmtId="0" fontId="8" fillId="8" borderId="0" xfId="0" applyNumberFormat="1" applyFont="1" applyFill="1" applyBorder="1" applyAlignment="1">
      <x:alignment vertical="center"/>
    </x:xf>
    <x:xf numFmtId="0" fontId="8" fillId="7" borderId="0" xfId="0" applyNumberFormat="1" applyFont="1" applyFill="1" applyBorder="1" applyAlignment="1">
      <x:alignment vertical="center"/>
    </x:xf>
    <x:xf numFmtId="0" fontId="8" fillId="8" borderId="0" xfId="0" applyNumberFormat="1" applyFont="1" applyFill="1" applyBorder="1" applyAlignment="1">
      <x:alignment vertical="center" wrapText="1"/>
    </x:xf>
    <x:xf numFmtId="0" fontId="7" fillId="6" borderId="0" xfId="0" applyNumberFormat="1" applyFont="1" applyFill="1" applyBorder="1" applyAlignment="1">
      <x:alignment horizontal="center" vertical="center"/>
    </x:xf>
    <x:xf numFmtId="202" fontId="8" fillId="0" borderId="0" xfId="0" applyNumberFormat="1" applyFont="1" applyFill="1" applyBorder="1" applyAlignment="1">
      <x:alignment vertical="center"/>
    </x:xf>
    <x:xf numFmtId="201" fontId="8" fillId="6" borderId="0" xfId="0" applyNumberFormat="1" applyFont="1" applyFill="1" applyBorder="1" applyAlignment="1">
      <x:alignment vertical="center"/>
    </x:xf>
    <x:xf numFmtId="202" fontId="8" fillId="6" borderId="0" xfId="0" applyNumberFormat="1" applyFont="1" applyFill="1" applyBorder="1" applyAlignment="1">
      <x:alignment vertical="center"/>
    </x:xf>
    <x:xf numFmtId="203" fontId="8" fillId="0" borderId="0" xfId="0" applyNumberFormat="1" applyFont="1" applyFill="1" applyBorder="1" applyAlignment="1">
      <x:alignment vertical="center"/>
    </x:xf>
    <x:xf numFmtId="201" fontId="5" fillId="6" borderId="0" xfId="0" applyNumberFormat="1" applyFont="1" applyFill="1" applyBorder="1" applyAlignment="1">
      <x:alignment vertical="center"/>
    </x:xf>
    <x:xf numFmtId="203" fontId="8" fillId="6" borderId="0" xfId="0" applyNumberFormat="1" applyFont="1" applyFill="1" applyBorder="1" applyAlignment="1">
      <x:alignment vertical="center"/>
    </x:xf>
    <x:xf numFmtId="203" fontId="5" fillId="6" borderId="0" xfId="0" applyNumberFormat="1" applyFont="1" applyFill="1" applyBorder="1" applyAlignment="1">
      <x:alignment vertical="center"/>
    </x:xf>
    <x:xf numFmtId="204" fontId="8" fillId="6" borderId="0" xfId="0" applyNumberFormat="1" applyFont="1" applyFill="1" applyBorder="1" applyAlignment="1">
      <x:alignment vertical="center"/>
    </x:xf>
    <x:xf numFmtId="204" fontId="5" fillId="6" borderId="0" xfId="0" applyNumberFormat="1" applyFont="1" applyFill="1" applyBorder="1" applyAlignment="1">
      <x:alignment vertical="center"/>
    </x:xf>
    <x:xf numFmtId="201" fontId="8" fillId="0" borderId="0" xfId="0" applyNumberFormat="1" applyFont="1" applyFill="1" applyBorder="1" applyAlignment="1">
      <x:alignment vertical="center" wrapText="1"/>
    </x:xf>
    <x:xf numFmtId="200" fontId="8" fillId="6" borderId="0" xfId="0" applyNumberFormat="1" applyFont="1" applyFill="1" applyBorder="1" applyAlignment="1">
      <x:alignment vertical="center" wrapText="1"/>
    </x:xf>
    <x:xf numFmtId="201" fontId="7" fillId="7" borderId="4" xfId="0" applyNumberFormat="1" applyFont="1" applyFill="1" applyBorder="1" applyAlignment="1">
      <x:alignment vertical="center" wrapText="1"/>
    </x:xf>
    <x:xf numFmtId="205" fontId="7" fillId="7" borderId="4" xfId="0" applyNumberFormat="1" applyFont="1" applyFill="1" applyBorder="1" applyAlignment="1">
      <x:alignment vertical="center"/>
    </x:xf>
    <x:xf numFmtId="205" fontId="8" fillId="0" borderId="0" xfId="0" applyNumberFormat="1" applyFont="1" applyFill="1" applyBorder="1" applyAlignment="1">
      <x:alignment vertical="center"/>
    </x:xf>
    <x:xf numFmtId="201" fontId="8" fillId="0" borderId="0" xfId="0" applyNumberFormat="1" applyFont="1" applyFill="1" applyBorder="1" applyAlignment="1">
      <x:alignment vertical="center"/>
    </x:xf>
    <x:xf numFmtId="202" fontId="7" fillId="7" borderId="4" xfId="0" applyNumberFormat="1" applyFont="1" applyFill="1" applyBorder="1" applyAlignment="1">
      <x:alignment vertical="center"/>
    </x:xf>
    <x:xf numFmtId="202" fontId="8" fillId="0" borderId="0" xfId="0" applyNumberFormat="1" applyFont="1" applyFill="1" applyBorder="1" applyAlignment="1">
      <x:alignment vertical="center" wrapText="1"/>
    </x:xf>
    <x:xf numFmtId="203" fontId="8" fillId="0" borderId="0" xfId="0" applyNumberFormat="1" applyFont="1" applyFill="1" applyBorder="1" applyAlignment="1">
      <x:alignment vertical="center" wrapText="1"/>
    </x:xf>
    <x:xf numFmtId="202" fontId="7" fillId="7" borderId="4" xfId="0" applyNumberFormat="1" applyFont="1" applyFill="1" applyBorder="1" applyAlignment="1">
      <x:alignment vertical="center" wrapText="1"/>
    </x:xf>
    <x:xf numFmtId="203" fontId="7" fillId="7" borderId="4" xfId="0" applyNumberFormat="1" applyFont="1" applyFill="1" applyBorder="1" applyAlignment="1">
      <x:alignment vertical="center" wrapText="1"/>
    </x:xf>
    <x:xf numFmtId="203" fontId="7" fillId="7" borderId="5" xfId="0" applyNumberFormat="1" applyFont="1" applyFill="1" applyBorder="1" applyAlignment="1">
      <x:alignment vertical="center" wrapText="1"/>
    </x:xf>
    <x:xf numFmtId="203" fontId="7" fillId="7" borderId="0" xfId="0" applyNumberFormat="1" applyFont="1" applyFill="1" applyBorder="1" applyAlignment="1">
      <x:alignment vertical="center" wrapText="1"/>
    </x:xf>
    <x:xf numFmtId="203" fontId="7" fillId="7" borderId="6" xfId="0" applyNumberFormat="1" applyFont="1" applyFill="1" applyBorder="1" applyAlignment="1">
      <x:alignment vertical="center" wrapText="1"/>
    </x:xf>
    <x:xf numFmtId="202" fontId="8" fillId="6" borderId="0" xfId="0" applyNumberFormat="1" applyFont="1" applyFill="1" applyBorder="1" applyAlignment="1">
      <x:alignment vertical="center" wrapText="1"/>
    </x:xf>
    <x:xf numFmtId="206" fontId="8" fillId="0" borderId="0" xfId="0" applyNumberFormat="1" applyFont="1" applyFill="1" applyBorder="1" applyAlignment="1">
      <x:alignment vertical="center" wrapText="1"/>
    </x:xf>
    <x:xf numFmtId="206" fontId="7" fillId="7" borderId="4" xfId="0" applyNumberFormat="1" applyFont="1" applyFill="1" applyBorder="1" applyAlignment="1">
      <x:alignment vertical="center" wrapText="1"/>
    </x:xf>
    <x:xf numFmtId="202" fontId="7" fillId="7" borderId="5" xfId="0" applyNumberFormat="1" applyFont="1" applyFill="1" applyBorder="1" applyAlignment="1">
      <x:alignment vertical="center" wrapText="1"/>
    </x:xf>
    <x:xf numFmtId="202" fontId="7" fillId="7" borderId="0" xfId="0" applyNumberFormat="1" applyFont="1" applyFill="1" applyBorder="1" applyAlignment="1">
      <x:alignment vertical="center" wrapText="1"/>
    </x:xf>
    <x:xf numFmtId="202" fontId="7" fillId="7" borderId="6" xfId="0" applyNumberFormat="1" applyFont="1" applyFill="1" applyBorder="1" applyAlignment="1">
      <x:alignment vertical="center" wrapText="1"/>
    </x:xf>
    <x:xf numFmtId="202" fontId="7" fillId="7" borderId="5" xfId="0" applyNumberFormat="1" applyFont="1" applyFill="1" applyBorder="1" applyAlignment="1">
      <x:alignment vertical="center"/>
    </x:xf>
    <x:xf numFmtId="202" fontId="7" fillId="7" borderId="6" xfId="0" applyNumberFormat="1" applyFont="1" applyFill="1" applyBorder="1" applyAlignment="1">
      <x:alignment vertical="center"/>
    </x:xf>
    <x:xf numFmtId="204" fontId="8" fillId="0" borderId="0" xfId="0" applyNumberFormat="1" applyFont="1" applyFill="1" applyBorder="1" applyAlignment="1">
      <x:alignment vertical="center"/>
    </x:xf>
    <x:xf numFmtId="200" fontId="7" fillId="7" borderId="5" xfId="0" applyNumberFormat="1" applyFont="1" applyFill="1" applyBorder="1" applyAlignment="1">
      <x:alignment vertical="center"/>
    </x:xf>
    <x:xf numFmtId="200" fontId="7" fillId="7" borderId="0" xfId="0" applyNumberFormat="1" applyFont="1" applyFill="1" applyBorder="1" applyAlignment="1">
      <x:alignment vertical="center"/>
    </x:xf>
    <x:xf numFmtId="201" fontId="7" fillId="7" borderId="0" xfId="0" applyNumberFormat="1" applyFont="1" applyFill="1" applyBorder="1" applyAlignment="1">
      <x:alignment vertical="center"/>
    </x:xf>
    <x:xf numFmtId="202" fontId="7" fillId="7" borderId="0" xfId="0" applyNumberFormat="1" applyFont="1" applyFill="1" applyBorder="1" applyAlignment="1">
      <x:alignment vertical="center"/>
    </x:xf>
    <x:xf numFmtId="200" fontId="7" fillId="7" borderId="6" xfId="0" applyNumberFormat="1" applyFont="1" applyFill="1" applyBorder="1" applyAlignment="1">
      <x:alignment vertical="center"/>
    </x:xf>
    <x:xf numFmtId="207" fontId="7" fillId="7" borderId="6" xfId="0" applyNumberFormat="1" applyFont="1" applyFill="1" applyBorder="1" applyAlignment="1">
      <x:alignment vertical="center"/>
    </x:xf>
    <x:xf numFmtId="202" fontId="7" fillId="5" borderId="0" xfId="0" applyNumberFormat="1" applyFont="1" applyFill="1" applyBorder="1" applyAlignment="1">
      <x:alignment horizontal="center" vertical="center"/>
    </x:xf>
    <x:xf numFmtId="201" fontId="7" fillId="5" borderId="0" xfId="0" applyNumberFormat="1" applyFont="1" applyFill="1" applyBorder="1" applyAlignment="1">
      <x:alignment horizontal="center" vertical="center"/>
    </x:xf>
    <x:xf numFmtId="0" fontId="10" fillId="8" borderId="0" xfId="0" applyNumberFormat="1" applyFont="1" applyFill="1" applyBorder="1" applyAlignment="1">
      <x:alignment vertical="center" wrapText="1"/>
    </x:xf>
    <x:xf numFmtId="200" fontId="7" fillId="7" borderId="4" xfId="0" applyNumberFormat="1" applyFont="1" applyFill="1" applyBorder="1" applyAlignment="1">
      <x:alignment vertical="center"/>
    </x:xf>
    <x:xf numFmtId="0" fontId="1" fillId="9" borderId="0" xfId="0" applyNumberFormat="1" applyFont="1" applyFill="1" applyBorder="1" applyAlignment="1">
      <x:alignment vertical="center"/>
    </x:xf>
    <x:xf numFmtId="0" fontId="2" fillId="10" borderId="0" xfId="0" applyNumberFormat="1" applyFont="1" applyFill="1" applyBorder="1" applyAlignment="1">
      <x:alignment vertical="center" wrapText="1"/>
    </x:xf>
    <x:xf numFmtId="0" fontId="7" fillId="11" borderId="0" xfId="0" applyNumberFormat="1" applyFont="1" applyFill="1" applyBorder="1" applyAlignment="1">
      <x:alignment vertical="center"/>
    </x:xf>
    <x:xf numFmtId="0" fontId="3" fillId="11" borderId="0" xfId="0" applyNumberFormat="1" applyFont="1" applyFill="1" applyBorder="1" applyAlignment="1">
      <x:alignment vertical="center"/>
    </x:xf>
    <x:xf numFmtId="0" fontId="7" fillId="12" borderId="1" xfId="0" applyNumberFormat="1" applyFont="1" applyFill="1" applyBorder="1" applyAlignment="1">
      <x:alignment horizontal="center" vertical="center" wrapText="1"/>
    </x:xf>
    <x:xf numFmtId="0" fontId="7" fillId="12" borderId="2" xfId="0" applyNumberFormat="1" applyFont="1" applyFill="1" applyBorder="1" applyAlignment="1">
      <x:alignment horizontal="center" vertical="center" wrapText="1"/>
    </x:xf>
    <x:xf numFmtId="0" fontId="7" fillId="12" borderId="3" xfId="0" applyNumberFormat="1" applyFont="1" applyFill="1" applyBorder="1" applyAlignment="1">
      <x:alignment horizontal="center" vertical="center" wrapText="1"/>
    </x:xf>
    <x:xf numFmtId="0" fontId="4" fillId="12" borderId="1" xfId="0" applyNumberFormat="1" applyFont="1" applyFill="1" applyBorder="1" applyAlignment="1">
      <x:alignment horizontal="center" vertical="center" wrapText="1"/>
    </x:xf>
    <x:xf numFmtId="0" fontId="4" fillId="12" borderId="2" xfId="0" applyNumberFormat="1" applyFont="1" applyFill="1" applyBorder="1" applyAlignment="1">
      <x:alignment horizontal="center" vertical="center" wrapText="1"/>
    </x:xf>
    <x:xf numFmtId="0" fontId="4" fillId="12" borderId="3" xfId="0" applyNumberFormat="1" applyFont="1" applyFill="1" applyBorder="1" applyAlignment="1">
      <x:alignment horizontal="center" vertical="center" wrapText="1"/>
    </x:xf>
    <x:xf numFmtId="200" fontId="6" fillId="6" borderId="0" xfId="0" applyNumberFormat="1" applyFont="1" applyFill="1" applyBorder="1" applyAlignment="1">
      <x:alignment vertical="center"/>
    </x:xf>
    <x:xf numFmtId="203" fontId="6" fillId="0" borderId="0" xfId="0" applyNumberFormat="1" applyFont="1" applyFill="1" applyBorder="1" applyAlignment="1">
      <x:alignment vertical="center"/>
    </x:xf>
    <x:xf numFmtId="203" fontId="6" fillId="6" borderId="0" xfId="0" applyNumberFormat="1" applyFont="1" applyFill="1" applyBorder="1" applyAlignment="1">
      <x:alignment vertical="center"/>
    </x:xf>
    <x:xf numFmtId="203" fontId="8" fillId="13" borderId="0" xfId="0" applyNumberFormat="1" applyFont="1" applyFill="1" applyBorder="1" applyAlignment="1">
      <x:alignment vertical="center"/>
    </x:xf>
    <x:xf numFmtId="200" fontId="8" fillId="13" borderId="0" xfId="0" applyNumberFormat="1" applyFont="1" applyFill="1" applyBorder="1" applyAlignment="1">
      <x:alignment vertical="center"/>
    </x:xf>
    <x:xf numFmtId="201" fontId="8" fillId="13" borderId="0" xfId="0" applyNumberFormat="1" applyFont="1" applyFill="1" applyBorder="1" applyAlignment="1">
      <x:alignment vertical="center"/>
    </x:xf>
    <x:xf numFmtId="203" fontId="5" fillId="13" borderId="0" xfId="0" applyNumberFormat="1" applyFont="1" applyFill="1" applyBorder="1" applyAlignment="1">
      <x:alignment vertical="center"/>
    </x:xf>
    <x:xf numFmtId="200" fontId="5" fillId="13" borderId="0" xfId="0" applyNumberFormat="1" applyFont="1" applyFill="1" applyBorder="1" applyAlignment="1">
      <x:alignment vertical="center"/>
    </x:xf>
    <x:xf numFmtId="201" fontId="5" fillId="13" borderId="0" xfId="0" applyNumberFormat="1" applyFont="1" applyFill="1" applyBorder="1" applyAlignment="1">
      <x:alignment vertical="center"/>
    </x:xf>
    <x:xf numFmtId="0" fontId="0" fillId="11" borderId="0" xfId="0" applyNumberFormat="1" applyFont="1" applyFill="1" applyBorder="1"/>
    <x:xf numFmtId="0" fontId="3" fillId="11" borderId="0" xfId="0" applyNumberFormat="1" applyFont="1" applyFill="1" applyBorder="1"/>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0" fontId="4" fillId="12" borderId="0" xfId="0" applyNumberFormat="1" applyFont="1" applyFill="1" applyBorder="1" applyAlignment="1">
      <x:alignment horizontal="center" vertical="center" wrapText="1"/>
    </x:xf>
    <x:xf numFmtId="0" fontId="0" fillId="13" borderId="0" xfId="0" applyNumberFormat="1" applyFont="1" applyFill="1" applyBorder="1"/>
    <x:xf numFmtId="0" fontId="5" fillId="13" borderId="0" xfId="0" applyNumberFormat="1" applyFont="1" applyFill="1" applyBorder="1"/>
    <x:xf numFmtId="200" fontId="5" fillId="13" borderId="0" xfId="0" applyNumberFormat="1" applyFont="1" applyFill="1" applyBorder="1"/>
    <x:xf numFmtId="201" fontId="5" fillId="13" borderId="0" xfId="0" applyNumberFormat="1" applyFont="1" applyFill="1" applyBorder="1"/>
    <x:xf numFmtId="202" fontId="5" fillId="13"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204" fontId="5" fillId="13" borderId="0" xfId="0" applyNumberFormat="1" applyFont="1" applyFill="1" applyBorder="1"/>
    <x:xf numFmtId="200" fontId="6" fillId="0" borderId="0" xfId="0" applyNumberFormat="1" applyFont="1" applyFill="1" applyBorder="1"/>
    <x:xf numFmtId="0" fontId="0" fillId="14" borderId="0" xfId="0" applyNumberFormat="1" applyFont="1" applyFill="1" applyBorder="1"/>
    <x:xf numFmtId="0" fontId="7" fillId="14" borderId="0" xfId="0" applyNumberFormat="1" applyFont="1" applyFill="1" applyBorder="1"/>
    <x:xf numFmtId="0" fontId="7" fillId="14" borderId="4" xfId="0" applyNumberFormat="1" applyFont="1" applyFill="1" applyBorder="1"/>
    <x:xf numFmtId="202" fontId="7" fillId="14" borderId="4" xfId="0" applyNumberFormat="1" applyFont="1" applyFill="1" applyBorder="1"/>
    <x:xf numFmtId="203" fontId="5" fillId="13" borderId="0" xfId="0" applyNumberFormat="1" applyFont="1" applyFill="1" applyBorder="1"/>
    <x:xf numFmtId="202" fontId="6" fillId="14" borderId="0" xfId="0" applyNumberFormat="1" applyFont="1" applyFill="1" applyBorder="1"/>
    <x:xf numFmtId="202" fontId="7" fillId="14" borderId="0" xfId="0" applyNumberFormat="1" applyFont="1" applyFill="1" applyBorder="1"/>
    <x:xf numFmtId="0" fontId="7" fillId="14" borderId="5" xfId="0" applyNumberFormat="1" applyFont="1" applyFill="1" applyBorder="1"/>
    <x:xf numFmtId="202" fontId="7" fillId="14" borderId="5" xfId="0" applyNumberFormat="1" applyFont="1" applyFill="1" applyBorder="1"/>
    <x:xf numFmtId="0" fontId="7" fillId="14" borderId="6" xfId="0" applyNumberFormat="1" applyFont="1" applyFill="1" applyBorder="1"/>
    <x:xf numFmtId="202" fontId="7" fillId="14" borderId="6" xfId="0" applyNumberFormat="1" applyFont="1" applyFill="1" applyBorder="1"/>
    <x:xf numFmtId="203" fontId="6" fillId="14" borderId="0" xfId="0" applyNumberFormat="1" applyFont="1" applyFill="1" applyBorder="1"/>
    <x:xf numFmtId="203" fontId="7" fillId="14" borderId="0" xfId="0" applyNumberFormat="1" applyFont="1" applyFill="1" applyBorder="1"/>
    <x:xf numFmtId="203" fontId="7" fillId="14" borderId="4" xfId="0" applyNumberFormat="1" applyFont="1" applyFill="1" applyBorder="1"/>
    <x:xf numFmtId="202" fontId="0" fillId="14" borderId="0" xfId="0" applyNumberFormat="1" applyFont="1" applyFill="1" applyBorder="1"/>
    <x:xf numFmtId="0" fontId="7" fillId="9" borderId="0" xfId="0" applyNumberFormat="1" applyFont="1" applyFill="1" applyBorder="1" applyAlignment="1">
      <x:alignment vertical="center"/>
    </x:xf>
    <x:xf numFmtId="0" fontId="18" fillId="10" borderId="0" xfId="0" applyNumberFormat="1" applyFont="1" applyFill="1" applyBorder="1" applyAlignment="1">
      <x:alignment vertical="center" wrapText="1"/>
    </x:xf>
    <x:xf numFmtId="0" fontId="7" fillId="12" borderId="0" xfId="0" applyNumberFormat="1" applyFont="1" applyFill="1" applyBorder="1" applyAlignment="1">
      <x:alignment horizontal="center" vertical="center" wrapText="1"/>
    </x:xf>
    <x:xf numFmtId="200" fontId="8" fillId="0" borderId="0" xfId="0" applyNumberFormat="1" applyFont="1" applyFill="1" applyBorder="1"/>
    <x:xf numFmtId="201" fontId="8" fillId="13" borderId="0" xfId="0" applyNumberFormat="1" applyFont="1" applyFill="1" applyBorder="1"/>
    <x:xf numFmtId="202" fontId="8" fillId="13" borderId="0" xfId="0" applyNumberFormat="1" applyFont="1" applyFill="1" applyBorder="1"/>
    <x:xf numFmtId="204" fontId="8" fillId="13" borderId="0" xfId="0" applyNumberFormat="1" applyFont="1" applyFill="1" applyBorder="1"/>
    <x:xf numFmtId="200" fontId="8" fillId="13" borderId="0" xfId="0" applyNumberFormat="1" applyFont="1" applyFill="1" applyBorder="1"/>
    <x:xf numFmtId="203" fontId="8" fillId="13" borderId="0" xfId="0" applyNumberFormat="1" applyFont="1" applyFill="1" applyBorder="1"/>
    <x:xf numFmtId="200" fontId="8" fillId="0" borderId="0" xfId="0" applyNumberFormat="1" applyFont="1" applyFill="1" applyBorder="1" applyAlignment="1">
      <x:alignment vertical="center"/>
    </x:xf>
    <x:xf numFmtId="202" fontId="8" fillId="13" borderId="0" xfId="0" applyNumberFormat="1" applyFont="1" applyFill="1" applyBorder="1" applyAlignment="1">
      <x:alignment vertical="center"/>
    </x:xf>
    <x:xf numFmtId="204" fontId="8" fillId="13" borderId="0" xfId="0" applyNumberFormat="1" applyFont="1" applyFill="1" applyBorder="1" applyAlignment="1">
      <x:alignment vertical="center"/>
    </x:xf>
    <x:xf numFmtId="202" fontId="7" fillId="14" borderId="4" xfId="0" applyNumberFormat="1" applyFont="1" applyFill="1" applyBorder="1" applyAlignment="1">
      <x:alignment vertical="center"/>
    </x:xf>
    <x:xf numFmtId="202" fontId="7" fillId="14" borderId="5" xfId="0" applyNumberFormat="1" applyFont="1" applyFill="1" applyBorder="1" applyAlignment="1">
      <x:alignment vertical="center"/>
    </x:xf>
    <x:xf numFmtId="202" fontId="7" fillId="14" borderId="6" xfId="0" applyNumberFormat="1" applyFont="1" applyFill="1" applyBorder="1" applyAlignment="1">
      <x:alignment vertical="center"/>
    </x:xf>
    <x:xf numFmtId="203" fontId="7" fillId="14" borderId="4" xfId="0" applyNumberFormat="1" applyFont="1" applyFill="1" applyBorder="1" applyAlignment="1">
      <x:alignment vertical="center"/>
    </x:xf>
    <x:xf numFmtId="0" fontId="7" fillId="9" borderId="0" xfId="0" applyNumberFormat="1" applyFont="1" applyFill="1" applyBorder="1" applyAlignment="1">
      <x:alignment vertical="center" wrapText="1"/>
    </x:xf>
    <x:xf numFmtId="0" fontId="7" fillId="11" borderId="0" xfId="0" applyNumberFormat="1" applyFont="1" applyFill="1" applyBorder="1" applyAlignment="1">
      <x:alignment vertical="center" wrapText="1"/>
    </x:xf>
    <x:xf numFmtId="200" fontId="8" fillId="0" borderId="0" xfId="0" applyNumberFormat="1" applyFont="1" applyFill="1" applyBorder="1" applyAlignment="1">
      <x:alignment vertical="center" wrapText="1"/>
    </x:xf>
    <x:xf numFmtId="205" fontId="8" fillId="0" borderId="0" xfId="0" applyNumberFormat="1" applyFont="1" applyFill="1" applyBorder="1" applyAlignment="1">
      <x:alignment vertical="center" wrapText="1"/>
    </x:xf>
    <x:xf numFmtId="201" fontId="8" fillId="13" borderId="0" xfId="0" applyNumberFormat="1" applyFont="1" applyFill="1" applyBorder="1" applyAlignment="1">
      <x:alignment vertical="center" wrapText="1"/>
    </x:xf>
    <x:xf numFmtId="202" fontId="8" fillId="13" borderId="0" xfId="0" applyNumberFormat="1" applyFont="1" applyFill="1" applyBorder="1" applyAlignment="1">
      <x:alignment vertical="center" wrapText="1"/>
    </x:xf>
    <x:xf numFmtId="204" fontId="8" fillId="13" borderId="0" xfId="0" applyNumberFormat="1" applyFont="1" applyFill="1" applyBorder="1" applyAlignment="1">
      <x:alignment vertical="center" wrapText="1"/>
    </x:xf>
    <x:xf numFmtId="200" fontId="8" fillId="13" borderId="0" xfId="0" applyNumberFormat="1" applyFont="1" applyFill="1" applyBorder="1" applyAlignment="1">
      <x:alignment vertical="center" wrapText="1"/>
    </x:xf>
    <x:xf numFmtId="202" fontId="7" fillId="14" borderId="4" xfId="0" applyNumberFormat="1" applyFont="1" applyFill="1" applyBorder="1" applyAlignment="1">
      <x:alignment vertical="center" wrapText="1"/>
    </x:xf>
    <x:xf numFmtId="203" fontId="8" fillId="13" borderId="0" xfId="0" applyNumberFormat="1" applyFont="1" applyFill="1" applyBorder="1" applyAlignment="1">
      <x:alignment vertical="center" wrapText="1"/>
    </x:xf>
    <x:xf numFmtId="202" fontId="7" fillId="14" borderId="5" xfId="0" applyNumberFormat="1" applyFont="1" applyFill="1" applyBorder="1" applyAlignment="1">
      <x:alignment vertical="center" wrapText="1"/>
    </x:xf>
    <x:xf numFmtId="202" fontId="7" fillId="14" borderId="6" xfId="0" applyNumberFormat="1" applyFont="1" applyFill="1" applyBorder="1" applyAlignment="1">
      <x:alignment vertical="center" wrapText="1"/>
    </x:xf>
    <x:xf numFmtId="203" fontId="7" fillId="14" borderId="4" xfId="0" applyNumberFormat="1" applyFont="1" applyFill="1" applyBorder="1" applyAlignment="1">
      <x:alignment vertical="center" wrapText="1"/>
    </x:xf>
    <x:xf numFmtId="205" fontId="7" fillId="14" borderId="4" xfId="0" applyNumberFormat="1" applyFont="1" applyFill="1" applyBorder="1" applyAlignment="1">
      <x:alignment vertical="center"/>
    </x:xf>
    <x:xf numFmtId="205" fontId="7" fillId="14" borderId="0" xfId="0" applyNumberFormat="1" applyFont="1" applyFill="1" applyBorder="1"/>
    <x:xf numFmtId="205" fontId="9" fillId="14" borderId="4" xfId="0" applyNumberFormat="1" applyFont="1" applyFill="1" applyBorder="1" applyAlignment="1">
      <x:alignment vertical="center"/>
    </x:xf>
    <x:xf numFmtId="205" fontId="9" fillId="14" borderId="0" xfId="0" applyNumberFormat="1" applyFont="1" applyFill="1" applyBorder="1"/>
    <x:xf numFmtId="203" fontId="9" fillId="14" borderId="4" xfId="0" applyNumberFormat="1" applyFont="1" applyFill="1" applyBorder="1" applyAlignment="1">
      <x:alignment vertical="center"/>
    </x:xf>
    <x:xf numFmtId="203" fontId="9" fillId="14" borderId="0" xfId="0" applyNumberFormat="1" applyFont="1" applyFill="1" applyBorder="1"/>
    <x:xf numFmtId="202" fontId="5" fillId="13" borderId="0" xfId="0" applyNumberFormat="1" applyFont="1" applyFill="1" applyBorder="1" applyAlignment="1">
      <x:alignment vertical="center" wrapText="1"/>
    </x:xf>
    <x:xf numFmtId="201" fontId="3" fillId="11" borderId="0" xfId="0" applyNumberFormat="1" applyFont="1" applyFill="1" applyBorder="1" applyAlignment="1">
      <x:alignment vertical="center"/>
    </x:xf>
    <x:xf numFmtId="200" fontId="6" fillId="6" borderId="0" xfId="0" applyNumberFormat="1" applyFont="1" applyFill="1" applyBorder="1" applyAlignment="1">
      <x:alignment vertical="center" wrapText="1"/>
    </x:xf>
    <x:xf numFmtId="205" fontId="6" fillId="6"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202" fontId="9" fillId="7" borderId="4" xfId="0" applyNumberFormat="1" applyFont="1" applyFill="1" applyBorder="1" applyAlignment="1">
      <x:alignment vertical="center" wrapText="1"/>
    </x:xf>
    <x:xf numFmtId="202" fontId="9" fillId="14" borderId="4" xfId="0" applyNumberFormat="1" applyFont="1" applyFill="1" applyBorder="1" applyAlignment="1">
      <x:alignment vertical="center" wrapText="1"/>
    </x:xf>
    <x:xf numFmtId="0" fontId="8" fillId="14" borderId="0" xfId="0" applyNumberFormat="1" applyFont="1" applyFill="1" applyBorder="1" applyAlignment="1">
      <x:alignment vertical="center" wrapText="1"/>
    </x:xf>
    <x:xf numFmtId="201" fontId="0" fillId="14" borderId="0" xfId="0" applyNumberFormat="1" applyFont="1" applyFill="1" applyBorder="1"/>
    <x:xf numFmtId="0" fontId="7" fillId="14" borderId="0" xfId="0" applyNumberFormat="1" applyFont="1" applyFill="1" applyBorder="1" applyAlignment="1">
      <x:alignment vertical="center" wrapText="1"/>
    </x:xf>
    <x:xf numFmtId="201" fontId="7" fillId="14" borderId="0" xfId="0" applyNumberFormat="1" applyFont="1" applyFill="1" applyBorder="1"/>
    <x:xf numFmtId="0" fontId="7" fillId="14" borderId="4" xfId="0" applyNumberFormat="1" applyFont="1" applyFill="1" applyBorder="1" applyAlignment="1">
      <x:alignment vertical="center" wrapText="1"/>
    </x:xf>
    <x:xf numFmtId="201" fontId="7" fillId="14" borderId="4" xfId="0" applyNumberFormat="1" applyFont="1" applyFill="1" applyBorder="1"/>
    <x:xf numFmtId="206" fontId="7" fillId="14" borderId="4" xfId="0" applyNumberFormat="1" applyFont="1" applyFill="1" applyBorder="1" applyAlignment="1">
      <x:alignment vertical="center" wrapText="1"/>
    </x:xf>
    <x:xf numFmtId="202" fontId="7" fillId="14" borderId="0" xfId="0" applyNumberFormat="1" applyFont="1" applyFill="1" applyBorder="1" applyAlignment="1">
      <x:alignment vertical="center" wrapText="1"/>
    </x:xf>
    <x:xf numFmtId="0" fontId="7" fillId="14" borderId="5" xfId="0" applyNumberFormat="1" applyFont="1" applyFill="1" applyBorder="1" applyAlignment="1">
      <x:alignment vertical="center" wrapText="1"/>
    </x:xf>
    <x:xf numFmtId="202" fontId="7" fillId="14" xfId="0" applyNumberFormat="1" applyFont="1" applyFill="1" applyBorder="0" applyAlignment="1">
      <x:alignment vertical="center" wrapText="1"/>
    </x:xf>
    <x:xf numFmtId="0" fontId="7" fillId="14" xfId="0" applyNumberFormat="1" applyFont="1" applyFill="1" applyBorder="0" applyAlignment="1">
      <x:alignment vertical="center" wrapText="1"/>
    </x:xf>
    <x:xf numFmtId="0" fontId="7" fillId="14" borderId="6" xfId="0" applyNumberFormat="1" applyFont="1" applyFill="1" applyBorder="1" applyAlignment="1">
      <x:alignment vertical="center" wrapText="1"/>
    </x:xf>
    <x:xf numFmtId="203" fontId="6" fillId="6" borderId="0" xfId="0" applyNumberFormat="1" applyFont="1" applyFill="1" applyBorder="1" applyAlignment="1">
      <x:alignment vertical="center" wrapText="1"/>
    </x:xf>
    <x:xf numFmtId="202" fontId="9" fillId="14" borderId="5" xfId="0" applyNumberFormat="1" applyFont="1" applyFill="1" applyBorder="1" applyAlignment="1">
      <x:alignment vertical="center" wrapText="1"/>
    </x:xf>
    <x:xf numFmtId="202" fontId="9" fillId="14" xfId="0" applyNumberFormat="1" applyFont="1" applyFill="1" applyBorder="0" applyAlignment="1">
      <x:alignment vertical="center" wrapText="1"/>
    </x:xf>
    <x:xf numFmtId="202" fontId="9" fillId="14" borderId="6" xfId="0" applyNumberFormat="1" applyFont="1" applyFill="1" applyBorder="1" applyAlignment="1">
      <x:alignment vertical="center" wrapText="1"/>
    </x:xf>
    <x:xf numFmtId="202" fontId="5" fillId="13" borderId="0" xfId="0" applyNumberFormat="1" applyFont="1" applyFill="1" applyBorder="1" applyAlignment="1">
      <x:alignment vertical="center"/>
    </x:xf>
    <x:xf numFmtId="0" fontId="8" fillId="13" borderId="0" xfId="0" applyNumberFormat="1" applyFont="1" applyFill="1" applyBorder="1" applyAlignment="1">
      <x:alignment vertical="center"/>
    </x:xf>
    <x:xf numFmtId="0" fontId="5" fillId="13" borderId="0" xfId="0" applyNumberFormat="1" applyFont="1" applyFill="1" applyBorder="1" applyAlignment="1">
      <x:alignment vertical="center"/>
    </x:xf>
    <x:xf numFmtId="201" fontId="7" fillId="4" borderId="0" xfId="0" applyNumberFormat="1" applyFont="1" applyFill="1" applyBorder="1" applyAlignment="1">
      <x:alignment vertical="center"/>
    </x:xf>
    <x:xf numFmtId="201" fontId="7" fillId="5" borderId="2" xfId="0" applyNumberFormat="1" applyFont="1" applyFill="1" applyBorder="1" applyAlignment="1">
      <x:alignment horizontal="center" vertical="center" wrapText="1"/>
    </x:xf>
    <x:xf numFmtId="201" fontId="7" fillId="7" borderId="5" xfId="0" applyNumberFormat="1" applyFont="1" applyFill="1" applyBorder="1" applyAlignment="1">
      <x:alignment vertical="center"/>
    </x:xf>
    <x:xf numFmtId="201" fontId="7" fillId="7" borderId="6" xfId="0" applyNumberFormat="1" applyFont="1" applyFill="1" applyBorder="1" applyAlignment="1">
      <x:alignment vertical="center"/>
    </x:xf>
    <x:xf numFmtId="0" fontId="8" fillId="14" borderId="0" xfId="0" applyNumberFormat="1" applyFont="1" applyFill="1" applyBorder="1" applyAlignment="1">
      <x:alignment vertical="center"/>
    </x:xf>
    <x:xf numFmtId="201" fontId="8" fillId="14" borderId="0" xfId="0" applyNumberFormat="1" applyFont="1" applyFill="1" applyBorder="1" applyAlignment="1">
      <x:alignment vertical="center"/>
    </x:xf>
    <x:xf numFmtId="0" fontId="7" fillId="14" borderId="0" xfId="0" applyNumberFormat="1" applyFont="1" applyFill="1" applyBorder="1" applyAlignment="1">
      <x:alignment vertical="center"/>
    </x:xf>
    <x:xf numFmtId="201" fontId="7" fillId="14" borderId="0" xfId="0" applyNumberFormat="1" applyFont="1" applyFill="1" applyBorder="1" applyAlignment="1">
      <x:alignment vertical="center"/>
    </x:xf>
    <x:xf numFmtId="0" fontId="7" fillId="14" borderId="4" xfId="0" applyNumberFormat="1" applyFont="1" applyFill="1" applyBorder="1" applyAlignment="1">
      <x:alignment vertical="center"/>
    </x:xf>
    <x:xf numFmtId="201" fontId="7" fillId="14" borderId="4" xfId="0" applyNumberFormat="1" applyFont="1" applyFill="1" applyBorder="1" applyAlignment="1">
      <x:alignment vertical="center"/>
    </x:xf>
    <x:xf numFmtId="205" fontId="6" fillId="6" borderId="0" xfId="0" applyNumberFormat="1" applyFont="1" applyFill="1" applyBorder="1" applyAlignment="1">
      <x:alignment vertical="center"/>
    </x:xf>
    <x:xf numFmtId="202" fontId="6" fillId="0" borderId="0" xfId="0" applyNumberFormat="1" applyFont="1" applyFill="1" applyBorder="1" applyAlignment="1">
      <x:alignment vertical="center"/>
    </x:xf>
    <x:xf numFmtId="202" fontId="9" fillId="14" borderId="4" xfId="0" applyNumberFormat="1" applyFont="1" applyFill="1" applyBorder="1" applyAlignment="1">
      <x:alignment vertical="center"/>
    </x:xf>
    <x:xf numFmtId="0" fontId="0" fillId="9" borderId="0" xfId="0" applyNumberFormat="1" applyFont="1" applyFill="1" applyBorder="1" applyAlignment="1">
      <x:alignment vertical="center"/>
    </x:xf>
    <x:xf numFmtId="0" fontId="0" fillId="10" borderId="0" xfId="0" applyNumberFormat="1" applyFont="1" applyFill="1" applyBorder="1" applyAlignment="1">
      <x:alignment vertical="center"/>
    </x:xf>
    <x:xf numFmtId="0" fontId="2" fillId="10" borderId="0" xfId="0" applyNumberFormat="1" applyFont="1" applyFill="1" applyBorder="1" applyAlignment="1">
      <x:alignment vertical="center"/>
    </x:xf>
    <x:xf numFmtId="203" fontId="9" fillId="14" borderId="0" xfId="0" applyNumberFormat="1" applyFont="1" applyFill="1" applyBorder="1" applyAlignment="1">
      <x:alignment vertical="center"/>
    </x:xf>
    <x:xf numFmtId="205" fontId="7" fillId="14" borderId="0" xfId="0" applyNumberFormat="1" applyFont="1" applyFill="1" applyBorder="1" applyAlignment="1">
      <x:alignment vertical="center"/>
    </x:xf>
    <x:xf numFmtId="201" fontId="0" fillId="0" borderId="0" xfId="0" applyNumberFormat="1" applyFont="1" applyFill="1" applyBorder="1" applyAlignment="1">
      <x:alignment vertical="center"/>
    </x:xf>
    <x:xf numFmtId="205" fontId="6"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18" fillId="3" borderId="0" xfId="0" applyNumberFormat="1" applyFont="1" applyFill="1" applyBorder="1" applyAlignment="1">
      <x:alignment vertical="center" wrapText="1"/>
    </x:xf>
    <x:xf numFmtId="0" fontId="13" fillId="0" borderId="0" xfId="0" applyNumberFormat="1" applyFont="1" applyFill="1" applyBorder="1" applyAlignment="1">
      <x:alignment vertical="center"/>
    </x:xf>
    <x:xf numFmtId="0" fontId="13" fillId="0" borderId="0" xfId="0" applyNumberFormat="1" applyFont="1" applyFill="1" applyBorder="1" applyAlignment="1">
      <x:alignment vertical="center" wrapText="1"/>
    </x:xf>
    <x:xf numFmtId="0" fontId="0" fillId="15" borderId="0" xfId="0" applyNumberFormat="1" applyFont="1" applyFill="1" applyBorder="1"/>
    <x:xf numFmtId="0" fontId="19" fillId="15" borderId="0" xfId="0" applyNumberFormat="1" applyFont="1" applyFill="1" applyBorder="1"/>
    <x:xf numFmtId="0" fontId="19" fillId="15" borderId="0" xfId="0" applyNumberFormat="1" applyFont="1" applyFill="1" applyBorder="1" applyAlignment="1">
      <x:alignment vertical="center"/>
    </x:xf>
    <x:xf numFmtId="0" fontId="0" fillId="16" borderId="0" xfId="0" applyNumberFormat="1" applyFont="1" applyFill="1" applyBorder="1"/>
    <x:xf numFmtId="0" fontId="20" fillId="16" borderId="0" xfId="0" applyNumberFormat="1" applyFont="1" applyFill="1" applyBorder="1"/>
    <x:xf numFmtId="0" fontId="20" fillId="16" borderId="0" xfId="0" applyNumberFormat="1" applyFont="1" applyFill="1" applyBorder="1" applyAlignment="1">
      <x:alignment wrapText="1"/>
    </x:xf>
    <x:xf numFmtId="0" fontId="20" fillId="16" borderId="0" xfId="0" applyNumberFormat="1" applyFont="1" applyFill="1" applyBorder="1" applyAlignment="1">
      <x:alignment vertical="center" wrapText="1"/>
    </x:xf>
    <x:xf numFmtId="0" fontId="21" fillId="15" borderId="0" xfId="0" applyNumberFormat="1" applyFont="1" applyFill="1" applyBorder="1"/>
    <x:xf numFmtId="0" fontId="21" fillId="15" borderId="0" xfId="0" applyNumberFormat="1" applyFont="1" applyFill="1" applyBorder="1" applyAlignment="1">
      <x:alignment vertical="center"/>
    </x:xf>
    <x:xf numFmtId="0" fontId="0" fillId="17" borderId="0" xfId="0" applyNumberFormat="1" applyFont="1" applyFill="1" applyBorder="1"/>
    <x:xf numFmtId="0" fontId="8" fillId="17" borderId="0" xfId="0" applyNumberFormat="1" applyFont="1" applyFill="1" applyBorder="1"/>
    <x:xf numFmtId="0" fontId="8" fillId="17" borderId="15" xfId="0" applyNumberFormat="1" applyFont="1" applyFill="1" applyBorder="1"/>
    <x:xf numFmtId="0" fontId="8" fillId="17" borderId="16" xfId="0" applyNumberFormat="1" applyFont="1" applyFill="1" applyBorder="1"/>
    <x:xf numFmtId="0" fontId="8" fillId="17" borderId="17" xfId="0" applyNumberFormat="1" applyFont="1" applyFill="1" applyBorder="1"/>
    <x:xf numFmtId="0" fontId="8" fillId="17" borderId="18" xfId="0" applyNumberFormat="1" applyFont="1" applyFill="1" applyBorder="1"/>
    <x:xf numFmtId="0" fontId="8" fillId="17" borderId="19" xfId="0" applyNumberFormat="1" applyFont="1" applyFill="1" applyBorder="1"/>
    <x:xf numFmtId="0" fontId="8" fillId="17" borderId="20" xfId="0" applyNumberFormat="1" applyFont="1" applyFill="1" applyBorder="1"/>
    <x:xf numFmtId="0" fontId="8" fillId="17" borderId="21" xfId="0" applyNumberFormat="1" applyFont="1" applyFill="1" applyBorder="1"/>
    <x:xf numFmtId="0" fontId="8" fillId="17" borderId="22" xfId="0" applyNumberFormat="1" applyFont="1" applyFill="1" applyBorder="1"/>
    <x:xf numFmtId="0" fontId="8" fillId="17" borderId="23" xfId="0" applyNumberFormat="1" applyFont="1" applyFill="1" applyBorder="1"/>
    <x:xf numFmtId="0" fontId="8" fillId="17" borderId="15" xfId="0" applyNumberFormat="1" applyFont="1" applyFill="1" applyBorder="1" applyAlignment="1">
      <x:alignment wrapText="1"/>
    </x:xf>
    <x:xf numFmtId="0" fontId="8" fillId="17" borderId="16" xfId="0" applyNumberFormat="1" applyFont="1" applyFill="1" applyBorder="1" applyAlignment="1">
      <x:alignment wrapText="1"/>
    </x:xf>
    <x:xf numFmtId="0" fontId="8" fillId="17" borderId="17" xfId="0" applyNumberFormat="1" applyFont="1" applyFill="1" applyBorder="1" applyAlignment="1">
      <x:alignment wrapText="1"/>
    </x:xf>
    <x:xf numFmtId="0" fontId="8" fillId="17" borderId="18" xfId="0" applyNumberFormat="1" applyFont="1" applyFill="1" applyBorder="1" applyAlignment="1">
      <x:alignment wrapText="1"/>
    </x:xf>
    <x:xf numFmtId="0" fontId="8" fillId="17" borderId="19" xfId="0" applyNumberFormat="1" applyFont="1" applyFill="1" applyBorder="1" applyAlignment="1">
      <x:alignment wrapText="1"/>
    </x:xf>
    <x:xf numFmtId="0" fontId="8" fillId="17" borderId="20" xfId="0" applyNumberFormat="1" applyFont="1" applyFill="1" applyBorder="1" applyAlignment="1">
      <x:alignment wrapText="1"/>
    </x:xf>
    <x:xf numFmtId="0" fontId="8" fillId="17" borderId="21" xfId="0" applyNumberFormat="1" applyFont="1" applyFill="1" applyBorder="1" applyAlignment="1">
      <x:alignment wrapText="1"/>
    </x:xf>
    <x:xf numFmtId="0" fontId="8" fillId="17" borderId="22" xfId="0" applyNumberFormat="1" applyFont="1" applyFill="1" applyBorder="1" applyAlignment="1">
      <x:alignment wrapText="1"/>
    </x:xf>
    <x:xf numFmtId="0" fontId="8" fillId="17" borderId="23" xfId="0" applyNumberFormat="1" applyFont="1" applyFill="1" applyBorder="1" applyAlignment="1">
      <x:alignment wrapText="1"/>
    </x:xf>
    <x:xf numFmtId="0" fontId="8" fillId="17" borderId="15" xfId="0" applyNumberFormat="1" applyFont="1" applyFill="1" applyBorder="1" applyAlignment="1">
      <x:alignment vertical="center" wrapText="1"/>
    </x:xf>
    <x:xf numFmtId="0" fontId="8" fillId="17" borderId="16" xfId="0" applyNumberFormat="1" applyFont="1" applyFill="1" applyBorder="1" applyAlignment="1">
      <x:alignment vertical="center" wrapText="1"/>
    </x:xf>
    <x:xf numFmtId="0" fontId="8" fillId="17" borderId="17" xfId="0" applyNumberFormat="1" applyFont="1" applyFill="1" applyBorder="1" applyAlignment="1">
      <x:alignment vertical="center" wrapText="1"/>
    </x:xf>
    <x:xf numFmtId="0" fontId="8" fillId="17" borderId="18" xfId="0" applyNumberFormat="1" applyFont="1" applyFill="1" applyBorder="1" applyAlignment="1">
      <x:alignment vertical="center" wrapText="1"/>
    </x:xf>
    <x:xf numFmtId="0" fontId="8" fillId="17" borderId="19" xfId="0" applyNumberFormat="1" applyFont="1" applyFill="1" applyBorder="1" applyAlignment="1">
      <x:alignment vertical="center" wrapText="1"/>
    </x:xf>
    <x:xf numFmtId="0" fontId="8" fillId="17" borderId="20" xfId="0" applyNumberFormat="1" applyFont="1" applyFill="1" applyBorder="1" applyAlignment="1">
      <x:alignment vertical="center" wrapText="1"/>
    </x:xf>
    <x:xf numFmtId="0" fontId="8" fillId="17" borderId="21" xfId="0" applyNumberFormat="1" applyFont="1" applyFill="1" applyBorder="1" applyAlignment="1">
      <x:alignment vertical="center" wrapText="1"/>
    </x:xf>
    <x:xf numFmtId="0" fontId="8" fillId="17" borderId="22" xfId="0" applyNumberFormat="1" applyFont="1" applyFill="1" applyBorder="1" applyAlignment="1">
      <x:alignment vertical="center" wrapText="1"/>
    </x:xf>
    <x:xf numFmtId="0" fontId="8" fillId="17" borderId="23" xfId="0" applyNumberFormat="1" applyFont="1" applyFill="1" applyBorder="1" applyAlignment="1">
      <x:alignment vertical="center" wrapText="1"/>
    </x:xf>
    <x:xf numFmtId="0" fontId="8" fillId="18" borderId="15" xfId="0" applyNumberFormat="1" applyFont="1" applyFill="1" applyBorder="1" applyAlignment="1">
      <x:alignment vertical="center" wrapText="1"/>
    </x:xf>
    <x:xf numFmtId="0" fontId="8" fillId="18" borderId="18" xfId="0" applyNumberFormat="1" applyFont="1" applyFill="1" applyBorder="1" applyAlignment="1">
      <x:alignment vertical="center" wrapText="1"/>
    </x:xf>
    <x:xf numFmtId="0" fontId="8" fillId="18" borderId="21" xfId="0" applyNumberFormat="1" applyFont="1" applyFill="1" applyBorder="1" applyAlignment="1">
      <x:alignment vertical="center" wrapText="1"/>
    </x:xf>
    <x:xf numFmtId="0" fontId="22" fillId="18" borderId="15" xfId="0" applyNumberFormat="1" applyFont="1" applyFill="1" applyBorder="1" applyAlignment="1">
      <x:alignment vertical="center" wrapText="1"/>
    </x:xf>
    <x:xf numFmtId="0" fontId="22" fillId="18" borderId="18" xfId="0" applyNumberFormat="1" applyFont="1" applyFill="1" applyBorder="1" applyAlignment="1">
      <x:alignment vertical="center" wrapText="1"/>
    </x:xf>
    <x:xf numFmtId="0" fontId="22" fillId="18" borderId="21" xfId="0" applyNumberFormat="1" applyFont="1" applyFill="1" applyBorder="1" applyAlignment="1">
      <x:alignment vertical="center" wrapText="1"/>
    </x:xf>
    <x:xf numFmtId="0" fontId="22" fillId="18" borderId="15" xfId="0" applyNumberFormat="1" applyFont="1" applyFill="1" applyBorder="1" applyAlignment="1">
      <x:alignment horizontal="center" vertical="center" wrapText="1"/>
    </x:xf>
    <x:xf numFmtId="0" fontId="22" fillId="18" borderId="18" xfId="0" applyNumberFormat="1" applyFont="1" applyFill="1" applyBorder="1" applyAlignment="1">
      <x:alignment horizontal="center" vertical="center" wrapText="1"/>
    </x:xf>
    <x:xf numFmtId="0" fontId="22" fillId="18" borderId="21" xfId="0" applyNumberFormat="1" applyFont="1" applyFill="1" applyBorder="1" applyAlignment="1">
      <x:alignment horizontal="center" vertical="center" wrapText="1"/>
    </x:xf>
    <x:xf numFmtId="0" fontId="23" fillId="17" borderId="16" xfId="0" applyNumberFormat="1" applyFont="1" applyFill="1" applyBorder="1" applyAlignment="1">
      <x:alignment vertical="center" wrapText="1"/>
    </x:xf>
    <x:xf numFmtId="0" fontId="23" fillId="17" borderId="19" xfId="0" applyNumberFormat="1" applyFont="1" applyFill="1" applyBorder="1" applyAlignment="1">
      <x:alignment vertical="center" wrapText="1"/>
    </x:xf>
    <x:xf numFmtId="0" fontId="23" fillId="17" borderId="22" xfId="0" applyNumberFormat="1" applyFont="1" applyFill="1" applyBorder="1" applyAlignment="1">
      <x:alignment vertical="center" wrapText="1"/>
    </x:xf>
    <x:xf numFmtId="0" fontId="0" fillId="19" borderId="0" xfId="0" applyNumberFormat="1" applyFont="1" applyFill="1" applyBorder="1"/>
    <x:xf numFmtId="0" fontId="4" fillId="19" borderId="0" xfId="0" applyNumberFormat="1" applyFont="1" applyFill="1" applyBorder="1"/>
    <x:xf numFmtId="0" fontId="4" fillId="19" borderId="24" xfId="0" applyNumberFormat="1" applyFont="1" applyFill="1" applyBorder="1"/>
    <x:xf numFmtId="0" fontId="4" fillId="19" borderId="25" xfId="0" applyNumberFormat="1" applyFont="1" applyFill="1" applyBorder="1"/>
    <x:xf numFmtId="0" fontId="4" fillId="19" borderId="26" xfId="0" applyNumberFormat="1" applyFont="1" applyFill="1" applyBorder="1"/>
    <x:xf numFmtId="0" fontId="4" fillId="19" borderId="24" xfId="0" applyNumberFormat="1" applyFont="1" applyFill="1" applyBorder="1" applyAlignment="1">
      <x:alignment wrapText="1"/>
    </x:xf>
    <x:xf numFmtId="0" fontId="4" fillId="19" borderId="25" xfId="0" applyNumberFormat="1" applyFont="1" applyFill="1" applyBorder="1" applyAlignment="1">
      <x:alignment wrapText="1"/>
    </x:xf>
    <x:xf numFmtId="0" fontId="4" fillId="19" borderId="26" xfId="0" applyNumberFormat="1" applyFont="1" applyFill="1" applyBorder="1" applyAlignment="1">
      <x:alignment wrapText="1"/>
    </x:xf>
    <x:xf numFmtId="0" fontId="4" fillId="19" borderId="24" xfId="0" applyNumberFormat="1" applyFont="1" applyFill="1" applyBorder="1" applyAlignment="1">
      <x:alignment horizontal="center" wrapText="1"/>
    </x:xf>
    <x:xf numFmtId="0" fontId="4" fillId="19" borderId="25" xfId="0" applyNumberFormat="1" applyFont="1" applyFill="1" applyBorder="1" applyAlignment="1">
      <x:alignment horizontal="center" wrapText="1"/>
    </x:xf>
    <x:xf numFmtId="0" fontId="4" fillId="19" borderId="26" xfId="0" applyNumberFormat="1" applyFont="1" applyFill="1" applyBorder="1" applyAlignment="1">
      <x:alignment horizontal="center" wrapText="1"/>
    </x:xf>
    <x:xf numFmtId="0" fontId="4" fillId="19" borderId="24" xfId="0" applyNumberFormat="1" applyFont="1" applyFill="1" applyBorder="1" applyAlignment="1">
      <x:alignment horizontal="center" vertical="center" wrapText="1"/>
    </x:xf>
    <x:xf numFmtId="0" fontId="4" fillId="19" borderId="25" xfId="0" applyNumberFormat="1" applyFont="1" applyFill="1" applyBorder="1" applyAlignment="1">
      <x:alignment horizontal="center" vertical="center" wrapText="1"/>
    </x:xf>
    <x:xf numFmtId="0" fontId="4" fillId="19" borderId="26" xfId="0" applyNumberFormat="1" applyFont="1" applyFill="1" applyBorder="1" applyAlignment="1">
      <x:alignment horizontal="center" vertical="center" wrapText="1"/>
    </x:xf>
    <x:xf numFmtId="0" fontId="8" fillId="0" borderId="27" xfId="0" applyNumberFormat="1" applyFont="1" applyFill="1" applyBorder="1"/>
    <x:xf numFmtId="0" fontId="8" fillId="0" borderId="28" xfId="0" applyNumberFormat="1" applyFont="1" applyFill="1" applyBorder="1"/>
    <x:xf numFmtId="0" fontId="8" fillId="0" borderId="29" xfId="0" applyNumberFormat="1" applyFont="1" applyFill="1" applyBorder="1"/>
    <x:xf numFmtId="0" fontId="8" fillId="0" borderId="27" xfId="0" applyNumberFormat="1" applyFont="1" applyFill="1" applyBorder="1" applyAlignment="1">
      <x:alignment wrapText="1"/>
    </x:xf>
    <x:xf numFmtId="0" fontId="8" fillId="0" borderId="28" xfId="0" applyNumberFormat="1" applyFont="1" applyFill="1" applyBorder="1" applyAlignment="1">
      <x:alignment wrapText="1"/>
    </x:xf>
    <x:xf numFmtId="0" fontId="8" fillId="0" borderId="29" xfId="0" applyNumberFormat="1" applyFont="1" applyFill="1" applyBorder="1" applyAlignment="1">
      <x:alignment wrapText="1"/>
    </x:xf>
    <x:xf numFmtId="0" fontId="8" fillId="0" borderId="27" xfId="0" applyNumberFormat="1" applyFont="1" applyFill="1" applyBorder="1" applyAlignment="1">
      <x:alignment vertical="top" wrapText="1"/>
    </x:xf>
    <x:xf numFmtId="0" fontId="8" fillId="0" borderId="28" xfId="0" applyNumberFormat="1" applyFont="1" applyFill="1" applyBorder="1" applyAlignment="1">
      <x:alignment vertical="top" wrapText="1"/>
    </x:xf>
    <x:xf numFmtId="0" fontId="8" fillId="0" borderId="29" xfId="0" applyNumberFormat="1" applyFont="1" applyFill="1" applyBorder="1" applyAlignment="1">
      <x:alignment vertical="top" wrapText="1"/>
    </x:xf>
    <x:xf numFmtId="0" fontId="8" fillId="18" borderId="27" xfId="0" applyNumberFormat="1" applyFont="1" applyFill="1" applyBorder="1" applyAlignment="1">
      <x:alignment vertical="top" wrapText="1"/>
    </x:xf>
    <x:xf numFmtId="0" fontId="8" fillId="18" borderId="28" xfId="0" applyNumberFormat="1" applyFont="1" applyFill="1" applyBorder="1" applyAlignment="1">
      <x:alignment vertical="top" wrapText="1"/>
    </x:xf>
    <x:xf numFmtId="0" fontId="8" fillId="18" borderId="29" xfId="0" applyNumberFormat="1" applyFont="1" applyFill="1" applyBorder="1" applyAlignment="1">
      <x:alignment vertical="top" wrapText="1"/>
    </x:xf>
    <x:xf numFmtId="0" fontId="24" fillId="18" borderId="27" xfId="0" applyNumberFormat="1" applyFont="1" applyFill="1" applyBorder="1" applyAlignment="1">
      <x:alignment vertical="top" wrapText="1"/>
    </x:xf>
    <x:xf numFmtId="0" fontId="24" fillId="18" borderId="28" xfId="0" applyNumberFormat="1" applyFont="1" applyFill="1" applyBorder="1" applyAlignment="1">
      <x:alignment vertical="top" wrapText="1"/>
    </x:xf>
    <x:xf numFmtId="0" fontId="24" fillId="18" borderId="29" xfId="0" applyNumberFormat="1" applyFont="1" applyFill="1" applyBorder="1" applyAlignment="1">
      <x:alignment vertical="top" wrapText="1"/>
    </x:xf>
    <x:xf numFmtId="0" fontId="24" fillId="18" borderId="27" xfId="0" applyNumberFormat="1" applyFont="1" applyFill="1" applyBorder="1" applyAlignment="1">
      <x:alignment horizontal="center" vertical="top" wrapText="1"/>
    </x:xf>
    <x:xf numFmtId="0" fontId="24" fillId="18" borderId="28" xfId="0" applyNumberFormat="1" applyFont="1" applyFill="1" applyBorder="1" applyAlignment="1">
      <x:alignment horizontal="center" vertical="top" wrapText="1"/>
    </x:xf>
    <x:xf numFmtId="0" fontId="24" fillId="18" borderId="29" xfId="0" applyNumberFormat="1" applyFont="1" applyFill="1" applyBorder="1" applyAlignment="1">
      <x:alignment horizontal="center" vertical="top" wrapText="1"/>
    </x:xf>
    <x:xf numFmtId="0" fontId="8" fillId="20" borderId="27" xfId="0" applyNumberFormat="1" applyFont="1" applyFill="1" applyBorder="1" applyAlignment="1">
      <x:alignment vertical="top" wrapText="1"/>
    </x:xf>
    <x:xf numFmtId="0" fontId="8" fillId="20" borderId="28" xfId="0" applyNumberFormat="1" applyFont="1" applyFill="1" applyBorder="1" applyAlignment="1">
      <x:alignment vertical="top" wrapText="1"/>
    </x:xf>
    <x:xf numFmtId="0" fontId="8" fillId="20" borderId="29" xfId="0" applyNumberFormat="1" applyFont="1" applyFill="1" applyBorder="1" applyAlignment="1">
      <x:alignment vertical="top" wrapText="1"/>
    </x:xf>
    <x:xf numFmtId="0" fontId="23" fillId="20" borderId="27" xfId="0" applyNumberFormat="1" applyFont="1" applyFill="1" applyBorder="1" applyAlignment="1">
      <x:alignment vertical="top" wrapText="1"/>
    </x:xf>
    <x:xf numFmtId="0" fontId="23" fillId="20" borderId="28" xfId="0" applyNumberFormat="1" applyFont="1" applyFill="1" applyBorder="1" applyAlignment="1">
      <x:alignment vertical="top" wrapText="1"/>
    </x:xf>
    <x:xf numFmtId="0" fontId="23" fillId="20" borderId="29" xfId="0" applyNumberFormat="1" applyFont="1" applyFill="1" applyBorder="1" applyAlignment="1">
      <x:alignment vertical="top" wrapText="1"/>
    </x:xf>
    <x:xf numFmtId="0" fontId="0" fillId="21" borderId="0" xfId="0" applyNumberFormat="1" applyFont="1" applyFill="1" applyBorder="1"/>
    <x:xf numFmtId="0" fontId="25" fillId="21" borderId="0" xfId="0" applyNumberFormat="1" applyFont="1" applyFill="1" applyBorder="1"/>
    <x:xf numFmtId="0" fontId="25" fillId="21" borderId="30" xfId="0" applyNumberFormat="1" applyFont="1" applyFill="1" applyBorder="1"/>
    <x:xf numFmtId="0" fontId="25" fillId="21" borderId="31" xfId="0" applyNumberFormat="1" applyFont="1" applyFill="1" applyBorder="1"/>
    <x:xf numFmtId="0" fontId="25" fillId="21" borderId="32" xfId="0" applyNumberFormat="1" applyFont="1" applyFill="1" applyBorder="1"/>
    <x:xf numFmtId="0" fontId="25" fillId="21" borderId="33" xfId="0" applyNumberFormat="1" applyFont="1" applyFill="1" applyBorder="1"/>
    <x:xf numFmtId="0" fontId="25" fillId="21" xfId="0" applyNumberFormat="1" applyFont="1" applyFill="1" applyBorder="0"/>
    <x:xf numFmtId="0" fontId="25" fillId="21" borderId="34" xfId="0" applyNumberFormat="1" applyFont="1" applyFill="1" applyBorder="1"/>
    <x:xf numFmtId="0" fontId="25" fillId="21" borderId="35" xfId="0" applyNumberFormat="1" applyFont="1" applyFill="1" applyBorder="1"/>
    <x:xf numFmtId="0" fontId="25" fillId="21" borderId="36" xfId="0" applyNumberFormat="1" applyFont="1" applyFill="1" applyBorder="1"/>
    <x:xf numFmtId="0" fontId="25" fillId="21" borderId="37" xfId="0" applyNumberFormat="1" applyFont="1" applyFill="1" applyBorder="1"/>
    <x:xf numFmtId="0" fontId="25" fillId="21" borderId="30" xfId="0" applyNumberFormat="1" applyFont="1" applyFill="1" applyBorder="1" applyAlignment="1">
      <x:alignment wrapText="1"/>
    </x:xf>
    <x:xf numFmtId="0" fontId="25" fillId="21" borderId="31" xfId="0" applyNumberFormat="1" applyFont="1" applyFill="1" applyBorder="1" applyAlignment="1">
      <x:alignment wrapText="1"/>
    </x:xf>
    <x:xf numFmtId="0" fontId="25" fillId="21" borderId="32" xfId="0" applyNumberFormat="1" applyFont="1" applyFill="1" applyBorder="1" applyAlignment="1">
      <x:alignment wrapText="1"/>
    </x:xf>
    <x:xf numFmtId="0" fontId="25" fillId="21" borderId="33" xfId="0" applyNumberFormat="1" applyFont="1" applyFill="1" applyBorder="1" applyAlignment="1">
      <x:alignment wrapText="1"/>
    </x:xf>
    <x:xf numFmtId="0" fontId="25" fillId="21" xfId="0" applyNumberFormat="1" applyFont="1" applyFill="1" applyBorder="0" applyAlignment="1">
      <x:alignment wrapText="1"/>
    </x:xf>
    <x:xf numFmtId="0" fontId="25" fillId="21" borderId="34" xfId="0" applyNumberFormat="1" applyFont="1" applyFill="1" applyBorder="1" applyAlignment="1">
      <x:alignment wrapText="1"/>
    </x:xf>
    <x:xf numFmtId="0" fontId="25" fillId="21" borderId="35" xfId="0" applyNumberFormat="1" applyFont="1" applyFill="1" applyBorder="1" applyAlignment="1">
      <x:alignment wrapText="1"/>
    </x:xf>
    <x:xf numFmtId="0" fontId="25" fillId="21" borderId="36" xfId="0" applyNumberFormat="1" applyFont="1" applyFill="1" applyBorder="1" applyAlignment="1">
      <x:alignment wrapText="1"/>
    </x:xf>
    <x:xf numFmtId="0" fontId="25" fillId="21" borderId="37" xfId="0" applyNumberFormat="1" applyFont="1" applyFill="1" applyBorder="1" applyAlignment="1">
      <x:alignment wrapText="1"/>
    </x:xf>
    <x:xf numFmtId="0" fontId="25" fillId="21" borderId="30" xfId="0" applyNumberFormat="1" applyFont="1" applyFill="1" applyBorder="1" applyAlignment="1">
      <x:alignment vertical="center" wrapText="1"/>
    </x:xf>
    <x:xf numFmtId="0" fontId="25" fillId="21" borderId="31" xfId="0" applyNumberFormat="1" applyFont="1" applyFill="1" applyBorder="1" applyAlignment="1">
      <x:alignment vertical="center" wrapText="1"/>
    </x:xf>
    <x:xf numFmtId="0" fontId="25" fillId="21" borderId="32" xfId="0" applyNumberFormat="1" applyFont="1" applyFill="1" applyBorder="1" applyAlignment="1">
      <x:alignment vertical="center" wrapText="1"/>
    </x:xf>
    <x:xf numFmtId="0" fontId="25" fillId="21" borderId="33" xfId="0" applyNumberFormat="1" applyFont="1" applyFill="1" applyBorder="1" applyAlignment="1">
      <x:alignment vertical="center" wrapText="1"/>
    </x:xf>
    <x:xf numFmtId="0" fontId="25" fillId="21" xfId="0" applyNumberFormat="1" applyFont="1" applyFill="1" applyBorder="0" applyAlignment="1">
      <x:alignment vertical="center" wrapText="1"/>
    </x:xf>
    <x:xf numFmtId="0" fontId="25" fillId="21" borderId="34" xfId="0" applyNumberFormat="1" applyFont="1" applyFill="1" applyBorder="1" applyAlignment="1">
      <x:alignment vertical="center" wrapText="1"/>
    </x:xf>
    <x:xf numFmtId="0" fontId="25" fillId="21" borderId="35" xfId="0" applyNumberFormat="1" applyFont="1" applyFill="1" applyBorder="1" applyAlignment="1">
      <x:alignment vertical="center" wrapText="1"/>
    </x:xf>
    <x:xf numFmtId="0" fontId="25" fillId="21" borderId="36" xfId="0" applyNumberFormat="1" applyFont="1" applyFill="1" applyBorder="1" applyAlignment="1">
      <x:alignment vertical="center" wrapText="1"/>
    </x:xf>
    <x:xf numFmtId="0" fontId="25" fillId="21" borderId="37" xfId="0" applyNumberFormat="1" applyFont="1" applyFill="1" applyBorder="1" applyAlignment="1">
      <x:alignment vertical="center" wrapText="1"/>
    </x:xf>
    <x:xf numFmtId="0" fontId="26" fillId="0" borderId="0" xfId="0" applyNumberFormat="1" applyFont="1" applyFill="1" applyBorder="1"/>
  </x:cellXfs>
  <x:cellStyles count="1">
    <x:cellStyle name="Normal" xfId="0"/>
  </x:cellStyles>
  <x:dxfs count="2">
    <x:dxf>
      <x:font>
        <x:b/>
        <x:color rgb="FF548235"/>
      </x:font>
      <x:fill>
        <x:patternFill>
          <x:bgColor rgb="FFE2F0D9"/>
        </x:patternFill>
      </x:fill>
    </x:dxf>
    <x:dxf>
      <x:font>
        <x:b/>
        <x:color rgb="FFC00000"/>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7c0b4411e74e88" /><Relationship Type="http://schemas.openxmlformats.org/officeDocument/2006/relationships/theme" Target="/xl/theme/theme1.xml" Id="R7512f77d5ca04acb" /><Relationship Type="http://schemas.openxmlformats.org/officeDocument/2006/relationships/sharedStrings" Target="/xl/sharedStrings.xml" Id="R5a4591e96da542e2" /><Relationship Type="http://schemas.openxmlformats.org/officeDocument/2006/relationships/worksheet" Target="/xl/worksheets/sheet1.xml" Id="Rfe88e71c12a34938" /><Relationship Type="http://schemas.openxmlformats.org/officeDocument/2006/relationships/worksheet" Target="/xl/worksheets/sheet2.xml" Id="Re91178bbcacb4363" /><Relationship Type="http://schemas.openxmlformats.org/officeDocument/2006/relationships/worksheet" Target="/xl/worksheets/sheet3.xml" Id="R698dc17f834c43a3" /><Relationship Type="http://schemas.openxmlformats.org/officeDocument/2006/relationships/worksheet" Target="/xl/worksheets/sheet4.xml" Id="R7f06180e1b714edf" /><Relationship Type="http://schemas.openxmlformats.org/officeDocument/2006/relationships/worksheet" Target="/xl/worksheets/sheet5.xml" Id="R2271184e892c4181" /><Relationship Type="http://schemas.openxmlformats.org/officeDocument/2006/relationships/worksheet" Target="/xl/worksheets/sheet6.xml" Id="Rc2e1372a52834eb5" /><Relationship Type="http://schemas.openxmlformats.org/officeDocument/2006/relationships/worksheet" Target="/xl/worksheets/sheet7.xml" Id="Ra869108967fd415f" /><Relationship Type="http://schemas.openxmlformats.org/officeDocument/2006/relationships/worksheet" Target="/xl/worksheets/sheet8.xml" Id="R5339c12a5a1a4fdf" /><Relationship Type="http://schemas.openxmlformats.org/officeDocument/2006/relationships/worksheet" Target="/xl/worksheets/sheet9.xml" Id="R06868b0cc7c94d38" /><Relationship Type="http://schemas.openxmlformats.org/officeDocument/2006/relationships/worksheet" Target="/xl/worksheets/sheet10.xml" Id="R420be15b1fae4b2b" /><Relationship Type="http://schemas.openxmlformats.org/officeDocument/2006/relationships/worksheet" Target="/xl/worksheets/sheet11.xml" Id="R29ff67c314414762" /><Relationship Type="http://schemas.openxmlformats.org/officeDocument/2006/relationships/worksheet" Target="/xl/worksheets/sheet12.xml" Id="R78c3994ec9b542a9" /><Relationship Type="http://schemas.openxmlformats.org/officeDocument/2006/relationships/worksheet" Target="/xl/worksheets/sheet13.xml" Id="Re7e6711e9d4f4890" /><Relationship Type="http://schemas.openxmlformats.org/officeDocument/2006/relationships/worksheet" Target="/xl/worksheets/sheet14.xml" Id="Rd3f9d315c13f4530" /><Relationship Type="http://schemas.openxmlformats.org/officeDocument/2006/relationships/worksheet" Target="/xl/worksheets/sheet15.xml" Id="Rc06826730dbb4413" /><Relationship Type="http://schemas.openxmlformats.org/officeDocument/2006/relationships/worksheet" Target="/xl/worksheets/sheet16.xml" Id="R35c9f17190114a93" /><Relationship Type="http://schemas.openxmlformats.org/officeDocument/2006/relationships/worksheet" Target="/xl/worksheets/sheet17.xml" Id="Reb67d159ebb84862" /><Relationship Type="http://schemas.openxmlformats.org/officeDocument/2006/relationships/worksheet" Target="/xl/worksheets/sheet18.xml" Id="R3eb04aac6a234c3d" /><Relationship Type="http://schemas.openxmlformats.org/officeDocument/2006/relationships/worksheet" Target="/xl/worksheets/sheet19.xml" Id="R8af28fcfc15940f5" /><Relationship Type="http://schemas.microsoft.com/office/2017/10/relationships/person" Target="/xl/persons/person.xml" Id="R68f1a282d9e64a4e" /></Relationships>
</file>

<file path=xl/drawings/_rels/drawing1.xml.rels>&#65279;<?xml version="1.0" encoding="utf-8"?><Relationships xmlns="http://schemas.openxmlformats.org/package/2006/relationships"><Relationship Type="http://schemas.openxmlformats.org/officeDocument/2006/relationships/chart" Target="/xl/drawings/charts/chart1.xml" Id="Rdb8b4a2cb6d346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annual cash flow, and cumulative cash (Rp)</a:t>
            </a:r>
          </a:p>
        </c:rich>
      </c:tx>
      <c:overlay val="0"/>
    </c:title>
    <c:plotArea>
      <c:lineChart>
        <c:grouping val="standard"/>
        <c:varyColors val="0"/>
        <c:ser>
          <c:idx val="0"/>
          <c:order val="0"/>
          <c:tx>
            <c:v>Total revenue</c:v>
          </c:tx>
          <c:marker>
            <c:symbol val="none"/>
          </c:marker>
          <c:cat>
            <c:strRef>
              <c:f>'01_Dashboard'!$A$26:$A$35</c:f>
              <c:strCache>
                <c:ptCount val="0"/>
              </c:strCache>
            </c:strRef>
          </c:cat>
          <c:val>
            <c:numRef>
              <c:f>'01_Dashboard'!$B$26:$B$35</c:f>
              <c:numCache>
                <c:formatCode>"Rp" #,##0;[Red]("Rp" #,##0);-</c:formatCode>
                <c:ptCount val="0"/>
              </c:numCache>
            </c:numRef>
          </c:val>
          <c:smooth val="0"/>
        </c:ser>
        <c:ser>
          <c:idx val="1"/>
          <c:order val="1"/>
          <c:tx>
            <c:v>Project cash flow</c:v>
          </c:tx>
          <c:marker>
            <c:symbol val="none"/>
          </c:marker>
          <c:cat>
            <c:strRef>
              <c:f>'01_Dashboard'!$A$26:$A$35</c:f>
              <c:strCache>
                <c:ptCount val="0"/>
              </c:strCache>
            </c:strRef>
          </c:cat>
          <c:val>
            <c:numRef>
              <c:f>'01_Dashboard'!$C$26:$C$35</c:f>
              <c:numCache>
                <c:formatCode>"Rp" #,##0;[Red]("Rp" #,##0);-</c:formatCode>
                <c:ptCount val="0"/>
              </c:numCache>
            </c:numRef>
          </c:val>
          <c:smooth val="0"/>
        </c:ser>
        <c:ser>
          <c:idx val="2"/>
          <c:order val="2"/>
          <c:tx>
            <c:v>Cumulative cash flow</c:v>
          </c:tx>
          <c:marker>
            <c:symbol val="none"/>
          </c:marker>
          <c:cat>
            <c:strRef>
              <c:f>'01_Dashboard'!$A$26:$A$35</c:f>
              <c:strCache>
                <c:ptCount val="0"/>
              </c:strCache>
            </c:strRef>
          </c:cat>
          <c:val>
            <c:numRef>
              <c:f>'01_Dashboard'!$D$26:$D$35</c:f>
              <c:numCache>
                <c:formatCode>"Rp" #,##0;[Red]("Rp" #,##0);-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Rp&quot;#,##0,,&quot;m&quot;"/>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24</xdr:row>
      <xdr:rowOff>0</xdr:rowOff>
    </xdr:from>
    <xdr:to>
      <xdr:col>12</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8b4a2cb6d34608"/>
        </a:graphicData>
      </a:graphic>
    </xdr:graphicFrame>
    <xdr:clientData/>
  </xdr:twoCellAnchor>
</xdr:wsDr>
</file>

<file path=xl/persons/person.xml><?xml version="1.0" encoding="utf-8"?>
<xltc:personList xmlns:xltc="http://schemas.microsoft.com/office/spreadsheetml/2018/threadedcomments">
  <xltc:person displayName="Fadly" id="{34803957-26E2-48E9-9C54-B66598191842}"/>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46" dT="2026-08-26T16:10:12.403" personId="{34803957-26E2-48E9-9C54-B66598191842}" id="{055ABAB5-CE23-CB7E-77FA-75B49D1B1206}">
    <xltc:text>Source: https://www.pertanian.go.id/?act=view&amp;id=7236&amp;show=news | Kementan reported ordinary coconut farmgate at Rp2,000-3,000/butir in Oct 2025. Model uses Rp3,000 and no aromatic premium.</xltc:text>
  </xltc:threadedComment>
  <xltc:threadedComment ref="C47" dT="2026-08-26T16:10:12.404" personId="{34803957-26E2-48E9-9C54-B66598191842}" id="{93D0A90D-A55A-0CF9-7A33-18AE005E0DB6}">
    <xltc:text>Source: https://rri.co.id/purwokerto/umkm/1254378/puncak-musim-penghujan-harga-durian-di-purwokerto-mengalami-peningkatan | Price varies widely. Rp35,000/kg is a conservative planning input, not a quotation.</xltc:text>
  </xltc:threadedComment>
  <xltc:threadedComment ref="C48" dT="2026-08-26T16:10:12.404" personId="{34803957-26E2-48E9-9C54-B66598191842}" id="{4FF01813-E17E-0F8D-18D0-7599CBB79BA3}">
    <xltc:text>Source: https://banyuwangikab.go.id/berita/harga-stabil-dan-banyak-diminati-banyuwangi-pacu-produksi-pisang-cavendish | Farm price benchmark Rp6,000/kg.</xltc:text>
  </xltc:threadedComment>
  <xltc:threadedComment ref="C62" dT="2026-08-26T16:10:12.404" personId="{34803957-26E2-48E9-9C54-B66598191842}" id="{80AE2BE2-F2E6-0678-5E40-630734E6FF2D}">
    <xltc:text>Official UMK 2026: https://jdih.jatengprov.go.id/inventarisasi-hukum/download/kepgub_100-3-3-1-505_th_2025</xltc:text>
  </xltc:threadedComment>
  <xltc:threadedComment ref="C131" dT="2026-08-26T16:10:12.404" personId="{34803957-26E2-48E9-9C54-B66598191842}" id="{A9B5002C-11B7-454A-4DD5-C18EE93FA0E9}">
    <xltc:text>Banana fertilizer guidance: 0.233 kg Urea, 0.10 kg SP-36 and 0.10 kg KCl per plant/year from Kementan technology guide. Source: https://repository.pertanian.go.id/server/api/core/bitstreams/650af8ff-94fb-4a63-816a-1cb30eea671c/content</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640a6a84fe2e4e8d" /></Relationships>
</file>

<file path=xl/worksheets/_rels/sheet3.xml.rels>&#65279;<?xml version="1.0" encoding="utf-8"?><Relationships xmlns="http://schemas.openxmlformats.org/package/2006/relationships"><Relationship Type="http://schemas.openxmlformats.org/officeDocument/2006/relationships/comments" Target="/xl/comments1.xml" Id="Re51c22eb186e4897" /><Relationship Type="http://schemas.openxmlformats.org/officeDocument/2006/relationships/vmlDrawing" Target="/xl/drawings/vmldrawing.vml" Id="R11bcbb642de74f45" /><Relationship Type="http://schemas.microsoft.com/office/2017/10/relationships/threadedComment" Target="/xl/threadedcomments/threadedcomment.xml" Id="R2348450870d5469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55"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313" t="str">
        <x:v>RAB dan Model Investasi — Agroforestri 100 ha</x:v>
      </x:c>
      <x:c r="B1" s="313"/>
      <x:c r="C1" s="313"/>
      <x:c r="D1" s="313"/>
      <x:c r="E1" s="313"/>
      <x:c r="F1" s="313"/>
      <x:c r="G1" s="313"/>
      <x:c r="H1" s="313"/>
    </x:row>
    <x:row r="2" ht="38" customHeight="1">
      <x:c r="A2" s="7" t="str">
        <x:v>Mulai dari sheet ini untuk memahami tujuan, batasan, legenda warna, dan urutan penggunaan model. Setelah itu buka 18_Panduan_Per_Sheet sebelum mengubah input atau memakai hasil investasi.</x:v>
      </x:c>
      <x:c r="B2" s="7"/>
      <x:c r="C2" s="7"/>
      <x:c r="D2" s="7"/>
      <x:c r="E2" s="7"/>
      <x:c r="F2" s="7"/>
      <x:c r="G2" s="7"/>
      <x:c r="H2" s="7"/>
    </x:row>
    <x:row r="3">
      <x:c r="A3" s="261"/>
      <x:c r="B3" s="261"/>
      <x:c r="C3" s="261"/>
      <x:c r="D3" s="261"/>
      <x:c r="E3" s="261"/>
      <x:c r="F3" s="261"/>
      <x:c r="G3" s="261"/>
      <x:c r="H3" s="261"/>
    </x:row>
    <x:row r="4" ht="20" customHeight="1">
      <x:c r="A4" s="316" t="str">
        <x:v>Tujuan</x:v>
      </x:c>
      <x:c r="B4" s="316"/>
      <x:c r="C4" s="316"/>
      <x:c r="D4" s="316"/>
      <x:c r="E4" s="316"/>
      <x:c r="F4" s="316"/>
      <x:c r="G4" s="316"/>
      <x:c r="H4" s="316"/>
    </x:row>
    <x:row r="5" ht="32" customHeight="1">
      <x:c r="A5" s="262" t="str">
        <x:v>Workbook ini menghitung seleksi lahan, pembukaan tanpa bakar, infrastruktur, bibit, alat dan mesin, input pertanian, HOK, pemeliharaan, sertifikasi, produksi, pendapatan, dan arus kas 10 tahun untuk kebun agroforestri terpadu.</x:v>
      </x:c>
      <x:c r="B5" s="262"/>
      <x:c r="C5" s="262"/>
      <x:c r="D5" s="262"/>
      <x:c r="E5" s="262"/>
      <x:c r="F5" s="262"/>
      <x:c r="G5" s="262"/>
      <x:c r="H5" s="262"/>
    </x:row>
    <x:row r="6" ht="32" customHeight="1">
      <x:c r="A6" s="262" t="str">
        <x:v>Model membandingkan satu lokasi dengan empat lokasi. Model ini adalah alat perencanaan investasi, bukan pengganti uji legal, tanah/air, desain teknik, diagnosis kesehatan tanaman, label pestisida, atau penawaran pemasok.</x:v>
      </x:c>
      <x:c r="B6" s="262"/>
      <x:c r="C6" s="262"/>
      <x:c r="D6" s="262"/>
      <x:c r="E6" s="262"/>
      <x:c r="F6" s="262"/>
      <x:c r="G6" s="262"/>
      <x:c r="H6" s="262"/>
    </x:row>
    <x:row r="7" ht="32" customHeight="1">
      <x:c r="A7" s="262" t="str">
        <x:v>Desain dasar memakai satu matriks areal efektif: kelapa, durian, dan pisang ditanam bersama; gamal, Indigofera, serai wangi, penutup tanah, dan strip biodiversitas tersebar di lorong/kontur. Tidak ada blok komoditas terpisah.</x:v>
      </x:c>
      <x:c r="B7" s="262"/>
      <x:c r="C7" s="262"/>
      <x:c r="D7" s="262"/>
      <x:c r="E7" s="262"/>
      <x:c r="F7" s="262"/>
      <x:c r="G7" s="262"/>
      <x:c r="H7" s="262"/>
    </x:row>
    <x:row r="8">
      <x:c r="A8" s="263"/>
      <x:c r="B8" s="263"/>
      <x:c r="C8" s="263"/>
      <x:c r="D8" s="263"/>
      <x:c r="E8" s="263"/>
      <x:c r="F8" s="263"/>
      <x:c r="G8" s="263"/>
      <x:c r="H8" s="263"/>
    </x:row>
    <x:row r="9" ht="20" customHeight="1">
      <x:c r="A9" s="316" t="str">
        <x:v>Cara menggunakan</x:v>
      </x:c>
      <x:c r="B9" s="316"/>
      <x:c r="C9" s="316"/>
      <x:c r="D9" s="316"/>
      <x:c r="E9" s="316"/>
      <x:c r="F9" s="316"/>
      <x:c r="G9" s="316"/>
      <x:c r="H9" s="316"/>
    </x:row>
    <x:row r="10">
      <x:c r="A10" s="264" t="str">
        <x:v>1</x:v>
      </x:c>
      <x:c r="B10" s="264" t="str">
        <x:v>Ubah sel input di 02_Asumsi dan tabel harga; seluruh populasi, jumlah, biaya, hasil, dan arus kas akan mengikuti.</x:v>
      </x:c>
      <x:c r="C10" s="263"/>
      <x:c r="D10" s="263"/>
      <x:c r="E10" s="263"/>
      <x:c r="F10" s="263"/>
      <x:c r="G10" s="263"/>
      <x:c r="H10" s="263"/>
    </x:row>
    <x:row r="11">
      <x:c r="A11" s="264" t="str">
        <x:v>2</x:v>
      </x:c>
      <x:c r="B11" s="264" t="str">
        <x:v>Pilih jumlah lokasi di 02_Asumsi C8; perbandingan satu dan empat lokasi dihitung otomatis.</x:v>
      </x:c>
      <x:c r="C11" s="263"/>
      <x:c r="D11" s="263"/>
      <x:c r="E11" s="263"/>
      <x:c r="F11" s="263"/>
      <x:c r="G11" s="263"/>
      <x:c r="H11" s="263"/>
    </x:row>
    <x:row r="12">
      <x:c r="A12" s="264" t="str">
        <x:v>3</x:v>
      </x:c>
      <x:c r="B12" s="264" t="str">
        <x:v>Arachis pintoi aktif sebagai penutup tanah; nanas dan opsi pendukung lain dapat diaktifkan pada 02_Asumsi/17_Model_Fleksibel.</x:v>
      </x:c>
      <x:c r="C12" s="263"/>
      <x:c r="D12" s="263"/>
      <x:c r="E12" s="263"/>
      <x:c r="F12" s="263"/>
      <x:c r="G12" s="263"/>
      <x:c r="H12" s="263"/>
    </x:row>
    <x:row r="13">
      <x:c r="A13" s="264" t="str">
        <x:v>4</x:v>
      </x:c>
      <x:c r="B13" s="264" t="str">
        <x:v>Tambahkan CAPEX, OPEX, pendapatan, spesies, alat, dan staf melalui baris cadangan; gunakan Aktif=0 untuk menonaktifkan.</x:v>
      </x:c>
      <x:c r="C13" s="263"/>
      <x:c r="D13" s="263"/>
      <x:c r="E13" s="263"/>
      <x:c r="F13" s="263"/>
      <x:c r="G13" s="263"/>
      <x:c r="H13" s="263"/>
    </x:row>
    <x:row r="14">
      <x:c r="A14" s="264" t="str">
        <x:v>5</x:v>
      </x:c>
      <x:c r="B14" s="264" t="str">
        <x:v>Ganti harga asumsi dengan sedikitnya tiga penawaran yang setara dan dokumentasikan pilihan.</x:v>
      </x:c>
      <x:c r="C14" s="263"/>
      <x:c r="D14" s="263"/>
      <x:c r="E14" s="263"/>
      <x:c r="F14" s="263"/>
      <x:c r="G14" s="263"/>
      <x:c r="H14" s="263"/>
    </x:row>
    <x:row r="15">
      <x:c r="A15" s="264" t="str">
        <x:v>6</x:v>
      </x:c>
      <x:c r="B15" s="264" t="str">
        <x:v>Baca 15_Pemeriksaan dan peringatan sebelum memakai hasil investasi.</x:v>
      </x:c>
      <x:c r="C15" s="263"/>
      <x:c r="D15" s="263"/>
      <x:c r="E15" s="263"/>
      <x:c r="F15" s="263"/>
      <x:c r="G15" s="263"/>
      <x:c r="H15" s="263"/>
    </x:row>
    <x:row r="16" ht="28" customHeight="1">
      <x:c r="A16" s="450" t="str">
        <x:v>7</x:v>
      </x:c>
      <x:c r="B16" s="450" t="str">
        <x:v>Buka 18_Panduan_Per_Sheet untuk paparan tujuan, cara membaca, input, keterkaitan, dan keputusan pada setiap sheet.</x:v>
      </x:c>
      <x:c r="C16" s="263"/>
      <x:c r="D16" s="263"/>
      <x:c r="E16" s="263"/>
      <x:c r="F16" s="263"/>
      <x:c r="G16" s="263"/>
      <x:c r="H16" s="263"/>
    </x:row>
    <x:row r="17">
      <x:c r="A17" s="263"/>
      <x:c r="B17" s="263"/>
      <x:c r="C17" s="263"/>
      <x:c r="D17" s="263"/>
      <x:c r="E17" s="263"/>
      <x:c r="F17" s="263"/>
      <x:c r="G17" s="263"/>
      <x:c r="H17" s="263"/>
    </x:row>
    <x:row r="18" ht="20" customHeight="1">
      <x:c r="A18" s="316" t="str">
        <x:v>Legenda warna</x:v>
      </x:c>
      <x:c r="B18" s="316"/>
      <x:c r="C18" s="316"/>
      <x:c r="D18" s="316"/>
      <x:c r="E18" s="263"/>
      <x:c r="F18" s="263"/>
      <x:c r="G18" s="263"/>
      <x:c r="H18" s="263"/>
    </x:row>
    <x:row r="19">
      <x:c r="A19" s="265" t="str">
        <x:v>Angka biru pada latar kuning</x:v>
      </x:c>
      <x:c r="B19" s="266" t="str">
        <x:v>Input/asumsi yang dapat diubah</x:v>
      </x:c>
      <x:c r="C19" s="263"/>
      <x:c r="D19" s="263"/>
      <x:c r="E19" s="263"/>
      <x:c r="F19" s="263"/>
      <x:c r="G19" s="263"/>
      <x:c r="H19" s="263"/>
    </x:row>
    <x:row r="20">
      <x:c r="A20" s="265" t="str">
        <x:v>Angka hijau</x:v>
      </x:c>
      <x:c r="B20" s="263" t="str">
        <x:v>Rumus atau hasil tertaut</x:v>
      </x:c>
      <x:c r="C20" s="263"/>
      <x:c r="D20" s="263"/>
      <x:c r="E20" s="263"/>
      <x:c r="F20" s="263"/>
      <x:c r="G20" s="263"/>
      <x:c r="H20" s="263"/>
    </x:row>
    <x:row r="21">
      <x:c r="A21" s="265" t="str">
        <x:v>Teks hitam</x:v>
      </x:c>
      <x:c r="B21" s="263" t="str">
        <x:v>Perhitungan lembar yang sama atau keterangan</x:v>
      </x:c>
      <x:c r="C21" s="263"/>
      <x:c r="D21" s="263"/>
      <x:c r="E21" s="263"/>
      <x:c r="F21" s="263"/>
      <x:c r="G21" s="263"/>
      <x:c r="H21" s="263"/>
    </x:row>
    <x:row r="22">
      <x:c r="A22" s="265" t="str">
        <x:v>Catatan jingga/merah</x:v>
      </x:c>
      <x:c r="B22" s="267" t="str">
        <x:v>Risiko, batasan, atau konfirmasi wajib</x:v>
      </x:c>
      <x:c r="C22" s="263"/>
      <x:c r="D22" s="263"/>
      <x:c r="E22" s="263"/>
      <x:c r="F22" s="263"/>
      <x:c r="G22" s="263"/>
      <x:c r="H22" s="263"/>
    </x:row>
    <x:row r="23">
      <x:c r="A23" s="265" t="str">
        <x:v>Total hijau</x:v>
      </x:c>
      <x:c r="B23" s="268" t="str">
        <x:v>Subtotal atau hasil utama</x:v>
      </x:c>
      <x:c r="C23" s="263"/>
      <x:c r="D23" s="263"/>
      <x:c r="E23" s="263"/>
      <x:c r="F23" s="263"/>
      <x:c r="G23" s="263"/>
      <x:c r="H23" s="263"/>
    </x:row>
    <x:row r="24">
      <x:c r="A24" s="263"/>
      <x:c r="B24" s="263"/>
      <x:c r="C24" s="263"/>
      <x:c r="D24" s="263"/>
      <x:c r="E24" s="263"/>
      <x:c r="F24" s="263"/>
      <x:c r="G24" s="263"/>
      <x:c r="H24" s="263"/>
    </x:row>
    <x:row r="25">
      <x:c r="A25" s="263"/>
      <x:c r="B25" s="263"/>
      <x:c r="C25" s="263"/>
      <x:c r="D25" s="263"/>
      <x:c r="E25" s="263"/>
      <x:c r="F25" s="263"/>
      <x:c r="G25" s="263"/>
      <x:c r="H25" s="263"/>
    </x:row>
    <x:row r="26" ht="20" customHeight="1">
      <x:c r="A26" s="316" t="str">
        <x:v>Pengecualian dan kondisi utama</x:v>
      </x:c>
      <x:c r="B26" s="316"/>
      <x:c r="C26" s="316"/>
      <x:c r="D26" s="316"/>
      <x:c r="E26" s="316"/>
      <x:c r="F26" s="316"/>
      <x:c r="G26" s="316"/>
      <x:c r="H26" s="316"/>
    </x:row>
    <x:row r="27" ht="26" customHeight="1">
      <x:c r="A27" s="269" t="str">
        <x:v>Akuisisi/sewa lahan masih Rp0 sampai tersedia calon lahan dan uji legal/valuasi.</x:v>
      </x:c>
      <x:c r="B27" s="269"/>
      <x:c r="C27" s="269"/>
      <x:c r="D27" s="269"/>
      <x:c r="E27" s="269"/>
      <x:c r="F27" s="269"/>
      <x:c r="G27" s="269"/>
      <x:c r="H27" s="269"/>
    </x:row>
    <x:row r="28" ht="26" customHeight="1">
      <x:c r="A28" s="269" t="str">
        <x:v>PPN, pajak badan, pembiayaan, penyusutan, pajak transaksi tanah, dan pabrik pengolahan tidak termasuk.</x:v>
      </x:c>
      <x:c r="B28" s="269"/>
      <x:c r="C28" s="269"/>
      <x:c r="D28" s="269"/>
      <x:c r="E28" s="269"/>
      <x:c r="F28" s="269"/>
      <x:c r="G28" s="269"/>
      <x:c r="H28" s="269"/>
    </x:row>
    <x:row r="29" ht="26" customHeight="1">
      <x:c r="A29" s="269" t="str">
        <x:v>Proyek mengasumsikan lahan pertanian terdegradasi/non-hutan. Konversi hutan alam, kawasan lindung, atau HCV adalah Tidak Layak.</x:v>
      </x:c>
      <x:c r="B29" s="269"/>
      <x:c r="C29" s="269"/>
      <x:c r="D29" s="269"/>
      <x:c r="E29" s="269"/>
      <x:c r="F29" s="269"/>
      <x:c r="G29" s="269"/>
      <x:c r="H29" s="269"/>
    </x:row>
    <x:row r="30" ht="26" customHeight="1">
      <x:c r="A30" s="269" t="str">
        <x:v>Input sintetis berhenti setelah fase transisi yang ditentukan; klaim organik memerlukan penetapan LSO.</x:v>
      </x:c>
      <x:c r="B30" s="269"/>
      <x:c r="C30" s="269"/>
      <x:c r="D30" s="269"/>
      <x:c r="E30" s="269"/>
      <x:c r="F30" s="269"/>
      <x:c r="G30" s="269"/>
      <x:c r="H30" s="269"/>
    </x:row>
    <x:row r="31" ht="26" customHeight="1">
      <x:c r="A31" s="269" t="str">
        <x:v>Pendapatan tingkat kebun dan tanpa premi. Pendapatan nanas/tambahan hanya masuk bila diaktifkan; manfaat penutup tanah tidak dimonetisasi.</x:v>
      </x:c>
      <x:c r="B31" s="269"/>
      <x:c r="C31" s="269"/>
      <x:c r="D31" s="269"/>
      <x:c r="E31" s="269"/>
      <x:c r="F31" s="269"/>
      <x:c r="G31" s="269"/>
      <x:c r="H31" s="269"/>
    </x:row>
    <x:row r="32" ht="26" customHeight="1">
      <x:c r="A32" s="269" t="str">
        <x:v>Harga adalah asumsi perencanaan 2026. Baris berkeyakinan rendah memerlukan penawaran; hasil biologis memerlukan validasi lapangan.</x:v>
      </x:c>
      <x:c r="B32" s="269"/>
      <x:c r="C32" s="269"/>
      <x:c r="D32" s="269"/>
      <x:c r="E32" s="269"/>
      <x:c r="F32" s="269"/>
      <x:c r="G32" s="269"/>
      <x:c r="H32" s="269"/>
    </x:row>
  </x:sheetData>
  <x:mergeCells>
    <x:mergeCell ref="A1:H1"/>
    <x:mergeCell ref="A2:H2"/>
    <x:mergeCell ref="A4:H4"/>
    <x:mergeCell ref="A5:H5"/>
    <x:mergeCell ref="A6:H6"/>
    <x:mergeCell ref="A7:H7"/>
    <x:mergeCell ref="A9:H9"/>
    <x:mergeCell ref="A18:D18"/>
    <x:mergeCell ref="A26:H26"/>
    <x:mergeCell ref="A27:H27"/>
    <x:mergeCell ref="A28:H28"/>
    <x:mergeCell ref="A29:H29"/>
    <x:mergeCell ref="A30:H30"/>
    <x:mergeCell ref="A31:H31"/>
    <x:mergeCell ref="A32:H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8" hidden="0" customWidth="1"/>
    <x:col min="4" max="4" width="18" hidden="0" customWidth="1"/>
    <x:col min="5" max="5" width="22"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8" customHeight="1">
      <x:c r="A1" s="313" t="str">
        <x:v>Ringkasan Investasi Agroforestri 100 ha</x:v>
      </x:c>
      <x:c r="B1" s="313"/>
      <x:c r="C1" s="313"/>
      <x:c r="D1" s="313"/>
      <x:c r="E1" s="313"/>
      <x:c r="F1" s="313"/>
      <x:c r="G1" s="313"/>
      <x:c r="H1" s="313"/>
      <x:c r="I1" s="313"/>
      <x:c r="J1" s="313"/>
      <x:c r="K1" s="313"/>
      <x:c r="L1" s="313"/>
    </x:row>
    <x:row r="2" ht="38" customHeight="1">
      <x:c r="A2" s="7" t="str">
        <x:v>Ringkasan eksekutif untuk melihat skala kebun, investasi awal, kebutuhan kas, NPV/IRR, populasi tanaman, serta arus kas 10 tahun. Gunakan untuk keputusan awal, kemudian telusuri asumsi dan komponennya pada sheet sumber.</x:v>
      </x:c>
      <x:c r="B2" s="7"/>
      <x:c r="C2" s="7"/>
      <x:c r="D2" s="7"/>
      <x:c r="E2" s="7"/>
      <x:c r="F2" s="7"/>
      <x:c r="G2" s="7"/>
      <x:c r="H2" s="7"/>
      <x:c r="I2" s="7"/>
      <x:c r="J2" s="7"/>
      <x:c r="K2" s="7"/>
      <x:c r="L2" s="7"/>
    </x:row>
    <x:row r="3">
      <x:c r="A3" s="261"/>
      <x:c r="B3" s="261"/>
      <x:c r="C3" s="261"/>
      <x:c r="D3" s="261"/>
      <x:c r="E3" s="261"/>
      <x:c r="F3" s="261"/>
      <x:c r="G3" s="261"/>
      <x:c r="H3" s="261"/>
      <x:c r="I3" s="261"/>
      <x:c r="J3" s="261"/>
      <x:c r="K3" s="261"/>
      <x:c r="L3" s="261"/>
    </x:row>
    <x:row r="4" ht="20" customHeight="1">
      <x:c r="A4" s="41" t="str">
        <x:v>Keluaran desain dan investasi utama</x:v>
      </x:c>
      <x:c r="B4" s="41"/>
      <x:c r="C4" s="41"/>
      <x:c r="D4" s="41"/>
      <x:c r="E4" s="41"/>
      <x:c r="F4" s="41"/>
      <x:c r="G4" s="41"/>
      <x:c r="H4" s="41"/>
      <x:c r="I4" s="41"/>
      <x:c r="J4" s="41"/>
      <x:c r="K4" s="41"/>
      <x:c r="L4" s="41"/>
    </x:row>
    <x:row r="5">
      <x:c r="A5" s="220" t="str">
        <x:v>Luas bruto / efektif</x:v>
      </x:c>
      <x:c r="B5" s="221"/>
      <x:c r="C5" s="221"/>
      <x:c r="D5" s="222"/>
      <x:c r="E5" s="223" t="str">
        <x:v>Investasi awal</x:v>
      </x:c>
      <x:c r="F5" s="224"/>
      <x:c r="G5" s="224"/>
      <x:c r="H5" s="225"/>
      <x:c r="I5" s="220" t="str">
        <x:v>Pendanaan puncak</x:v>
      </x:c>
      <x:c r="J5" s="221"/>
      <x:c r="K5" s="221"/>
      <x:c r="L5" s="222"/>
    </x:row>
    <x:row r="6">
      <x:c r="A6" s="226" t="n">
        <x:f>'02_Assumptions'!$C$6</x:f>
        <x:v>100</x:v>
      </x:c>
      <x:c r="B6" s="227"/>
      <x:c r="C6" s="227"/>
      <x:c r="D6" s="228"/>
      <x:c r="E6" s="229" t="n">
        <x:f>'08_CAPEX_RAB'!$J$43</x:f>
        <x:v>14516740480</x:v>
      </x:c>
      <x:c r="F6" s="230"/>
      <x:c r="G6" s="230"/>
      <x:c r="H6" s="231"/>
      <x:c r="I6" s="232" t="n">
        <x:f>'11_Cash_Flow'!$B$19</x:f>
        <x:v>19999678358.471836</x:v>
      </x:c>
      <x:c r="J6" s="233"/>
      <x:c r="K6" s="233"/>
      <x:c r="L6" s="234"/>
    </x:row>
    <x:row r="7">
      <x:c r="A7" s="235" t="n">
        <x:f>'02_Assumptions'!$C$6*'02_Assumptions'!$C$7</x:f>
        <x:v>88</x:v>
      </x:c>
      <x:c r="B7" s="236"/>
      <x:c r="C7" s="236"/>
      <x:c r="D7" s="237"/>
      <x:c r="E7" s="238" t="n">
        <x:f>'02_Assumptions'!$C$8</x:f>
        <x:v>1</x:v>
      </x:c>
      <x:c r="F7" s="239"/>
      <x:c r="G7" s="239"/>
      <x:c r="H7" s="240"/>
      <x:c r="I7" s="241" t="str">
        <x:f>'11_Cash_Flow'!$B$18</x:f>
        <x:v>Beyond Y10</x:v>
      </x:c>
      <x:c r="J7" s="242"/>
      <x:c r="K7" s="242"/>
      <x:c r="L7" s="243"/>
    </x:row>
    <x:row r="8">
      <x:c r="A8" s="263"/>
      <x:c r="B8" s="263"/>
      <x:c r="C8" s="263"/>
      <x:c r="D8" s="263"/>
      <x:c r="E8" s="263"/>
      <x:c r="F8" s="263"/>
      <x:c r="G8" s="263"/>
      <x:c r="H8" s="263"/>
      <x:c r="I8" s="263"/>
      <x:c r="J8" s="263"/>
      <x:c r="K8" s="263"/>
      <x:c r="L8" s="263"/>
    </x:row>
    <x:row r="9">
      <x:c r="A9" s="223" t="str">
        <x:v>NPV / IRR</x:v>
      </x:c>
      <x:c r="B9" s="224"/>
      <x:c r="C9" s="224"/>
      <x:c r="D9" s="225"/>
      <x:c r="E9" s="220" t="str">
        <x:v>Pohon kelapa / durian</x:v>
      </x:c>
      <x:c r="F9" s="221"/>
      <x:c r="G9" s="221"/>
      <x:c r="H9" s="222"/>
      <x:c r="I9" s="223" t="str">
        <x:v>Rumpun pisang awal / kru puncak T0</x:v>
      </x:c>
      <x:c r="J9" s="224"/>
      <x:c r="K9" s="224"/>
      <x:c r="L9" s="225"/>
    </x:row>
    <x:row r="10">
      <x:c r="A10" s="229" t="n">
        <x:f>'11_Cash_Flow'!$B$16</x:f>
        <x:v>-12135070658.828112</x:v>
      </x:c>
      <x:c r="B10" s="230"/>
      <x:c r="C10" s="230"/>
      <x:c r="D10" s="231"/>
      <x:c r="E10" s="244" t="n">
        <x:f>'04_Planting_Design'!$D$8</x:f>
        <x:v>7304</x:v>
      </x:c>
      <x:c r="F10" s="245"/>
      <x:c r="G10" s="245"/>
      <x:c r="H10" s="246"/>
      <x:c r="I10" s="247" t="n">
        <x:f>'04_Planting_Design'!$H$8</x:f>
        <x:v>44000</x:v>
      </x:c>
      <x:c r="J10" s="248"/>
      <x:c r="K10" s="248"/>
      <x:c r="L10" s="249"/>
    </x:row>
    <x:row r="11">
      <x:c r="A11" s="250" t="n">
        <x:f>'11_Cash_Flow'!$B$17</x:f>
        <x:v>-0.022037456450085563</x:v>
      </x:c>
      <x:c r="B11" s="251"/>
      <x:c r="C11" s="251"/>
      <x:c r="D11" s="252"/>
      <x:c r="E11" s="241" t="n">
        <x:f>'04_Planting_Design'!$F$8</x:f>
        <x:v>2640</x:v>
      </x:c>
      <x:c r="F11" s="242"/>
      <x:c r="G11" s="242"/>
      <x:c r="H11" s="243"/>
      <x:c r="I11" s="253" t="n">
        <x:f>'05_Workplan_Labor'!$Z$27</x:f>
        <x:v>70.06026666666666</x:v>
      </x:c>
      <x:c r="J11" s="254"/>
      <x:c r="K11" s="254"/>
      <x:c r="L11" s="255"/>
    </x:row>
    <x:row r="12">
      <x:c r="A12" s="263"/>
      <x:c r="B12" s="263"/>
      <x:c r="C12" s="263"/>
      <x:c r="D12" s="263"/>
      <x:c r="E12" s="263"/>
      <x:c r="F12" s="263"/>
      <x:c r="G12" s="263"/>
      <x:c r="H12" s="263"/>
      <x:c r="I12" s="263"/>
      <x:c r="J12" s="263"/>
      <x:c r="K12" s="263"/>
      <x:c r="L12" s="263"/>
    </x:row>
    <x:row r="13" ht="24" customHeight="1">
      <x:c r="A13" s="270" t="str">
        <x:v>Urutan panen dasar: pisang T1 → kelapa ringan T3 → durian okulasi komersial dasar T5 | Nanas hanya masuk bila diaktifkan</x:v>
      </x:c>
      <x:c r="B13" s="270"/>
      <x:c r="C13" s="270"/>
      <x:c r="D13" s="270"/>
      <x:c r="E13" s="270"/>
      <x:c r="F13" s="270"/>
      <x:c r="G13" s="270"/>
      <x:c r="H13" s="270"/>
      <x:c r="I13" s="270"/>
      <x:c r="J13" s="270"/>
      <x:c r="K13" s="270"/>
      <x:c r="L13" s="270"/>
    </x:row>
    <x:row r="14">
      <x:c r="A14" s="263"/>
      <x:c r="B14" s="263"/>
      <x:c r="C14" s="263"/>
      <x:c r="D14" s="263"/>
      <x:c r="E14" s="263"/>
      <x:c r="F14" s="263"/>
      <x:c r="G14" s="263"/>
      <x:c r="H14" s="263"/>
      <x:c r="I14" s="263"/>
      <x:c r="J14" s="263"/>
      <x:c r="K14" s="263"/>
      <x:c r="L14" s="263"/>
    </x:row>
    <x:row r="15" ht="20" customHeight="1">
      <x:c r="A15" s="41" t="str">
        <x:v>Titik keputusan</x:v>
      </x:c>
      <x:c r="B15" s="41"/>
      <x:c r="C15" s="41"/>
      <x:c r="D15" s="41"/>
      <x:c r="E15" s="41"/>
      <x:c r="F15" s="41"/>
      <x:c r="G15" s="263"/>
      <x:c r="H15" s="263"/>
      <x:c r="I15" s="263"/>
      <x:c r="J15" s="263"/>
      <x:c r="K15" s="263"/>
      <x:c r="L15" s="263"/>
    </x:row>
    <x:row r="16">
      <x:c r="A16" s="264" t="str">
        <x:v>Konfigurasi yang disarankan</x:v>
      </x:c>
      <x:c r="B16" s="264" t="str">
        <x:v>Satu lokasi berdekatan seluas 100 ha</x:v>
      </x:c>
      <x:c r="C16" s="264" t="str">
        <x:v>Empat lokasi menduplikasi perimeter, sarana, alat, staf, dan logistik</x:v>
      </x:c>
      <x:c r="D16" s="264"/>
      <x:c r="E16" s="264"/>
      <x:c r="F16" s="264"/>
      <x:c r="G16" s="263"/>
      <x:c r="H16" s="263"/>
      <x:c r="I16" s="263"/>
      <x:c r="J16" s="263"/>
      <x:c r="K16" s="263"/>
      <x:c r="L16" s="263"/>
    </x:row>
    <x:row r="17">
      <x:c r="A17" s="264" t="str">
        <x:v>Persetujuan lahan</x:v>
      </x:c>
      <x:c r="B17" s="264" t="str">
        <x:v>Belum ada calon lahan yang dinyatakan siap</x:v>
      </x:c>
      <x:c r="C17" s="264" t="str">
        <x:v>Selesaikan uji legal, HCV/sosial, tanah, air, lereng, banjir, dan penyakit pisang</x:v>
      </x:c>
      <x:c r="D17" s="264"/>
      <x:c r="E17" s="264"/>
      <x:c r="F17" s="264"/>
      <x:c r="G17" s="263"/>
      <x:c r="H17" s="263"/>
      <x:c r="I17" s="263"/>
      <x:c r="J17" s="263"/>
      <x:c r="K17" s="263"/>
      <x:c r="L17" s="263"/>
    </x:row>
    <x:row r="18">
      <x:c r="A18" s="264" t="str">
        <x:v>Jalur organik</x:v>
      </x:c>
      <x:c r="B18" s="264" t="str">
        <x:v>Masa transisi, bukan klaim langsung</x:v>
      </x:c>
      <x:c r="C18" s="264" t="str">
        <x:v>Input sintetis berhenti sesuai pengaturan; LSO menentukan kelayakan</x:v>
      </x:c>
      <x:c r="D18" s="264"/>
      <x:c r="E18" s="264"/>
      <x:c r="F18" s="264"/>
      <x:c r="G18" s="263"/>
      <x:c r="H18" s="263"/>
      <x:c r="I18" s="263"/>
      <x:c r="J18" s="263"/>
      <x:c r="K18" s="263"/>
      <x:c r="L18" s="263"/>
    </x:row>
    <x:row r="19">
      <x:c r="A19" s="264" t="str">
        <x:v>Disiplin pendapatan</x:v>
      </x:c>
      <x:c r="B19" s="264" t="str">
        <x:v>Tanpa premi organik; opsi hanya masuk bila aktif</x:v>
      </x:c>
      <x:c r="C19" s="264" t="str">
        <x:v>Pastikan offtake tingkat kebun dan spesifikasi mutu sebelum keputusan akhir</x:v>
      </x:c>
      <x:c r="D19" s="264"/>
      <x:c r="E19" s="264"/>
      <x:c r="F19" s="264"/>
      <x:c r="G19" s="263"/>
      <x:c r="H19" s="263"/>
      <x:c r="I19" s="263"/>
      <x:c r="J19" s="263"/>
      <x:c r="K19" s="263"/>
      <x:c r="L19" s="263"/>
    </x:row>
    <x:row r="20">
      <x:c r="A20" s="264" t="str">
        <x:v>Penggerak nilai terbesar</x:v>
      </x:c>
      <x:c r="B20" s="264" t="str">
        <x:v>Durian mulai T5</x:v>
      </x:c>
      <x:c r="C20" s="264" t="str">
        <x:v>Juga asumsi biologis dan harga yang paling berisiko</x:v>
      </x:c>
      <x:c r="D20" s="264"/>
      <x:c r="E20" s="264"/>
      <x:c r="F20" s="264"/>
      <x:c r="G20" s="263"/>
      <x:c r="H20" s="263"/>
      <x:c r="I20" s="263"/>
      <x:c r="J20" s="263"/>
      <x:c r="K20" s="263"/>
      <x:c r="L20" s="263"/>
    </x:row>
    <x:row r="21">
      <x:c r="A21" s="264" t="str">
        <x:v>Penggerak survival yang dapat dikendalikan</x:v>
      </x:c>
      <x:c r="B21" s="264" t="str">
        <x:v>Drainase, air, bibit bebas penyakit, QC pembibitan, dan sulaman</x:v>
      </x:c>
      <x:c r="C21" s="264" t="str">
        <x:v>Jangan mengurangi pengendali tersebut demi memperbaiki NPV</x:v>
      </x:c>
      <x:c r="D21" s="264"/>
      <x:c r="E21" s="264"/>
      <x:c r="F21" s="264"/>
      <x:c r="G21" s="263"/>
      <x:c r="H21" s="263"/>
      <x:c r="I21" s="263"/>
      <x:c r="J21" s="263"/>
      <x:c r="K21" s="263"/>
      <x:c r="L21" s="263"/>
    </x:row>
    <x:row r="22">
      <x:c r="A22" s="263"/>
      <x:c r="B22" s="263"/>
      <x:c r="C22" s="263"/>
      <x:c r="D22" s="263"/>
      <x:c r="E22" s="263"/>
      <x:c r="F22" s="263"/>
      <x:c r="G22" s="263"/>
      <x:c r="H22" s="263"/>
      <x:c r="I22" s="263"/>
      <x:c r="J22" s="263"/>
      <x:c r="K22" s="263"/>
      <x:c r="L22" s="263"/>
    </x:row>
    <x:row r="23">
      <x:c r="A23" s="263"/>
      <x:c r="B23" s="263"/>
      <x:c r="C23" s="263"/>
      <x:c r="D23" s="263"/>
      <x:c r="E23" s="263"/>
      <x:c r="F23" s="263"/>
      <x:c r="G23" s="263"/>
      <x:c r="H23" s="263"/>
      <x:c r="I23" s="263"/>
      <x:c r="J23" s="263"/>
      <x:c r="K23" s="263"/>
      <x:c r="L23" s="263"/>
    </x:row>
    <x:row r="24" ht="20" customHeight="1">
      <x:c r="A24" s="41" t="str">
        <x:v>Pendapatan tahunan dan arus kas proyek</x:v>
      </x:c>
      <x:c r="B24" s="41"/>
      <x:c r="C24" s="41"/>
      <x:c r="D24" s="41"/>
      <x:c r="E24" s="41"/>
      <x:c r="F24" s="41"/>
      <x:c r="G24" s="41"/>
      <x:c r="H24" s="41"/>
      <x:c r="I24" s="41"/>
      <x:c r="J24" s="41"/>
      <x:c r="K24" s="41"/>
      <x:c r="L24" s="41"/>
    </x:row>
    <x:row r="25" ht="30" customHeight="1">
      <x:c r="A25" s="34" t="str">
        <x:v>Tahun</x:v>
      </x:c>
      <x:c r="B25" s="35" t="str">
        <x:v>Total pendapatan</x:v>
      </x:c>
      <x:c r="C25" s="35" t="str">
        <x:v>Arus kas proyek</x:v>
      </x:c>
      <x:c r="D25" s="36" t="str">
        <x:v>Arus kas kumulatif</x:v>
      </x:c>
      <x:c r="E25" s="263"/>
      <x:c r="F25" s="263"/>
      <x:c r="G25" s="263"/>
      <x:c r="H25" s="263"/>
      <x:c r="I25" s="263"/>
      <x:c r="J25" s="263"/>
      <x:c r="K25" s="263"/>
      <x:c r="L25" s="263"/>
    </x:row>
    <x:row r="26">
      <x:c r="A26" s="263" t="str">
        <x:v>Y1</x:v>
      </x:c>
      <x:c r="B26" s="271" t="n">
        <x:f>'10_Production_Revenue'!$B$21</x:f>
        <x:v>3716064000</x:v>
      </x:c>
      <x:c r="C26" s="271" t="n">
        <x:f>'11_Cash_Flow'!$C$8</x:f>
        <x:v>-603461700</x:v>
      </x:c>
      <x:c r="D26" s="271" t="n">
        <x:f>'11_Cash_Flow'!$C$9</x:f>
        <x:v>-15120202180</x:v>
      </x:c>
      <x:c r="E26" s="263"/>
      <x:c r="F26" s="263"/>
      <x:c r="G26" s="263"/>
      <x:c r="H26" s="263"/>
      <x:c r="I26" s="263"/>
      <x:c r="J26" s="263"/>
      <x:c r="K26" s="263"/>
      <x:c r="L26" s="263"/>
    </x:row>
    <x:row r="27">
      <x:c r="A27" s="263" t="str">
        <x:v>Y2</x:v>
      </x:c>
      <x:c r="B27" s="271" t="n">
        <x:f>'10_Production_Revenue'!$C$21</x:f>
        <x:v>3827545920</x:v>
      </x:c>
      <x:c r="C27" s="271" t="n">
        <x:f>'11_Cash_Flow'!$D$8</x:f>
        <x:v>-688284243.9359999</x:v>
      </x:c>
      <x:c r="D27" s="271" t="n">
        <x:f>'11_Cash_Flow'!$D$9</x:f>
        <x:v>-15808486423.936</x:v>
      </x:c>
      <x:c r="E27" s="263"/>
      <x:c r="F27" s="263"/>
      <x:c r="G27" s="263"/>
      <x:c r="H27" s="263"/>
      <x:c r="I27" s="263"/>
      <x:c r="J27" s="263"/>
      <x:c r="K27" s="263"/>
      <x:c r="L27" s="263"/>
    </x:row>
    <x:row r="28">
      <x:c r="A28" s="263" t="str">
        <x:v>Y3</x:v>
      </x:c>
      <x:c r="B28" s="271" t="n">
        <x:f>'10_Production_Revenue'!$D$21</x:f>
        <x:v>3364425168.0599995</x:v>
      </x:c>
      <x:c r="C28" s="271" t="n">
        <x:f>'11_Cash_Flow'!$E$8</x:f>
        <x:v>-885817710.276001</x:v>
      </x:c>
      <x:c r="D28" s="271" t="n">
        <x:f>'11_Cash_Flow'!$E$9</x:f>
        <x:v>-16694304134.212002</x:v>
      </x:c>
      <x:c r="E28" s="263"/>
      <x:c r="F28" s="263"/>
      <x:c r="G28" s="263"/>
      <x:c r="H28" s="263"/>
      <x:c r="I28" s="263"/>
      <x:c r="J28" s="263"/>
      <x:c r="K28" s="263"/>
      <x:c r="L28" s="263"/>
    </x:row>
    <x:row r="29">
      <x:c r="A29" s="263" t="str">
        <x:v>Y4</x:v>
      </x:c>
      <x:c r="B29" s="271" t="n">
        <x:f>'10_Production_Revenue'!$E$21</x:f>
        <x:v>2645324879.7689996</x:v>
      </x:c>
      <x:c r="C29" s="271" t="n">
        <x:f>'11_Cash_Flow'!$F$8</x:f>
        <x:v>-1550625535.1199603</x:v>
      </x:c>
      <x:c r="D29" s="271" t="n">
        <x:f>'11_Cash_Flow'!$F$9</x:f>
        <x:v>-18244929669.331963</x:v>
      </x:c>
      <x:c r="E29" s="263"/>
      <x:c r="F29" s="263"/>
      <x:c r="G29" s="263"/>
      <x:c r="H29" s="263"/>
      <x:c r="I29" s="263"/>
      <x:c r="J29" s="263"/>
      <x:c r="K29" s="263"/>
      <x:c r="L29" s="263"/>
    </x:row>
    <x:row r="30">
      <x:c r="A30" s="263" t="str">
        <x:v>Y5</x:v>
      </x:c>
      <x:c r="B30" s="271" t="n">
        <x:f>'10_Production_Revenue'!$F$21</x:f>
        <x:v>3106361096.061696</x:v>
      </x:c>
      <x:c r="C30" s="271" t="n">
        <x:f>'11_Cash_Flow'!$G$8</x:f>
        <x:v>-1617534972.108605</x:v>
      </x:c>
      <x:c r="D30" s="271" t="n">
        <x:f>'11_Cash_Flow'!$G$9</x:f>
        <x:v>-19862464641.440567</x:v>
      </x:c>
      <x:c r="E30" s="263"/>
      <x:c r="F30" s="263"/>
      <x:c r="G30" s="263"/>
      <x:c r="H30" s="263"/>
      <x:c r="I30" s="263"/>
      <x:c r="J30" s="263"/>
      <x:c r="K30" s="263"/>
      <x:c r="L30" s="263"/>
    </x:row>
    <x:row r="31">
      <x:c r="A31" s="263" t="str">
        <x:v>Y6</x:v>
      </x:c>
      <x:c r="B31" s="271" t="n">
        <x:f>'10_Production_Revenue'!$G$21</x:f>
        <x:v>4432299402.943792</x:v>
      </x:c>
      <x:c r="C31" s="271" t="n">
        <x:f>'11_Cash_Flow'!$H$8</x:f>
        <x:v>-137213717.03126907</x:v>
      </x:c>
      <x:c r="D31" s="271" t="n">
        <x:f>'11_Cash_Flow'!$H$9</x:f>
        <x:v>-19999678358.471836</x:v>
      </x:c>
      <x:c r="E31" s="263"/>
      <x:c r="F31" s="263"/>
      <x:c r="G31" s="263"/>
      <x:c r="H31" s="263"/>
      <x:c r="I31" s="263"/>
      <x:c r="J31" s="263"/>
      <x:c r="K31" s="263"/>
      <x:c r="L31" s="263"/>
    </x:row>
    <x:row r="32">
      <x:c r="A32" s="263" t="str">
        <x:v>Y7</x:v>
      </x:c>
      <x:c r="B32" s="271" t="n">
        <x:f>'10_Production_Revenue'!$H$21</x:f>
        <x:v>6478870924.07704</x:v>
      </x:c>
      <x:c r="C32" s="271" t="n">
        <x:f>'11_Cash_Flow'!$I$8</x:f>
        <x:v>1671791297.7850504</x:v>
      </x:c>
      <x:c r="D32" s="271" t="n">
        <x:f>'11_Cash_Flow'!$I$9</x:f>
        <x:v>-18327887060.686787</x:v>
      </x:c>
      <x:c r="E32" s="263"/>
      <x:c r="F32" s="263"/>
      <x:c r="G32" s="263"/>
      <x:c r="H32" s="263"/>
      <x:c r="I32" s="263"/>
      <x:c r="J32" s="263"/>
      <x:c r="K32" s="263"/>
      <x:c r="L32" s="263"/>
    </x:row>
    <x:row r="33">
      <x:c r="A33" s="263" t="str">
        <x:v>Y8</x:v>
      </x:c>
      <x:c r="B33" s="271" t="n">
        <x:f>'10_Production_Revenue'!$I$21</x:f>
        <x:v>8642348249.817871</x:v>
      </x:c>
      <x:c r="C33" s="271" t="n">
        <x:f>'11_Cash_Flow'!$J$8</x:f>
        <x:v>3196221292.195177</x:v>
      </x:c>
      <x:c r="D33" s="271" t="n">
        <x:f>'11_Cash_Flow'!$J$9</x:f>
        <x:v>-15131665768.49161</x:v>
      </x:c>
      <x:c r="E33" s="263"/>
      <x:c r="F33" s="263"/>
      <x:c r="G33" s="263"/>
      <x:c r="H33" s="263"/>
      <x:c r="I33" s="263"/>
      <x:c r="J33" s="263"/>
      <x:c r="K33" s="263"/>
      <x:c r="L33" s="263"/>
    </x:row>
    <x:row r="34">
      <x:c r="A34" s="263" t="str">
        <x:v>Y9</x:v>
      </x:c>
      <x:c r="B34" s="271" t="n">
        <x:f>'10_Production_Revenue'!$J$21</x:f>
        <x:v>10692476896.77171</x:v>
      </x:c>
      <x:c r="C34" s="271" t="n">
        <x:f>'11_Cash_Flow'!$K$8</x:f>
        <x:v>5274140291.32994</x:v>
      </x:c>
      <x:c r="D34" s="271" t="n">
        <x:f>'11_Cash_Flow'!$K$9</x:f>
        <x:v>-9857525477.16167</x:v>
      </x:c>
      <x:c r="E34" s="263"/>
      <x:c r="F34" s="263"/>
      <x:c r="G34" s="263"/>
      <x:c r="H34" s="263"/>
      <x:c r="I34" s="263"/>
      <x:c r="J34" s="263"/>
      <x:c r="K34" s="263"/>
      <x:c r="L34" s="263"/>
    </x:row>
    <x:row r="35">
      <x:c r="A35" s="263" t="str">
        <x:v>Y10</x:v>
      </x:c>
      <x:c r="B35" s="271" t="n">
        <x:f>'10_Production_Revenue'!$K$21</x:f>
        <x:v>12396689162.757172</x:v>
      </x:c>
      <x:c r="C35" s="271" t="n">
        <x:f>'11_Cash_Flow'!$L$8</x:f>
        <x:v>6595073036.825265</x:v>
      </x:c>
      <x:c r="D35" s="271" t="n">
        <x:f>'11_Cash_Flow'!$L$9</x:f>
        <x:v>-3262452440.3364058</x:v>
      </x:c>
      <x:c r="E35" s="263"/>
      <x:c r="F35" s="263"/>
      <x:c r="G35" s="263"/>
      <x:c r="H35" s="263"/>
      <x:c r="I35" s="263"/>
      <x:c r="J35" s="263"/>
      <x:c r="K35" s="263"/>
      <x:c r="L35" s="263"/>
    </x:row>
    <x:row r="36">
      <x:c r="A36" s="263"/>
      <x:c r="B36" s="263"/>
      <x:c r="C36" s="263"/>
      <x:c r="D36" s="263"/>
      <x:c r="E36" s="263"/>
      <x:c r="F36" s="263"/>
      <x:c r="G36" s="263"/>
      <x:c r="H36" s="263"/>
      <x:c r="I36" s="263"/>
      <x:c r="J36" s="263"/>
      <x:c r="K36" s="263"/>
      <x:c r="L36" s="263"/>
    </x:row>
    <x:row r="37">
      <x:c r="A37" s="263"/>
      <x:c r="B37" s="263"/>
      <x:c r="C37" s="263"/>
      <x:c r="D37" s="263"/>
      <x:c r="E37" s="263"/>
      <x:c r="F37" s="263"/>
      <x:c r="G37" s="263"/>
      <x:c r="H37" s="263"/>
      <x:c r="I37" s="263"/>
      <x:c r="J37" s="263"/>
      <x:c r="K37" s="263"/>
      <x:c r="L37" s="263"/>
    </x:row>
    <x:row r="38" ht="20" customHeight="1">
      <x:c r="A38" s="41" t="str">
        <x:v>Ekonomi 1 lokasi dan 4 lokasi</x:v>
      </x:c>
      <x:c r="B38" s="41"/>
      <x:c r="C38" s="41"/>
      <x:c r="D38" s="41"/>
      <x:c r="E38" s="41"/>
      <x:c r="F38" s="263"/>
      <x:c r="G38" s="263"/>
      <x:c r="H38" s="263"/>
      <x:c r="I38" s="263"/>
      <x:c r="J38" s="263"/>
      <x:c r="K38" s="263"/>
      <x:c r="L38" s="263"/>
    </x:row>
    <x:row r="39" ht="30" customHeight="1">
      <x:c r="A39" s="34" t="str">
        <x:v>Ukuran</x:v>
      </x:c>
      <x:c r="B39" s="35" t="str">
        <x:v>1 lokasi</x:v>
      </x:c>
      <x:c r="C39" s="35" t="str">
        <x:v>4 lokasi</x:v>
      </x:c>
      <x:c r="D39" s="35" t="str">
        <x:v>Selisih</x:v>
      </x:c>
      <x:c r="E39" s="36" t="str">
        <x:v>Makna</x:v>
      </x:c>
      <x:c r="F39" s="263"/>
      <x:c r="G39" s="263"/>
      <x:c r="H39" s="263"/>
      <x:c r="I39" s="263"/>
      <x:c r="J39" s="263"/>
      <x:c r="K39" s="263"/>
      <x:c r="L39" s="263"/>
    </x:row>
    <x:row r="40">
      <x:c r="A40" s="263" t="str">
        <x:v>Investasi awal</x:v>
      </x:c>
      <x:c r="B40" s="271" t="n">
        <x:f>'12_Scenario_1v4'!$B$5</x:f>
        <x:v>14516740480</x:v>
      </x:c>
      <x:c r="C40" s="271" t="n">
        <x:f>'12_Scenario_1v4'!$C$5</x:f>
        <x:v>23084537170.992</x:v>
      </x:c>
      <x:c r="D40" s="271" t="n">
        <x:f>C40-B40</x:f>
        <x:v>8567796690.992001</x:v>
      </x:c>
      <x:c r="E40" s="263" t="str">
        <x:v>Duplikasi sarana</x:v>
      </x:c>
      <x:c r="F40" s="263"/>
      <x:c r="G40" s="263"/>
      <x:c r="H40" s="263"/>
      <x:c r="I40" s="263"/>
      <x:c r="J40" s="263"/>
      <x:c r="K40" s="263"/>
      <x:c r="L40" s="263"/>
    </x:row>
    <x:row r="41">
      <x:c r="A41" s="263" t="str">
        <x:v>OPEX 10 tahun</x:v>
      </x:c>
      <x:c r="B41" s="271" t="n">
        <x:f>'12_Scenario_1v4'!$B$7</x:f>
        <x:v>47361987660.59469</x:v>
      </x:c>
      <x:c r="C41" s="271" t="n">
        <x:f>'12_Scenario_1v4'!$C$7</x:f>
        <x:v>61626887202.45288</x:v>
      </x:c>
      <x:c r="D41" s="271" t="n">
        <x:f>C41-B41</x:f>
        <x:v>14264899541.858192</x:v>
      </x:c>
      <x:c r="E41" s="263" t="str">
        <x:v>Tambahan staf/logistik</x:v>
      </x:c>
      <x:c r="F41" s="263"/>
      <x:c r="G41" s="263"/>
      <x:c r="H41" s="263"/>
      <x:c r="I41" s="263"/>
      <x:c r="J41" s="263"/>
      <x:c r="K41" s="263"/>
      <x:c r="L41" s="263"/>
    </x:row>
    <x:row r="42">
      <x:c r="A42" s="263" t="str">
        <x:v>NPV</x:v>
      </x:c>
      <x:c r="B42" s="271" t="n">
        <x:f>'12_Scenario_1v4'!$B$8</x:f>
        <x:v>-12135070658.828112</x:v>
      </x:c>
      <x:c r="C42" s="271" t="n">
        <x:f>'12_Scenario_1v4'!$C$8</x:f>
        <x:v>-28806633421.928894</x:v>
      </x:c>
      <x:c r="D42" s="271" t="n">
        <x:f>C42-B42</x:f>
        <x:v>-16671562763.100782</x:v>
      </x:c>
      <x:c r="E42" s="263" t="str">
        <x:v>Hasil keputusan</x:v>
      </x:c>
      <x:c r="F42" s="263"/>
      <x:c r="G42" s="263"/>
      <x:c r="H42" s="263"/>
      <x:c r="I42" s="263"/>
      <x:c r="J42" s="263"/>
      <x:c r="K42" s="263"/>
      <x:c r="L42" s="263"/>
    </x:row>
    <x:row r="43">
      <x:c r="A43" s="263" t="str">
        <x:v>Pendanaan puncak</x:v>
      </x:c>
      <x:c r="B43" s="271" t="n">
        <x:f>'12_Scenario_1v4'!$B$11</x:f>
        <x:v>19999678358.471836</x:v>
      </x:c>
      <x:c r="C43" s="271" t="n">
        <x:f>'12_Scenario_1v4'!$C$11</x:f>
        <x:v>36884194992.285355</x:v>
      </x:c>
      <x:c r="D43" s="271" t="n">
        <x:f>C43-B43</x:f>
        <x:v>16884516633.813519</x:v>
      </x:c>
      <x:c r="E43" s="263" t="str">
        <x:v>Kebutuhan kas</x:v>
      </x:c>
      <x:c r="F43" s="263"/>
      <x:c r="G43" s="263"/>
      <x:c r="H43" s="263"/>
      <x:c r="I43" s="263"/>
      <x:c r="J43" s="263"/>
      <x:c r="K43" s="263"/>
      <x:c r="L43" s="263"/>
    </x:row>
  </x:sheetData>
  <x:mergeCells>
    <x:mergeCell ref="A1:L1"/>
    <x:mergeCell ref="A2:L2"/>
    <x:mergeCell ref="A4:L4"/>
    <x:mergeCell ref="A5:D5"/>
    <x:mergeCell ref="A6:D6"/>
    <x:mergeCell ref="A7:D7"/>
    <x:mergeCell ref="E5:H5"/>
    <x:mergeCell ref="E6:H6"/>
    <x:mergeCell ref="E7:H7"/>
    <x:mergeCell ref="I5:L5"/>
    <x:mergeCell ref="I6:L6"/>
    <x:mergeCell ref="I7:L7"/>
    <x:mergeCell ref="A9:D9"/>
    <x:mergeCell ref="A10:D10"/>
    <x:mergeCell ref="A11:D11"/>
    <x:mergeCell ref="E9:H9"/>
    <x:mergeCell ref="E10:H10"/>
    <x:mergeCell ref="E11:H11"/>
    <x:mergeCell ref="I9:L9"/>
    <x:mergeCell ref="I10:L10"/>
    <x:mergeCell ref="I11:L11"/>
    <x:mergeCell ref="A13:L13"/>
    <x:mergeCell ref="A15:F15"/>
    <x:mergeCell ref="A24:L24"/>
    <x:mergeCell ref="A38:E38"/>
  </x:mergeCells>
  <x:pageMargins left="0.7" right="0.7" top="0.75" bottom="0.75" header="0.3" footer="0.3"/>
  <x:drawing xmlns:r="http://schemas.openxmlformats.org/officeDocument/2006/relationships" r:id="R640a6a84fe2e4e8d"/>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39" hidden="0" customWidth="1"/>
    <x:col min="3" max="3" width="17" hidden="0" customWidth="1"/>
    <x:col min="4" max="4" width="19" hidden="0" customWidth="1"/>
    <x:col min="5" max="5" width="12" hidden="0" customWidth="1"/>
    <x:col min="6" max="6" width="15" hidden="0" customWidth="1"/>
    <x:col min="7" max="7" width="55" hidden="0" customWidth="1"/>
    <x:col min="8" max="8" width="12" hidden="0" customWidth="1"/>
    <x:col min="9" max="9" width="12" hidden="0" customWidth="1"/>
    <x:col min="10" max="10" width="12" hidden="0" customWidth="1"/>
    <x:col min="11" max="11" width="12" hidden="0" customWidth="1"/>
  </x:cols>
  <x:sheetData>
    <x:row r="1" ht="28" customHeight="1">
      <x:c r="A1" s="313" t="str">
        <x:v>Asumsi Model Agroforestri Terpadu</x:v>
      </x:c>
      <x:c r="B1" s="313"/>
      <x:c r="C1" s="313"/>
      <x:c r="D1" s="313"/>
      <x:c r="E1" s="313"/>
      <x:c r="F1" s="313"/>
      <x:c r="G1" s="313"/>
      <x:c r="H1" s="313"/>
      <x:c r="I1" s="313"/>
      <x:c r="J1" s="313"/>
      <x:c r="K1" s="313"/>
    </x:row>
    <x:row r="2" ht="38" customHeight="1">
      <x:c r="A2" s="7" t="str">
        <x:v>Pusat penggerak seluruh model: luas, jumlah lokasi, area efektif, harga, kepadatan, upah, inflasi, dosis, hasil, dan fase organik. Ubah hanya sel input berwarna kuning dengan angka biru; seluruh sheet lain akan menghitung ulang otomatis.</x:v>
      </x:c>
      <x:c r="B2" s="7"/>
      <x:c r="C2" s="7"/>
      <x:c r="D2" s="7"/>
      <x:c r="E2" s="7"/>
      <x:c r="F2" s="7"/>
      <x:c r="G2" s="7"/>
      <x:c r="H2" s="7"/>
      <x:c r="I2" s="7"/>
      <x:c r="J2" s="7"/>
      <x:c r="K2" s="7"/>
    </x:row>
    <x:row r="3">
      <x:c r="A3" s="261"/>
      <x:c r="B3" s="261"/>
      <x:c r="C3" s="261"/>
      <x:c r="D3" s="261"/>
      <x:c r="E3" s="261"/>
      <x:c r="F3" s="261"/>
      <x:c r="G3" s="261"/>
      <x:c r="H3" s="261"/>
      <x:c r="I3" s="261"/>
      <x:c r="J3" s="261"/>
      <x:c r="K3" s="261"/>
    </x:row>
    <x:row r="4" ht="20" customHeight="1">
      <x:c r="A4" s="10" t="str">
        <x:v>A. Proyek, finansial, dan skenario</x:v>
      </x:c>
      <x:c r="B4" s="10"/>
      <x:c r="C4" s="10"/>
      <x:c r="D4" s="10"/>
      <x:c r="E4" s="10"/>
      <x:c r="F4" s="10"/>
      <x:c r="G4" s="10"/>
      <x:c r="H4" s="261"/>
      <x:c r="I4" s="261"/>
      <x:c r="J4" s="261"/>
      <x:c r="K4" s="261"/>
    </x:row>
    <x:row r="5" ht="30" customHeight="1">
      <x:c r="A5" s="34" t="str">
        <x:v>Kelompok</x:v>
      </x:c>
      <x:c r="B5" s="35" t="str">
        <x:v>Variabel</x:v>
      </x:c>
      <x:c r="C5" s="35" t="str">
        <x:v>Nilai</x:v>
      </x:c>
      <x:c r="D5" s="35" t="str">
        <x:v>Satuan</x:v>
      </x:c>
      <x:c r="E5" s="35" t="str">
        <x:v>ID sumber</x:v>
      </x:c>
      <x:c r="F5" s="35" t="str">
        <x:v>Tingkat keyakinan</x:v>
      </x:c>
      <x:c r="G5" s="36" t="str">
        <x:v>Catatan</x:v>
      </x:c>
      <x:c r="H5" s="261"/>
      <x:c r="I5" s="261"/>
      <x:c r="J5" s="261"/>
      <x:c r="K5" s="261"/>
    </x:row>
    <x:row r="6">
      <x:c r="A6" s="263" t="str">
        <x:v>Proyek</x:v>
      </x:c>
      <x:c r="B6" s="263" t="str">
        <x:v>Luas bruto</x:v>
      </x:c>
      <x:c r="C6" s="266" t="n">
        <x:v>100</x:v>
      </x:c>
      <x:c r="D6" s="263" t="str">
        <x:v>ha</x:v>
      </x:c>
      <x:c r="E6" s="263" t="str">
        <x:v>USR</x:v>
      </x:c>
      <x:c r="F6" s="263" t="str">
        <x:v>High</x:v>
      </x:c>
      <x:c r="G6" s="263" t="str">
        <x:v>Total area yang dievaluasi</x:v>
      </x:c>
      <x:c r="H6" s="261"/>
      <x:c r="I6" s="261"/>
      <x:c r="J6" s="261"/>
      <x:c r="K6" s="261"/>
    </x:row>
    <x:row r="7">
      <x:c r="A7" s="263" t="str">
        <x:v>Proyek</x:v>
      </x:c>
      <x:c r="B7" s="263" t="str">
        <x:v>Proporsi areal efektif</x:v>
      </x:c>
      <x:c r="C7" s="272" t="n">
        <x:v>0.88</x:v>
      </x:c>
      <x:c r="D7" s="263" t="str">
        <x:v>% bruto</x:v>
      </x:c>
      <x:c r="E7" s="263" t="str">
        <x:v>ASM</x:v>
      </x:c>
      <x:c r="F7" s="263" t="str">
        <x:v>Medium</x:v>
      </x:c>
      <x:c r="G7" s="263" t="str">
        <x:v>12% untuk jalan, drainase, buffer, bangunan, nursery</x:v>
      </x:c>
      <x:c r="H7" s="261"/>
      <x:c r="I7" s="261"/>
      <x:c r="J7" s="261"/>
      <x:c r="K7" s="261"/>
    </x:row>
    <x:row r="8">
      <x:c r="A8" s="263" t="str">
        <x:v>Skenario</x:v>
      </x:c>
      <x:c r="B8" s="263" t="str">
        <x:v>Jumlah lokasi terpilih</x:v>
      </x:c>
      <x:c r="C8" s="266" t="n">
        <x:v>1</x:v>
      </x:c>
      <x:c r="D8" s="263" t="str">
        <x:v>site</x:v>
      </x:c>
      <x:c r="E8" s="263" t="str">
        <x:v>USR</x:v>
      </x:c>
      <x:c r="F8" s="263" t="str">
        <x:v>High</x:v>
      </x:c>
      <x:c r="G8" s="263" t="str">
        <x:v>Gunakan 1 atau 4; dashboard membandingkan keduanya</x:v>
      </x:c>
      <x:c r="H8" s="261"/>
      <x:c r="I8" s="261"/>
      <x:c r="J8" s="261"/>
      <x:c r="K8" s="261"/>
    </x:row>
    <x:row r="9">
      <x:c r="A9" s="263" t="str">
        <x:v>Tenaga kerja</x:v>
      </x:c>
      <x:c r="B9" s="263" t="str">
        <x:v>Hari kerja per bulan</x:v>
      </x:c>
      <x:c r="C9" s="266" t="n">
        <x:v>25</x:v>
      </x:c>
      <x:c r="D9" s="263" t="str">
        <x:v>hari</x:v>
      </x:c>
      <x:c r="E9" s="263" t="str">
        <x:v>USR</x:v>
      </x:c>
      <x:c r="F9" s="263" t="str">
        <x:v>High</x:v>
      </x:c>
      <x:c r="G9" s="263" t="str">
        <x:v>Dapat diubah menjadi 22</x:v>
      </x:c>
      <x:c r="H9" s="261"/>
      <x:c r="I9" s="261"/>
      <x:c r="J9" s="261"/>
      <x:c r="K9" s="261"/>
    </x:row>
    <x:row r="10">
      <x:c r="A10" s="263" t="str">
        <x:v>Waktu</x:v>
      </x:c>
      <x:c r="B10" s="263" t="str">
        <x:v>Tahun dasar harga</x:v>
      </x:c>
      <x:c r="C10" s="266" t="n">
        <x:v>2026</x:v>
      </x:c>
      <x:c r="D10" s="263" t="str">
        <x:v>tahun</x:v>
      </x:c>
      <x:c r="E10" s="263" t="str">
        <x:v>SYS</x:v>
      </x:c>
      <x:c r="F10" s="263" t="str">
        <x:v>High</x:v>
      </x:c>
      <x:c r="G10" s="263" t="str">
        <x:v>Nominal 2026</x:v>
      </x:c>
      <x:c r="H10" s="261"/>
      <x:c r="I10" s="261"/>
      <x:c r="J10" s="261"/>
      <x:c r="K10" s="261"/>
    </x:row>
    <x:row r="11">
      <x:c r="A11" s="263" t="str">
        <x:v>Keuangan</x:v>
      </x:c>
      <x:c r="B11" s="263" t="str">
        <x:v>Inflasi biaya</x:v>
      </x:c>
      <x:c r="C11" s="272" t="n">
        <x:v>0.04</x:v>
      </x:c>
      <x:c r="D11" s="263" t="str">
        <x:v>%/tahun</x:v>
      </x:c>
      <x:c r="E11" s="263" t="str">
        <x:v>ASM</x:v>
      </x:c>
      <x:c r="F11" s="263" t="str">
        <x:v>Medium</x:v>
      </x:c>
      <x:c r="G11" s="263" t="str">
        <x:v>Asumsi perencanaan; bukan forecast resmi</x:v>
      </x:c>
      <x:c r="H11" s="261"/>
      <x:c r="I11" s="261"/>
      <x:c r="J11" s="261"/>
      <x:c r="K11" s="261"/>
    </x:row>
    <x:row r="12">
      <x:c r="A12" s="263" t="str">
        <x:v>Keuangan</x:v>
      </x:c>
      <x:c r="B12" s="263" t="str">
        <x:v>Eskalasi harga jual</x:v>
      </x:c>
      <x:c r="C12" s="272" t="n">
        <x:v>0.03</x:v>
      </x:c>
      <x:c r="D12" s="263" t="str">
        <x:v>%/tahun</x:v>
      </x:c>
      <x:c r="E12" s="263" t="str">
        <x:v>ASM</x:v>
      </x:c>
      <x:c r="F12" s="263" t="str">
        <x:v>Low</x:v>
      </x:c>
      <x:c r="G12" s="263" t="str">
        <x:v>Konservatif; kontrak offtake tetap diperlukan</x:v>
      </x:c>
      <x:c r="H12" s="261"/>
      <x:c r="I12" s="261"/>
      <x:c r="J12" s="261"/>
      <x:c r="K12" s="261"/>
    </x:row>
    <x:row r="13">
      <x:c r="A13" s="263" t="str">
        <x:v>Keuangan</x:v>
      </x:c>
      <x:c r="B13" s="263" t="str">
        <x:v>Tingkat diskonto</x:v>
      </x:c>
      <x:c r="C13" s="272" t="n">
        <x:v>0.12</x:v>
      </x:c>
      <x:c r="D13" s="263" t="str">
        <x:v>% nominal</x:v>
      </x:c>
      <x:c r="E13" s="263" t="str">
        <x:v>ASM</x:v>
      </x:c>
      <x:c r="F13" s="263" t="str">
        <x:v>Medium</x:v>
      </x:c>
      <x:c r="G13" s="263" t="str">
        <x:v>Untuk NPV proyek tanpa utang</x:v>
      </x:c>
      <x:c r="H13" s="261"/>
      <x:c r="I13" s="261"/>
      <x:c r="J13" s="261"/>
      <x:c r="K13" s="261"/>
    </x:row>
    <x:row r="14">
      <x:c r="A14" s="263" t="str">
        <x:v>Keuangan</x:v>
      </x:c>
      <x:c r="B14" s="263" t="str">
        <x:v>Cadangan CAPEX</x:v>
      </x:c>
      <x:c r="C14" s="272" t="n">
        <x:v>0.1</x:v>
      </x:c>
      <x:c r="D14" s="263" t="str">
        <x:v>% subtotal</x:v>
      </x:c>
      <x:c r="E14" s="263" t="str">
        <x:v>ASM</x:v>
      </x:c>
      <x:c r="F14" s="263" t="str">
        <x:v>Medium</x:v>
      </x:c>
      <x:c r="G14" s="263" t="str">
        <x:v>Tidak diterapkan pada akuisisi lahan</x:v>
      </x:c>
      <x:c r="H14" s="261"/>
      <x:c r="I14" s="261"/>
      <x:c r="J14" s="261"/>
      <x:c r="K14" s="261"/>
    </x:row>
    <x:row r="15">
      <x:c r="A15" s="263" t="str">
        <x:v>Keuangan</x:v>
      </x:c>
      <x:c r="B15" s="263" t="str">
        <x:v>Cadangan OPEX</x:v>
      </x:c>
      <x:c r="C15" s="272" t="n">
        <x:v>0.05</x:v>
      </x:c>
      <x:c r="D15" s="263" t="str">
        <x:v>% subtotal</x:v>
      </x:c>
      <x:c r="E15" s="263" t="str">
        <x:v>ASM</x:v>
      </x:c>
      <x:c r="F15" s="263" t="str">
        <x:v>Medium</x:v>
      </x:c>
      <x:c r="G15" s="263" t="str">
        <x:v>Cadangan operasional</x:v>
      </x:c>
      <x:c r="H15" s="261"/>
      <x:c r="I15" s="261"/>
      <x:c r="J15" s="261"/>
      <x:c r="K15" s="261"/>
    </x:row>
    <x:row r="16">
      <x:c r="A16" s="263" t="str">
        <x:v>Lahan</x:v>
      </x:c>
      <x:c r="B16" s="263" t="str">
        <x:v>Harga akuisisi/sewa lahan</x:v>
      </x:c>
      <x:c r="C16" s="273" t="n">
        <x:v>0</x:v>
      </x:c>
      <x:c r="D16" s="263" t="str">
        <x:v>Rp/ha</x:v>
      </x:c>
      <x:c r="E16" s="263" t="str">
        <x:v>OPEN</x:v>
      </x:c>
      <x:c r="F16" s="263" t="str">
        <x:v>Low</x:v>
      </x:c>
      <x:c r="G16" s="263" t="str">
        <x:v>Dikosongkan: wajib diisi setelah title &amp; valuation due diligence</x:v>
      </x:c>
      <x:c r="H16" s="261"/>
      <x:c r="I16" s="261"/>
      <x:c r="J16" s="261"/>
      <x:c r="K16" s="261"/>
    </x:row>
    <x:row r="17">
      <x:c r="A17" s="263" t="str">
        <x:v>Organik</x:v>
      </x:c>
      <x:c r="B17" s="263" t="str">
        <x:v>Lama fase input sintetis</x:v>
      </x:c>
      <x:c r="C17" s="266" t="n">
        <x:v>2</x:v>
      </x:c>
      <x:c r="D17" s="263" t="str">
        <x:v>tahun</x:v>
      </x:c>
      <x:c r="E17" s="263" t="str">
        <x:v>USR</x:v>
      </x:c>
      <x:c r="F17" s="263" t="str">
        <x:v>Medium</x:v>
      </x:c>
      <x:c r="G17" s="263" t="str">
        <x:v>Urea/ZA/SP-36/KCl/NPK dan pestisida sintetis berhenti setelah tahun ini</x:v>
      </x:c>
      <x:c r="H17" s="261"/>
      <x:c r="I17" s="261"/>
      <x:c r="J17" s="261"/>
      <x:c r="K17" s="261"/>
    </x:row>
    <x:row r="18">
      <x:c r="A18" s="263" t="str">
        <x:v>Organik</x:v>
      </x:c>
      <x:c r="B18" s="263" t="str">
        <x:v>Masa konversi organik</x:v>
      </x:c>
      <x:c r="C18" s="266" t="n">
        <x:v>3</x:v>
      </x:c>
      <x:c r="D18" s="263" t="str">
        <x:v>tahun</x:v>
      </x:c>
      <x:c r="E18" s="263" t="str">
        <x:v>LSO</x:v>
      </x:c>
      <x:c r="F18" s="263" t="str">
        <x:v>Medium</x:v>
      </x:c>
      <x:c r="G18" s="263" t="str">
        <x:v>Konfirmasi tertulis dengan LSO berdasarkan riwayat lahan</x:v>
      </x:c>
      <x:c r="H18" s="261"/>
      <x:c r="I18" s="261"/>
      <x:c r="J18" s="261"/>
      <x:c r="K18" s="261"/>
    </x:row>
    <x:row r="19">
      <x:c r="A19" s="263" t="str">
        <x:v>Pendapatan</x:v>
      </x:c>
      <x:c r="B19" s="263" t="str">
        <x:v>Premi harga organik</x:v>
      </x:c>
      <x:c r="C19" s="272" t="n">
        <x:v>0</x:v>
      </x:c>
      <x:c r="D19" s="263" t="str">
        <x:v>%</x:v>
      </x:c>
      <x:c r="E19" s="263" t="str">
        <x:v>ASM</x:v>
      </x:c>
      <x:c r="F19" s="263" t="str">
        <x:v>Low</x:v>
      </x:c>
      <x:c r="G19" s="263" t="str">
        <x:v>Tidak diasumsikan sebelum ada kontrak pembeli</x:v>
      </x:c>
      <x:c r="H19" s="261"/>
      <x:c r="I19" s="261"/>
      <x:c r="J19" s="261"/>
      <x:c r="K19" s="261"/>
    </x:row>
    <x:row r="20">
      <x:c r="A20" s="263"/>
      <x:c r="B20" s="263"/>
      <x:c r="C20" s="263"/>
      <x:c r="D20" s="263"/>
      <x:c r="E20" s="263"/>
      <x:c r="F20" s="263"/>
      <x:c r="G20" s="263"/>
      <x:c r="H20" s="261"/>
      <x:c r="I20" s="261"/>
      <x:c r="J20" s="261"/>
      <x:c r="K20" s="261"/>
    </x:row>
    <x:row r="21">
      <x:c r="A21" s="263"/>
      <x:c r="B21" s="263"/>
      <x:c r="C21" s="263"/>
      <x:c r="D21" s="263"/>
      <x:c r="E21" s="263"/>
      <x:c r="F21" s="263"/>
      <x:c r="G21" s="263"/>
      <x:c r="H21" s="261"/>
      <x:c r="I21" s="261"/>
      <x:c r="J21" s="261"/>
      <x:c r="K21" s="261"/>
    </x:row>
    <x:row r="22" ht="20" customHeight="1">
      <x:c r="A22" s="316" t="str">
        <x:v>B. Matriks tanam agroforestri terpadu — tanpa blok komoditas</x:v>
      </x:c>
      <x:c r="B22" s="316"/>
      <x:c r="C22" s="316"/>
      <x:c r="D22" s="316"/>
      <x:c r="E22" s="316"/>
      <x:c r="F22" s="316"/>
      <x:c r="G22" s="316"/>
      <x:c r="H22" s="261"/>
      <x:c r="I22" s="261"/>
      <x:c r="J22" s="261"/>
      <x:c r="K22" s="261"/>
    </x:row>
    <x:row r="23" ht="32" customHeight="1">
      <x:c r="A23" s="320" t="str">
        <x:v>Kelompok</x:v>
      </x:c>
      <x:c r="B23" s="321" t="str">
        <x:v>Variabel</x:v>
      </x:c>
      <x:c r="C23" s="321" t="str">
        <x:v>Nilai</x:v>
      </x:c>
      <x:c r="D23" s="321" t="str">
        <x:v>Satuan</x:v>
      </x:c>
      <x:c r="E23" s="321" t="str">
        <x:v>ID sumber</x:v>
      </x:c>
      <x:c r="F23" s="321" t="str">
        <x:v>Tingkat keyakinan</x:v>
      </x:c>
      <x:c r="G23" s="322" t="str">
        <x:v>Catatan</x:v>
      </x:c>
      <x:c r="H23" s="261"/>
      <x:c r="I23" s="261"/>
      <x:c r="J23" s="261"/>
      <x:c r="K23" s="261"/>
    </x:row>
    <x:row r="24">
      <x:c r="A24" s="263" t="str">
        <x:v>Area</x:v>
      </x:c>
      <x:c r="B24" s="263" t="str">
        <x:v>Areal agroforestri efektif</x:v>
      </x:c>
      <x:c r="C24" s="325" t="n">
        <x:f>$C$6*$C$7</x:f>
        <x:v>88</x:v>
      </x:c>
      <x:c r="D24" s="263" t="str">
        <x:v>ha efektif</x:v>
      </x:c>
      <x:c r="E24" s="263" t="str">
        <x:v>RUMUS</x:v>
      </x:c>
      <x:c r="F24" s="263" t="str">
        <x:v>Tinggi</x:v>
      </x:c>
      <x:c r="G24" s="263" t="str">
        <x:v>Seluruh tanaman utama dan tanaman sela berada pada matriks areal yang sama</x:v>
      </x:c>
      <x:c r="H24" s="261"/>
      <x:c r="I24" s="261"/>
      <x:c r="J24" s="261"/>
      <x:c r="K24" s="261"/>
    </x:row>
    <x:row r="25">
      <x:c r="A25" s="263" t="str">
        <x:v>Area</x:v>
      </x:c>
      <x:c r="B25" s="263" t="str">
        <x:v>Jalan, sempadan, sarana, dan area non-tanam</x:v>
      </x:c>
      <x:c r="C25" s="324" t="n">
        <x:f>$C$6-$C$24</x:f>
        <x:v>12</x:v>
      </x:c>
      <x:c r="D25" s="263" t="str">
        <x:v>ha</x:v>
      </x:c>
      <x:c r="E25" s="263" t="str">
        <x:v>RUMUS</x:v>
      </x:c>
      <x:c r="F25" s="263" t="str">
        <x:v>Tinggi</x:v>
      </x:c>
      <x:c r="G25" s="263" t="str">
        <x:v>Luas bruto dikurangi areal agroforestri efektif</x:v>
      </x:c>
      <x:c r="H25" s="261"/>
      <x:c r="I25" s="261"/>
      <x:c r="J25" s="261"/>
      <x:c r="K25" s="261"/>
    </x:row>
    <x:row r="26">
      <x:c r="A26" s="263" t="str">
        <x:v>Kerapatan</x:v>
      </x:c>
      <x:c r="B26" s="263" t="str">
        <x:v>Kelapa genjah terpadu</x:v>
      </x:c>
      <x:c r="C26" s="330" t="n">
        <x:v>83</x:v>
      </x:c>
      <x:c r="D26" s="263" t="str">
        <x:v>pohon/ha efektif</x:v>
      </x:c>
      <x:c r="E26" s="263" t="str">
        <x:v>DES</x:v>
      </x:c>
      <x:c r="F26" s="263" t="str">
        <x:v>Sedang</x:v>
      </x:c>
      <x:c r="G26" s="263" t="str">
        <x:v>Tersebar dalam lorong mengikuti kontur dan ruang tajuk dewasa</x:v>
      </x:c>
      <x:c r="H26" s="261"/>
      <x:c r="I26" s="261"/>
      <x:c r="J26" s="261"/>
      <x:c r="K26" s="261"/>
    </x:row>
    <x:row r="27">
      <x:c r="A27" s="263" t="str">
        <x:v>Kerapatan</x:v>
      </x:c>
      <x:c r="B27" s="263" t="str">
        <x:v>Durian okulasi terpadu</x:v>
      </x:c>
      <x:c r="C27" s="330" t="n">
        <x:v>30</x:v>
      </x:c>
      <x:c r="D27" s="263" t="str">
        <x:v>pohon/ha efektif</x:v>
      </x:c>
      <x:c r="E27" s="263" t="str">
        <x:v>DES</x:v>
      </x:c>
      <x:c r="F27" s="263" t="str">
        <x:v>Sedang</x:v>
      </x:c>
      <x:c r="G27" s="263" t="str">
        <x:v>Campuran varietas untuk penyerbukan dan sebaran risiko</x:v>
      </x:c>
      <x:c r="H27" s="261"/>
      <x:c r="I27" s="261"/>
      <x:c r="J27" s="261"/>
      <x:c r="K27" s="261"/>
    </x:row>
    <x:row r="28">
      <x:c r="A28" s="263" t="str">
        <x:v>Kerapatan</x:v>
      </x:c>
      <x:c r="B28" s="263" t="str">
        <x:v>Pisang awal terpadu</x:v>
      </x:c>
      <x:c r="C28" s="330" t="n">
        <x:v>500</x:v>
      </x:c>
      <x:c r="D28" s="263" t="str">
        <x:v>rumpun/ha efektif</x:v>
      </x:c>
      <x:c r="E28" s="263" t="str">
        <x:v>S02</x:v>
      </x:c>
      <x:c r="F28" s="263" t="str">
        <x:v>Sedang</x:v>
      </x:c>
      <x:c r="G28" s="263" t="str">
        <x:v>Dikurangi bertahap ketika tajuk permanen menutup</x:v>
      </x:c>
      <x:c r="H28" s="261"/>
      <x:c r="I28" s="261"/>
      <x:c r="J28" s="261"/>
      <x:c r="K28" s="261"/>
    </x:row>
    <x:row r="29">
      <x:c r="A29" s="263" t="str">
        <x:v>Kerapatan</x:v>
      </x:c>
      <x:c r="B29" s="263" t="str">
        <x:v>Gamal terpadu</x:v>
      </x:c>
      <x:c r="C29" s="330" t="n">
        <x:v>150</x:v>
      </x:c>
      <x:c r="D29" s="263" t="str">
        <x:v>stek/ha efektif</x:v>
      </x:c>
      <x:c r="E29" s="263" t="str">
        <x:v>DES</x:v>
      </x:c>
      <x:c r="F29" s="263" t="str">
        <x:v>Sedang</x:v>
      </x:c>
      <x:c r="G29" s="263" t="str">
        <x:v>Pagar hidup, biomassa, dan pengikat nitrogen</x:v>
      </x:c>
      <x:c r="H29" s="261"/>
      <x:c r="I29" s="261"/>
      <x:c r="J29" s="261"/>
      <x:c r="K29" s="261"/>
    </x:row>
    <x:row r="30">
      <x:c r="A30" s="263" t="str">
        <x:v>Kerapatan</x:v>
      </x:c>
      <x:c r="B30" s="263" t="str">
        <x:v>Indigofera terpadu</x:v>
      </x:c>
      <x:c r="C30" s="330" t="n">
        <x:v>300</x:v>
      </x:c>
      <x:c r="D30" s="263" t="str">
        <x:v>bibit/ha efektif</x:v>
      </x:c>
      <x:c r="E30" s="263" t="str">
        <x:v>DES</x:v>
      </x:c>
      <x:c r="F30" s="263" t="str">
        <x:v>Sedang</x:v>
      </x:c>
      <x:c r="G30" s="263" t="str">
        <x:v>Biomassa dan habitat; perlu pemangkasan</x:v>
      </x:c>
      <x:c r="H30" s="261"/>
      <x:c r="I30" s="261"/>
      <x:c r="J30" s="261"/>
      <x:c r="K30" s="261"/>
    </x:row>
    <x:row r="31">
      <x:c r="A31" s="263" t="str">
        <x:v>Kerapatan</x:v>
      </x:c>
      <x:c r="B31" s="263" t="str">
        <x:v>Serai wangi terpadu</x:v>
      </x:c>
      <x:c r="C31" s="330" t="n">
        <x:v>400</x:v>
      </x:c>
      <x:c r="D31" s="263" t="str">
        <x:v>anakan/ha efektif</x:v>
      </x:c>
      <x:c r="E31" s="263" t="str">
        <x:v>DES</x:v>
      </x:c>
      <x:c r="F31" s="263" t="str">
        <x:v>Sedang</x:v>
      </x:c>
      <x:c r="G31" s="263" t="str">
        <x:v>Strip kontur dan tepi; bukan jaminan pengendalian hama</x:v>
      </x:c>
      <x:c r="H31" s="261"/>
      <x:c r="I31" s="261"/>
      <x:c r="J31" s="261"/>
      <x:c r="K31" s="261"/>
    </x:row>
    <x:row r="32">
      <x:c r="A32" s="263" t="str">
        <x:v>Ekologi</x:v>
      </x:c>
      <x:c r="B32" s="263" t="str">
        <x:v>Proporsi penutup tanah hidup</x:v>
      </x:c>
      <x:c r="C32" s="331" t="n">
        <x:v>0.65</x:v>
      </x:c>
      <x:c r="D32" s="263" t="str">
        <x:v>% areal efektif</x:v>
      </x:c>
      <x:c r="E32" s="263" t="str">
        <x:v>DES</x:v>
      </x:c>
      <x:c r="F32" s="263" t="str">
        <x:v>Rendah</x:v>
      </x:c>
      <x:c r="G32" s="263" t="str">
        <x:v>Arachis, kacang tunggak, Crotalaria atau campuran setempat</x:v>
      </x:c>
      <x:c r="H32" s="261"/>
      <x:c r="I32" s="261"/>
      <x:c r="J32" s="261"/>
      <x:c r="K32" s="261"/>
    </x:row>
    <x:row r="33">
      <x:c r="A33" s="263" t="str">
        <x:v>Ekologi</x:v>
      </x:c>
      <x:c r="B33" s="263" t="str">
        <x:v>Proporsi strip biodiversitas</x:v>
      </x:c>
      <x:c r="C33" s="331" t="n">
        <x:v>0.02</x:v>
      </x:c>
      <x:c r="D33" s="263" t="str">
        <x:v>% areal efektif</x:v>
      </x:c>
      <x:c r="E33" s="263" t="str">
        <x:v>DES</x:v>
      </x:c>
      <x:c r="F33" s="263" t="str">
        <x:v>Rendah</x:v>
      </x:c>
      <x:c r="G33" s="263" t="str">
        <x:v>Tanaman berbunga bertahap di lorong dan margin</x:v>
      </x:c>
      <x:c r="H33" s="261"/>
      <x:c r="I33" s="261"/>
      <x:c r="J33" s="261"/>
      <x:c r="K33" s="261"/>
    </x:row>
    <x:row r="34">
      <x:c r="A34" s="263" t="str">
        <x:v>Pengadaan</x:v>
      </x:c>
      <x:c r="B34" s="263" t="str">
        <x:v>Cadangan bibit dan sulaman</x:v>
      </x:c>
      <x:c r="C34" s="331" t="n">
        <x:v>0.1</x:v>
      </x:c>
      <x:c r="D34" s="263" t="str">
        <x:v>% kebutuhan</x:v>
      </x:c>
      <x:c r="E34" s="263" t="str">
        <x:v>S13</x:v>
      </x:c>
      <x:c r="F34" s="263" t="str">
        <x:v>Sedang</x:v>
      </x:c>
      <x:c r="G34" s="263" t="str">
        <x:v>Jumlah dibeli di atas populasi lapangan</x:v>
      </x:c>
      <x:c r="H34" s="261"/>
      <x:c r="I34" s="261"/>
      <x:c r="J34" s="261"/>
      <x:c r="K34" s="261"/>
    </x:row>
    <x:row r="35">
      <x:c r="A35" s="263" t="str">
        <x:v>Desain</x:v>
      </x:c>
      <x:c r="B35" s="263" t="str">
        <x:v>Porsi lorong untuk opsi tanaman sela komersial</x:v>
      </x:c>
      <x:c r="C35" s="331" t="n">
        <x:v>0.1</x:v>
      </x:c>
      <x:c r="D35" s="263" t="str">
        <x:v>% areal efektif</x:v>
      </x:c>
      <x:c r="E35" s="263" t="str">
        <x:v>DES</x:v>
      </x:c>
      <x:c r="F35" s="263" t="str">
        <x:v>Rendah</x:v>
      </x:c>
      <x:c r="G35" s="263" t="str">
        <x:v>Nanas/komoditas tambahan hanya ditempatkan pada lorong yang cukup cahaya</x:v>
      </x:c>
      <x:c r="H35" s="261"/>
      <x:c r="I35" s="261"/>
      <x:c r="J35" s="261"/>
      <x:c r="K35" s="261"/>
    </x:row>
    <x:row r="36">
      <x:c r="A36" s="263"/>
      <x:c r="B36" s="263"/>
      <x:c r="C36" s="263"/>
      <x:c r="D36" s="263"/>
      <x:c r="E36" s="263"/>
      <x:c r="F36" s="263"/>
      <x:c r="G36" s="263"/>
      <x:c r="H36" s="261"/>
      <x:c r="I36" s="261"/>
      <x:c r="J36" s="261"/>
      <x:c r="K36" s="261"/>
    </x:row>
    <x:row r="37">
      <x:c r="A37" s="263"/>
      <x:c r="B37" s="263"/>
      <x:c r="C37" s="263"/>
      <x:c r="D37" s="263"/>
      <x:c r="E37" s="263"/>
      <x:c r="F37" s="263"/>
      <x:c r="G37" s="263"/>
      <x:c r="H37" s="261"/>
      <x:c r="I37" s="261"/>
      <x:c r="J37" s="261"/>
      <x:c r="K37" s="261"/>
    </x:row>
    <x:row r="38" ht="20" customHeight="1">
      <x:c r="A38" s="41" t="str">
        <x:v>C. Survival, marketable yield, dan harga jual</x:v>
      </x:c>
      <x:c r="B38" s="41"/>
      <x:c r="C38" s="41"/>
      <x:c r="D38" s="41"/>
      <x:c r="E38" s="41"/>
      <x:c r="F38" s="41"/>
      <x:c r="G38" s="41"/>
      <x:c r="H38" s="261"/>
      <x:c r="I38" s="261"/>
      <x:c r="J38" s="261"/>
      <x:c r="K38" s="261"/>
    </x:row>
    <x:row r="39" ht="30" customHeight="1">
      <x:c r="A39" s="34" t="str">
        <x:v>Kelompok</x:v>
      </x:c>
      <x:c r="B39" s="35" t="str">
        <x:v>Input</x:v>
      </x:c>
      <x:c r="C39" s="35" t="str">
        <x:v>Nilai</x:v>
      </x:c>
      <x:c r="D39" s="35" t="str">
        <x:v>Unit</x:v>
      </x:c>
      <x:c r="E39" s="35" t="str">
        <x:v>Source ID</x:v>
      </x:c>
      <x:c r="F39" s="35" t="str">
        <x:v>Confidence</x:v>
      </x:c>
      <x:c r="G39" s="36" t="str">
        <x:v>Catatan</x:v>
      </x:c>
      <x:c r="H39" s="261"/>
      <x:c r="I39" s="261"/>
      <x:c r="J39" s="261"/>
      <x:c r="K39" s="261"/>
    </x:row>
    <x:row r="40">
      <x:c r="A40" s="263" t="str">
        <x:v>Survival</x:v>
      </x:c>
      <x:c r="B40" s="263" t="str">
        <x:v>Kelapa setelah sulaman</x:v>
      </x:c>
      <x:c r="C40" s="272" t="n">
        <x:v>0.95</x:v>
      </x:c>
      <x:c r="D40" s="263" t="str">
        <x:v>%</x:v>
      </x:c>
      <x:c r="E40" s="263" t="str">
        <x:v>ASM</x:v>
      </x:c>
      <x:c r="F40" s="263" t="str">
        <x:v>Medium</x:v>
      </x:c>
      <x:c r="G40" s="263" t="str">
        <x:v>Target sesudah gap filling tahun pertama</x:v>
      </x:c>
      <x:c r="H40" s="261"/>
      <x:c r="I40" s="261"/>
      <x:c r="J40" s="261"/>
      <x:c r="K40" s="261"/>
    </x:row>
    <x:row r="41">
      <x:c r="A41" s="263" t="str">
        <x:v>Survival</x:v>
      </x:c>
      <x:c r="B41" s="263" t="str">
        <x:v>Durian setelah sulaman</x:v>
      </x:c>
      <x:c r="C41" s="272" t="n">
        <x:v>0.9</x:v>
      </x:c>
      <x:c r="D41" s="263" t="str">
        <x:v>%</x:v>
      </x:c>
      <x:c r="E41" s="263" t="str">
        <x:v>ASM</x:v>
      </x:c>
      <x:c r="F41" s="263" t="str">
        <x:v>Medium</x:v>
      </x:c>
      <x:c r="G41" s="263" t="str">
        <x:v>Drainase dan Phytophthora menentukan</x:v>
      </x:c>
      <x:c r="H41" s="261"/>
      <x:c r="I41" s="261"/>
      <x:c r="J41" s="261"/>
      <x:c r="K41" s="261"/>
    </x:row>
    <x:row r="42">
      <x:c r="A42" s="263" t="str">
        <x:v>Survival</x:v>
      </x:c>
      <x:c r="B42" s="263" t="str">
        <x:v>Pisang</x:v>
      </x:c>
      <x:c r="C42" s="272" t="n">
        <x:v>0.92</x:v>
      </x:c>
      <x:c r="D42" s="263" t="str">
        <x:v>%</x:v>
      </x:c>
      <x:c r="E42" s="263" t="str">
        <x:v>ASM</x:v>
      </x:c>
      <x:c r="F42" s="263" t="str">
        <x:v>Medium</x:v>
      </x:c>
      <x:c r="G42" s="263" t="str">
        <x:v>Bibit kultur jaringan + biosecurity</x:v>
      </x:c>
      <x:c r="H42" s="261"/>
      <x:c r="I42" s="261"/>
      <x:c r="J42" s="261"/>
      <x:c r="K42" s="261"/>
    </x:row>
    <x:row r="43">
      <x:c r="A43" s="263" t="str">
        <x:v>Packout</x:v>
      </x:c>
      <x:c r="B43" s="263" t="str">
        <x:v>Kelapa marketable</x:v>
      </x:c>
      <x:c r="C43" s="272" t="n">
        <x:v>0.9</x:v>
      </x:c>
      <x:c r="D43" s="263" t="str">
        <x:v>%</x:v>
      </x:c>
      <x:c r="E43" s="263" t="str">
        <x:v>ASM</x:v>
      </x:c>
      <x:c r="F43" s="263" t="str">
        <x:v>Low</x:v>
      </x:c>
      <x:c r="G43" s="263" t="str">
        <x:v>Setelah sortasi</x:v>
      </x:c>
      <x:c r="H43" s="261"/>
      <x:c r="I43" s="261"/>
      <x:c r="J43" s="261"/>
      <x:c r="K43" s="261"/>
    </x:row>
    <x:row r="44">
      <x:c r="A44" s="263" t="str">
        <x:v>Packout</x:v>
      </x:c>
      <x:c r="B44" s="263" t="str">
        <x:v>Durian marketable</x:v>
      </x:c>
      <x:c r="C44" s="272" t="n">
        <x:v>0.85</x:v>
      </x:c>
      <x:c r="D44" s="263" t="str">
        <x:v>%</x:v>
      </x:c>
      <x:c r="E44" s="263" t="str">
        <x:v>ASM</x:v>
      </x:c>
      <x:c r="F44" s="263" t="str">
        <x:v>Low</x:v>
      </x:c>
      <x:c r="G44" s="263" t="str">
        <x:v>Gradeable fruit</x:v>
      </x:c>
      <x:c r="H44" s="261"/>
      <x:c r="I44" s="261"/>
      <x:c r="J44" s="261"/>
      <x:c r="K44" s="261"/>
    </x:row>
    <x:row r="45">
      <x:c r="A45" s="263" t="str">
        <x:v>Packout</x:v>
      </x:c>
      <x:c r="B45" s="263" t="str">
        <x:v>Pisang marketable</x:v>
      </x:c>
      <x:c r="C45" s="272" t="n">
        <x:v>0.85</x:v>
      </x:c>
      <x:c r="D45" s="263" t="str">
        <x:v>%</x:v>
      </x:c>
      <x:c r="E45" s="263" t="str">
        <x:v>ASM</x:v>
      </x:c>
      <x:c r="F45" s="263" t="str">
        <x:v>Low</x:v>
      </x:c>
      <x:c r="G45" s="263" t="str">
        <x:v>Reject, damage, size loss</x:v>
      </x:c>
      <x:c r="H45" s="261"/>
      <x:c r="I45" s="261"/>
      <x:c r="J45" s="261"/>
      <x:c r="K45" s="261"/>
    </x:row>
    <x:row r="46">
      <x:c r="A46" s="263" t="str">
        <x:v>Price</x:v>
      </x:c>
      <x:c r="B46" s="263" t="str">
        <x:v>Harga kelapa farmgate</x:v>
      </x:c>
      <x:c r="C46" s="273" t="n">
        <x:v>3000</x:v>
      </x:c>
      <x:c r="D46" s="263" t="str">
        <x:v>Rp/butir</x:v>
      </x:c>
      <x:c r="E46" s="263" t="str">
        <x:v>S04</x:v>
      </x:c>
      <x:c r="F46" s="263" t="str">
        <x:v>Medium</x:v>
      </x:c>
      <x:c r="G46" s="263" t="str">
        <x:v>Tanpa premium kelapa aromatik</x:v>
      </x:c>
      <x:c r="H46" s="261"/>
      <x:c r="I46" s="261"/>
      <x:c r="J46" s="261"/>
      <x:c r="K46" s="261"/>
    </x:row>
    <x:row r="47">
      <x:c r="A47" s="263" t="str">
        <x:v>Price</x:v>
      </x:c>
      <x:c r="B47" s="263" t="str">
        <x:v>Harga durian farmgate</x:v>
      </x:c>
      <x:c r="C47" s="273" t="n">
        <x:v>35000</x:v>
      </x:c>
      <x:c r="D47" s="263" t="str">
        <x:v>Rp/kg</x:v>
      </x:c>
      <x:c r="E47" s="263" t="str">
        <x:v>S06</x:v>
      </x:c>
      <x:c r="F47" s="263" t="str">
        <x:v>Low</x:v>
      </x:c>
      <x:c r="G47" s="263" t="str">
        <x:v>Base konservatif; kualitas dan musim sangat menentukan</x:v>
      </x:c>
      <x:c r="H47" s="261"/>
      <x:c r="I47" s="261"/>
      <x:c r="J47" s="261"/>
      <x:c r="K47" s="261"/>
    </x:row>
    <x:row r="48">
      <x:c r="A48" s="263" t="str">
        <x:v>Price</x:v>
      </x:c>
      <x:c r="B48" s="263" t="str">
        <x:v>Harga pisang farmgate</x:v>
      </x:c>
      <x:c r="C48" s="273" t="n">
        <x:v>6000</x:v>
      </x:c>
      <x:c r="D48" s="263" t="str">
        <x:v>Rp/kg</x:v>
      </x:c>
      <x:c r="E48" s="263" t="str">
        <x:v>S05</x:v>
      </x:c>
      <x:c r="F48" s="263" t="str">
        <x:v>Medium</x:v>
      </x:c>
      <x:c r="G48" s="263" t="str">
        <x:v>Benchmark Cavendish di tingkat kebun</x:v>
      </x:c>
      <x:c r="H48" s="261"/>
      <x:c r="I48" s="261"/>
      <x:c r="J48" s="261"/>
      <x:c r="K48" s="261"/>
    </x:row>
    <x:row r="49">
      <x:c r="A49" s="263"/>
      <x:c r="B49" s="263"/>
      <x:c r="C49" s="263"/>
      <x:c r="D49" s="263"/>
      <x:c r="E49" s="263"/>
      <x:c r="F49" s="263"/>
      <x:c r="G49" s="263"/>
      <x:c r="H49" s="261"/>
      <x:c r="I49" s="261"/>
      <x:c r="J49" s="261"/>
      <x:c r="K49" s="261"/>
    </x:row>
    <x:row r="50">
      <x:c r="A50" s="263"/>
      <x:c r="B50" s="263"/>
      <x:c r="C50" s="263"/>
      <x:c r="D50" s="263"/>
      <x:c r="E50" s="263"/>
      <x:c r="F50" s="263"/>
      <x:c r="G50" s="263"/>
      <x:c r="H50" s="261"/>
      <x:c r="I50" s="261"/>
      <x:c r="J50" s="261"/>
      <x:c r="K50" s="261"/>
    </x:row>
    <x:row r="51" ht="20" customHeight="1">
      <x:c r="A51" s="41" t="str">
        <x:v>D. Harga bibit, tenaga kerja, dan payroll</x:v>
      </x:c>
      <x:c r="B51" s="41"/>
      <x:c r="C51" s="41"/>
      <x:c r="D51" s="41"/>
      <x:c r="E51" s="41"/>
      <x:c r="F51" s="41"/>
      <x:c r="G51" s="41"/>
      <x:c r="H51" s="261"/>
      <x:c r="I51" s="261"/>
      <x:c r="J51" s="261"/>
      <x:c r="K51" s="261"/>
    </x:row>
    <x:row r="52" ht="30" customHeight="1">
      <x:c r="A52" s="34" t="str">
        <x:v>Kelompok</x:v>
      </x:c>
      <x:c r="B52" s="35" t="str">
        <x:v>Input</x:v>
      </x:c>
      <x:c r="C52" s="35" t="str">
        <x:v>Nilai</x:v>
      </x:c>
      <x:c r="D52" s="35" t="str">
        <x:v>Unit</x:v>
      </x:c>
      <x:c r="E52" s="35" t="str">
        <x:v>Source ID</x:v>
      </x:c>
      <x:c r="F52" s="35" t="str">
        <x:v>Confidence</x:v>
      </x:c>
      <x:c r="G52" s="36" t="str">
        <x:v>Catatan</x:v>
      </x:c>
      <x:c r="H52" s="261"/>
      <x:c r="I52" s="261"/>
      <x:c r="J52" s="261"/>
      <x:c r="K52" s="261"/>
    </x:row>
    <x:row r="53">
      <x:c r="A53" s="263" t="str">
        <x:v>Seedling</x:v>
      </x:c>
      <x:c r="B53" s="263" t="str">
        <x:v>Bibit kelapa genjah bersertifikat</x:v>
      </x:c>
      <x:c r="C53" s="273" t="n">
        <x:v>65000</x:v>
      </x:c>
      <x:c r="D53" s="263" t="str">
        <x:v>Rp/bibit</x:v>
      </x:c>
      <x:c r="E53" s="263" t="str">
        <x:v>S13/S15</x:v>
      </x:c>
      <x:c r="F53" s="263" t="str">
        <x:v>Low</x:v>
      </x:c>
      <x:c r="G53" s="263" t="str">
        <x:v>Allowance bulk; wajib quotation dan verifikasi varietas</x:v>
      </x:c>
      <x:c r="H53" s="261"/>
      <x:c r="I53" s="261"/>
      <x:c r="J53" s="261"/>
      <x:c r="K53" s="261"/>
    </x:row>
    <x:row r="54">
      <x:c r="A54" s="263" t="str">
        <x:v>Seedling</x:v>
      </x:c>
      <x:c r="B54" s="263" t="str">
        <x:v>Bibit durian okulasi/grafting</x:v>
      </x:c>
      <x:c r="C54" s="273" t="n">
        <x:v>75000</x:v>
      </x:c>
      <x:c r="D54" s="263" t="str">
        <x:v>Rp/bibit</x:v>
      </x:c>
      <x:c r="E54" s="263" t="str">
        <x:v>S15</x:v>
      </x:c>
      <x:c r="F54" s="263" t="str">
        <x:v>Low</x:v>
      </x:c>
      <x:c r="G54" s="263" t="str">
        <x:v>Varietas lokal unggul/Bawor; certified source</x:v>
      </x:c>
      <x:c r="H54" s="261"/>
      <x:c r="I54" s="261"/>
      <x:c r="J54" s="261"/>
      <x:c r="K54" s="261"/>
    </x:row>
    <x:row r="55">
      <x:c r="A55" s="263" t="str">
        <x:v>Seedling</x:v>
      </x:c>
      <x:c r="B55" s="263" t="str">
        <x:v>Pisang kultur jaringan</x:v>
      </x:c>
      <x:c r="C55" s="273" t="n">
        <x:v>15000</x:v>
      </x:c>
      <x:c r="D55" s="263" t="str">
        <x:v>Rp/bibit</x:v>
      </x:c>
      <x:c r="E55" s="263" t="str">
        <x:v>S16</x:v>
      </x:c>
      <x:c r="F55" s="263" t="str">
        <x:v>Medium</x:v>
      </x:c>
      <x:c r="G55" s="263" t="str">
        <x:v>Disease-free batch + acclimatization</x:v>
      </x:c>
      <x:c r="H55" s="261"/>
      <x:c r="I55" s="261"/>
      <x:c r="J55" s="261"/>
      <x:c r="K55" s="261"/>
    </x:row>
    <x:row r="56">
      <x:c r="A56" s="263" t="str">
        <x:v>Seedling</x:v>
      </x:c>
      <x:c r="B56" s="263" t="str">
        <x:v>Stek/bibit gamal</x:v>
      </x:c>
      <x:c r="C56" s="273" t="n">
        <x:v>2500</x:v>
      </x:c>
      <x:c r="D56" s="263" t="str">
        <x:v>Rp/unit</x:v>
      </x:c>
      <x:c r="E56" s="263" t="str">
        <x:v>S15</x:v>
      </x:c>
      <x:c r="F56" s="263" t="str">
        <x:v>Medium</x:v>
      </x:c>
      <x:c r="G56" s="263" t="str">
        <x:v>Bulk estimate</x:v>
      </x:c>
      <x:c r="H56" s="261"/>
      <x:c r="I56" s="261"/>
      <x:c r="J56" s="261"/>
      <x:c r="K56" s="261"/>
    </x:row>
    <x:row r="57">
      <x:c r="A57" s="263" t="str">
        <x:v>Seedling</x:v>
      </x:c>
      <x:c r="B57" s="263" t="str">
        <x:v>Bibit Indigofera</x:v>
      </x:c>
      <x:c r="C57" s="273" t="n">
        <x:v>3000</x:v>
      </x:c>
      <x:c r="D57" s="263" t="str">
        <x:v>Rp/unit</x:v>
      </x:c>
      <x:c r="E57" s="263" t="str">
        <x:v>S15</x:v>
      </x:c>
      <x:c r="F57" s="263" t="str">
        <x:v>Medium</x:v>
      </x:c>
      <x:c r="G57" s="263" t="str">
        <x:v>Bulk estimate</x:v>
      </x:c>
      <x:c r="H57" s="261"/>
      <x:c r="I57" s="261"/>
      <x:c r="J57" s="261"/>
      <x:c r="K57" s="261"/>
    </x:row>
    <x:row r="58">
      <x:c r="A58" s="263" t="str">
        <x:v>Seedling</x:v>
      </x:c>
      <x:c r="B58" s="263" t="str">
        <x:v>Anakan serai wangi</x:v>
      </x:c>
      <x:c r="C58" s="273" t="n">
        <x:v>1500</x:v>
      </x:c>
      <x:c r="D58" s="263" t="str">
        <x:v>Rp/unit</x:v>
      </x:c>
      <x:c r="E58" s="263" t="str">
        <x:v>S15</x:v>
      </x:c>
      <x:c r="F58" s="263" t="str">
        <x:v>Low</x:v>
      </x:c>
      <x:c r="G58" s="263" t="str">
        <x:v>Bulk nursery allowance</x:v>
      </x:c>
      <x:c r="H58" s="261"/>
      <x:c r="I58" s="261"/>
      <x:c r="J58" s="261"/>
      <x:c r="K58" s="261"/>
    </x:row>
    <x:row r="59">
      <x:c r="A59" s="263" t="str">
        <x:v>Ecology</x:v>
      </x:c>
      <x:c r="B59" s="263" t="str">
        <x:v>Cover crop &amp; insectary strip</x:v>
      </x:c>
      <x:c r="C59" s="273" t="n">
        <x:v>1200000</x:v>
      </x:c>
      <x:c r="D59" s="263" t="str">
        <x:v>Rp/ha net</x:v>
      </x:c>
      <x:c r="E59" s="263" t="str">
        <x:v>ASM</x:v>
      </x:c>
      <x:c r="F59" s="263" t="str">
        <x:v>Low</x:v>
      </x:c>
      <x:c r="G59" s="263" t="str">
        <x:v>Arachis/cowpea/Crotalaria/flowering strips</x:v>
      </x:c>
      <x:c r="H59" s="261"/>
      <x:c r="I59" s="261"/>
      <x:c r="J59" s="261"/>
      <x:c r="K59" s="261"/>
    </x:row>
    <x:row r="60">
      <x:c r="A60" s="263" t="str">
        <x:v>Labor</x:v>
      </x:c>
      <x:c r="B60" s="263" t="str">
        <x:v>Upah HOK umum (loaded)</x:v>
      </x:c>
      <x:c r="C60" s="273" t="n">
        <x:v>120000</x:v>
      </x:c>
      <x:c r="D60" s="263" t="str">
        <x:v>Rp/HOK</x:v>
      </x:c>
      <x:c r="E60" s="263" t="str">
        <x:v>S07</x:v>
      </x:c>
      <x:c r="F60" s="263" t="str">
        <x:v>Medium</x:v>
      </x:c>
      <x:c r="G60" s="263" t="str">
        <x:v>UMK/25 hari + THR/BPJS/alat makan allowance</x:v>
      </x:c>
      <x:c r="H60" s="261"/>
      <x:c r="I60" s="261"/>
      <x:c r="J60" s="261"/>
      <x:c r="K60" s="261"/>
    </x:row>
    <x:row r="61">
      <x:c r="A61" s="263" t="str">
        <x:v>Labor</x:v>
      </x:c>
      <x:c r="B61" s="263" t="str">
        <x:v>Upah HOK terampil</x:v>
      </x:c>
      <x:c r="C61" s="273" t="n">
        <x:v>180000</x:v>
      </x:c>
      <x:c r="D61" s="263" t="str">
        <x:v>Rp/HOK</x:v>
      </x:c>
      <x:c r="E61" s="263" t="str">
        <x:v>ASM</x:v>
      </x:c>
      <x:c r="F61" s="263" t="str">
        <x:v>Low</x:v>
      </x:c>
      <x:c r="G61" s="263" t="str">
        <x:v>Operator, graft handling, survey assistant</x:v>
      </x:c>
      <x:c r="H61" s="261"/>
      <x:c r="I61" s="261"/>
      <x:c r="J61" s="261"/>
      <x:c r="K61" s="261"/>
    </x:row>
    <x:row r="62">
      <x:c r="A62" s="263" t="str">
        <x:v>Labor</x:v>
      </x:c>
      <x:c r="B62" s="263" t="str">
        <x:v>UMK Banyumas 2026</x:v>
      </x:c>
      <x:c r="C62" s="273" t="n">
        <x:v>2474598.99</x:v>
      </x:c>
      <x:c r="D62" s="263" t="str">
        <x:v>Rp/bulan</x:v>
      </x:c>
      <x:c r="E62" s="263" t="str">
        <x:v>S07</x:v>
      </x:c>
      <x:c r="F62" s="263" t="str">
        <x:v>High</x:v>
      </x:c>
      <x:c r="G62" s="263" t="str">
        <x:v>Official decree</x:v>
      </x:c>
      <x:c r="H62" s="261"/>
      <x:c r="I62" s="261"/>
      <x:c r="J62" s="261"/>
      <x:c r="K62" s="261"/>
    </x:row>
    <x:row r="63">
      <x:c r="A63" s="263" t="str">
        <x:v>Payroll</x:v>
      </x:c>
      <x:c r="B63" s="263" t="str">
        <x:v>Beban THR/BPJS/benefit</x:v>
      </x:c>
      <x:c r="C63" s="272" t="n">
        <x:v>0.15</x:v>
      </x:c>
      <x:c r="D63" s="263" t="str">
        <x:v>% salary</x:v>
      </x:c>
      <x:c r="E63" s="263" t="str">
        <x:v>ASM</x:v>
      </x:c>
      <x:c r="F63" s="263" t="str">
        <x:v>Medium</x:v>
      </x:c>
      <x:c r="G63" s="263" t="str">
        <x:v>Planning allowance</x:v>
      </x:c>
      <x:c r="H63" s="261"/>
      <x:c r="I63" s="261"/>
      <x:c r="J63" s="261"/>
      <x:c r="K63" s="261"/>
    </x:row>
    <x:row r="64">
      <x:c r="A64" s="263"/>
      <x:c r="B64" s="263"/>
      <x:c r="C64" s="263"/>
      <x:c r="D64" s="263"/>
      <x:c r="E64" s="263"/>
      <x:c r="F64" s="263"/>
      <x:c r="G64" s="263"/>
      <x:c r="H64" s="261"/>
      <x:c r="I64" s="261"/>
      <x:c r="J64" s="261"/>
      <x:c r="K64" s="261"/>
    </x:row>
    <x:row r="65">
      <x:c r="A65" s="263"/>
      <x:c r="B65" s="263"/>
      <x:c r="C65" s="263"/>
      <x:c r="D65" s="263"/>
      <x:c r="E65" s="263"/>
      <x:c r="F65" s="263"/>
      <x:c r="G65" s="263"/>
      <x:c r="H65" s="261"/>
      <x:c r="I65" s="261"/>
      <x:c r="J65" s="261"/>
      <x:c r="K65" s="261"/>
    </x:row>
    <x:row r="66" ht="20" customHeight="1">
      <x:c r="A66" s="41" t="str">
        <x:v>E. Harga agri-input (delivered to farm)</x:v>
      </x:c>
      <x:c r="B66" s="41"/>
      <x:c r="C66" s="41"/>
      <x:c r="D66" s="41"/>
      <x:c r="E66" s="41"/>
      <x:c r="F66" s="41"/>
      <x:c r="G66" s="41"/>
      <x:c r="H66" s="261"/>
      <x:c r="I66" s="261"/>
      <x:c r="J66" s="261"/>
      <x:c r="K66" s="261"/>
    </x:row>
    <x:row r="67" ht="30" customHeight="1">
      <x:c r="A67" s="34" t="str">
        <x:v>Kelompok</x:v>
      </x:c>
      <x:c r="B67" s="35" t="str">
        <x:v>Input</x:v>
      </x:c>
      <x:c r="C67" s="35" t="str">
        <x:v>Nilai</x:v>
      </x:c>
      <x:c r="D67" s="35" t="str">
        <x:v>Unit</x:v>
      </x:c>
      <x:c r="E67" s="35" t="str">
        <x:v>Source ID</x:v>
      </x:c>
      <x:c r="F67" s="35" t="str">
        <x:v>Confidence</x:v>
      </x:c>
      <x:c r="G67" s="36" t="str">
        <x:v>Catatan</x:v>
      </x:c>
      <x:c r="H67" s="261"/>
      <x:c r="I67" s="261"/>
      <x:c r="J67" s="261"/>
      <x:c r="K67" s="261"/>
    </x:row>
    <x:row r="68">
      <x:c r="A68" s="263" t="str">
        <x:v>Fertilizer</x:v>
      </x:c>
      <x:c r="B68" s="263" t="str">
        <x:v>Urea non-subsidi</x:v>
      </x:c>
      <x:c r="C68" s="273" t="n">
        <x:v>8000</x:v>
      </x:c>
      <x:c r="D68" s="263" t="str">
        <x:v>Rp/kg</x:v>
      </x:c>
      <x:c r="E68" s="263" t="str">
        <x:v>S10</x:v>
      </x:c>
      <x:c r="F68" s="263" t="str">
        <x:v>Low</x:v>
      </x:c>
      <x:c r="G68" s="263" t="str">
        <x:v>Delivered allowance; procure by tender</x:v>
      </x:c>
      <x:c r="H68" s="261"/>
      <x:c r="I68" s="261"/>
      <x:c r="J68" s="261"/>
      <x:c r="K68" s="261"/>
    </x:row>
    <x:row r="69">
      <x:c r="A69" s="263" t="str">
        <x:v>Fertilizer</x:v>
      </x:c>
      <x:c r="B69" s="263" t="str">
        <x:v>ZA non-subsidi</x:v>
      </x:c>
      <x:c r="C69" s="273" t="n">
        <x:v>5000</x:v>
      </x:c>
      <x:c r="D69" s="263" t="str">
        <x:v>Rp/kg</x:v>
      </x:c>
      <x:c r="E69" s="263" t="str">
        <x:v>S10</x:v>
      </x:c>
      <x:c r="F69" s="263" t="str">
        <x:v>Low</x:v>
      </x:c>
      <x:c r="G69" s="263" t="str">
        <x:v>Delivered allowance</x:v>
      </x:c>
      <x:c r="H69" s="261"/>
      <x:c r="I69" s="261"/>
      <x:c r="J69" s="261"/>
      <x:c r="K69" s="261"/>
    </x:row>
    <x:row r="70">
      <x:c r="A70" s="263" t="str">
        <x:v>Fertilizer</x:v>
      </x:c>
      <x:c r="B70" s="263" t="str">
        <x:v>SP-36 non-subsidi</x:v>
      </x:c>
      <x:c r="C70" s="273" t="n">
        <x:v>10000</x:v>
      </x:c>
      <x:c r="D70" s="263" t="str">
        <x:v>Rp/kg</x:v>
      </x:c>
      <x:c r="E70" s="263" t="str">
        <x:v>S10</x:v>
      </x:c>
      <x:c r="F70" s="263" t="str">
        <x:v>Low</x:v>
      </x:c>
      <x:c r="G70" s="263" t="str">
        <x:v>Retail benchmark; bulk quote may differ</x:v>
      </x:c>
      <x:c r="H70" s="261"/>
      <x:c r="I70" s="261"/>
      <x:c r="J70" s="261"/>
      <x:c r="K70" s="261"/>
    </x:row>
    <x:row r="71">
      <x:c r="A71" s="263" t="str">
        <x:v>Fertilizer</x:v>
      </x:c>
      <x:c r="B71" s="263" t="str">
        <x:v>KCl/MOP</x:v>
      </x:c>
      <x:c r="C71" s="273" t="n">
        <x:v>8000</x:v>
      </x:c>
      <x:c r="D71" s="263" t="str">
        <x:v>Rp/kg</x:v>
      </x:c>
      <x:c r="E71" s="263" t="str">
        <x:v>S10</x:v>
      </x:c>
      <x:c r="F71" s="263" t="str">
        <x:v>Low</x:v>
      </x:c>
      <x:c r="G71" s="263" t="str">
        <x:v>Delivered allowance</x:v>
      </x:c>
      <x:c r="H71" s="261"/>
      <x:c r="I71" s="261"/>
      <x:c r="J71" s="261"/>
      <x:c r="K71" s="261"/>
    </x:row>
    <x:row r="72">
      <x:c r="A72" s="263" t="str">
        <x:v>Fertilizer</x:v>
      </x:c>
      <x:c r="B72" s="263" t="str">
        <x:v>Phonska/NPK 15-15-15</x:v>
      </x:c>
      <x:c r="C72" s="273" t="n">
        <x:v>10000</x:v>
      </x:c>
      <x:c r="D72" s="263" t="str">
        <x:v>Rp/kg</x:v>
      </x:c>
      <x:c r="E72" s="263" t="str">
        <x:v>S10</x:v>
      </x:c>
      <x:c r="F72" s="263" t="str">
        <x:v>Low</x:v>
      </x:c>
      <x:c r="G72" s="263" t="str">
        <x:v>Non-subsidized</x:v>
      </x:c>
      <x:c r="H72" s="261"/>
      <x:c r="I72" s="261"/>
      <x:c r="J72" s="261"/>
      <x:c r="K72" s="261"/>
    </x:row>
    <x:row r="73">
      <x:c r="A73" s="263" t="str">
        <x:v>Organic</x:v>
      </x:c>
      <x:c r="B73" s="263" t="str">
        <x:v>Kompos matang</x:v>
      </x:c>
      <x:c r="C73" s="273" t="n">
        <x:v>1000</x:v>
      </x:c>
      <x:c r="D73" s="263" t="str">
        <x:v>Rp/kg</x:v>
      </x:c>
      <x:c r="E73" s="263" t="str">
        <x:v>S11</x:v>
      </x:c>
      <x:c r="F73" s="263" t="str">
        <x:v>Low</x:v>
      </x:c>
      <x:c r="G73" s="263" t="str">
        <x:v>Rp1,000,000/t delivered</x:v>
      </x:c>
      <x:c r="H73" s="261"/>
      <x:c r="I73" s="261"/>
      <x:c r="J73" s="261"/>
      <x:c r="K73" s="261"/>
    </x:row>
    <x:row r="74">
      <x:c r="A74" s="263" t="str">
        <x:v>Organic</x:v>
      </x:c>
      <x:c r="B74" s="263" t="str">
        <x:v>Pupuk kandang terfermentasi</x:v>
      </x:c>
      <x:c r="C74" s="273" t="n">
        <x:v>900</x:v>
      </x:c>
      <x:c r="D74" s="263" t="str">
        <x:v>Rp/kg</x:v>
      </x:c>
      <x:c r="E74" s="263" t="str">
        <x:v>S11</x:v>
      </x:c>
      <x:c r="F74" s="263" t="str">
        <x:v>Low</x:v>
      </x:c>
      <x:c r="G74" s="263" t="str">
        <x:v>Bulk only; verify maturity/pathogen</x:v>
      </x:c>
      <x:c r="H74" s="261"/>
      <x:c r="I74" s="261"/>
      <x:c r="J74" s="261"/>
      <x:c r="K74" s="261"/>
    </x:row>
    <x:row r="75">
      <x:c r="A75" s="263" t="str">
        <x:v>Amendment</x:v>
      </x:c>
      <x:c r="B75" s="263" t="str">
        <x:v>Dolomit</x:v>
      </x:c>
      <x:c r="C75" s="273" t="n">
        <x:v>1500</x:v>
      </x:c>
      <x:c r="D75" s="263" t="str">
        <x:v>Rp/kg</x:v>
      </x:c>
      <x:c r="E75" s="263" t="str">
        <x:v>ASM</x:v>
      </x:c>
      <x:c r="F75" s="263" t="str">
        <x:v>Low</x:v>
      </x:c>
      <x:c r="G75" s="263" t="str">
        <x:v>Only after lime requirement test</x:v>
      </x:c>
      <x:c r="H75" s="261"/>
      <x:c r="I75" s="261"/>
      <x:c r="J75" s="261"/>
      <x:c r="K75" s="261"/>
    </x:row>
    <x:row r="76">
      <x:c r="A76" s="263" t="str">
        <x:v>Organic</x:v>
      </x:c>
      <x:c r="B76" s="263" t="str">
        <x:v>Rock phosphate</x:v>
      </x:c>
      <x:c r="C76" s="273" t="n">
        <x:v>3000</x:v>
      </x:c>
      <x:c r="D76" s="263" t="str">
        <x:v>Rp/kg</x:v>
      </x:c>
      <x:c r="E76" s="263" t="str">
        <x:v>ASM</x:v>
      </x:c>
      <x:c r="F76" s="263" t="str">
        <x:v>Low</x:v>
      </x:c>
      <x:c r="G76" s="263" t="str">
        <x:v>Must be accepted by LSO</x:v>
      </x:c>
      <x:c r="H76" s="261"/>
      <x:c r="I76" s="261"/>
      <x:c r="J76" s="261"/>
      <x:c r="K76" s="261"/>
    </x:row>
    <x:row r="77">
      <x:c r="A77" s="263" t="str">
        <x:v>Organic</x:v>
      </x:c>
      <x:c r="B77" s="263" t="str">
        <x:v>K/Mg mineral input approved</x:v>
      </x:c>
      <x:c r="C77" s="273" t="n">
        <x:v>8000</x:v>
      </x:c>
      <x:c r="D77" s="263" t="str">
        <x:v>Rp/kg</x:v>
      </x:c>
      <x:c r="E77" s="263" t="str">
        <x:v>ASM</x:v>
      </x:c>
      <x:c r="F77" s="263" t="str">
        <x:v>Low</x:v>
      </x:c>
      <x:c r="G77" s="263" t="str">
        <x:v>Final product only with LSO approval</x:v>
      </x:c>
      <x:c r="H77" s="261"/>
      <x:c r="I77" s="261"/>
      <x:c r="J77" s="261"/>
      <x:c r="K77" s="261"/>
    </x:row>
    <x:row r="78">
      <x:c r="A78" s="263" t="str">
        <x:v>Biological</x:v>
      </x:c>
      <x:c r="B78" s="263" t="str">
        <x:v>Trichoderma/Gliocladium</x:v>
      </x:c>
      <x:c r="C78" s="273" t="n">
        <x:v>35000</x:v>
      </x:c>
      <x:c r="D78" s="263" t="str">
        <x:v>Rp/kg</x:v>
      </x:c>
      <x:c r="E78" s="263" t="str">
        <x:v>S02</x:v>
      </x:c>
      <x:c r="F78" s="263" t="str">
        <x:v>Low</x:v>
      </x:c>
      <x:c r="G78" s="263" t="str">
        <x:v>Cultured carrier/compost formulation</x:v>
      </x:c>
      <x:c r="H78" s="261"/>
      <x:c r="I78" s="261"/>
      <x:c r="J78" s="261"/>
      <x:c r="K78" s="261"/>
    </x:row>
    <x:row r="79">
      <x:c r="A79" s="263" t="str">
        <x:v>Biological</x:v>
      </x:c>
      <x:c r="B79" s="263" t="str">
        <x:v>Beauveria/Metarhizium</x:v>
      </x:c>
      <x:c r="C79" s="273" t="n">
        <x:v>120000</x:v>
      </x:c>
      <x:c r="D79" s="263" t="str">
        <x:v>Rp/kg</x:v>
      </x:c>
      <x:c r="E79" s="263" t="str">
        <x:v>ASM</x:v>
      </x:c>
      <x:c r="F79" s="263" t="str">
        <x:v>Low</x:v>
      </x:c>
      <x:c r="G79" s="263" t="str">
        <x:v>Bioinsecticide; viable CFU must be specified</x:v>
      </x:c>
      <x:c r="H79" s="261"/>
      <x:c r="I79" s="261"/>
      <x:c r="J79" s="261"/>
      <x:c r="K79" s="261"/>
    </x:row>
    <x:row r="80">
      <x:c r="A80" s="263" t="str">
        <x:v>Biological</x:v>
      </x:c>
      <x:c r="B80" s="263" t="str">
        <x:v>Bacillus thuringiensis</x:v>
      </x:c>
      <x:c r="C80" s="273" t="n">
        <x:v>180000</x:v>
      </x:c>
      <x:c r="D80" s="263" t="str">
        <x:v>Rp/kg</x:v>
      </x:c>
      <x:c r="E80" s="263" t="str">
        <x:v>ASM</x:v>
      </x:c>
      <x:c r="F80" s="263" t="str">
        <x:v>Low</x:v>
      </x:c>
      <x:c r="G80" s="263" t="str">
        <x:v>Threshold-based</x:v>
      </x:c>
      <x:c r="H80" s="261"/>
      <x:c r="I80" s="261"/>
      <x:c r="J80" s="261"/>
      <x:c r="K80" s="261"/>
    </x:row>
    <x:row r="81">
      <x:c r="A81" s="263" t="str">
        <x:v>Botanical</x:v>
      </x:c>
      <x:c r="B81" s="263" t="str">
        <x:v>Azadirachtin/neem botanical</x:v>
      </x:c>
      <x:c r="C81" s="273" t="n">
        <x:v>120000</x:v>
      </x:c>
      <x:c r="D81" s="263" t="str">
        <x:v>Rp/L</x:v>
      </x:c>
      <x:c r="E81" s="263" t="str">
        <x:v>ASM</x:v>
      </x:c>
      <x:c r="F81" s="263" t="str">
        <x:v>Low</x:v>
      </x:c>
      <x:c r="G81" s="263" t="str">
        <x:v>Verify registered label</x:v>
      </x:c>
      <x:c r="H81" s="261"/>
      <x:c r="I81" s="261"/>
      <x:c r="J81" s="261"/>
      <x:c r="K81" s="261"/>
    </x:row>
    <x:row r="82">
      <x:c r="A82" s="263" t="str">
        <x:v>Fungicide</x:v>
      </x:c>
      <x:c r="B82" s="263" t="str">
        <x:v>Copper-based permitted input</x:v>
      </x:c>
      <x:c r="C82" s="273" t="n">
        <x:v>150000</x:v>
      </x:c>
      <x:c r="D82" s="263" t="str">
        <x:v>Rp/kg</x:v>
      </x:c>
      <x:c r="E82" s="263" t="str">
        <x:v>ASM</x:v>
      </x:c>
      <x:c r="F82" s="263" t="str">
        <x:v>Low</x:v>
      </x:c>
      <x:c r="G82" s="263" t="str">
        <x:v>Only if permitted, threshold-based</x:v>
      </x:c>
      <x:c r="H82" s="261"/>
      <x:c r="I82" s="261"/>
      <x:c r="J82" s="261"/>
      <x:c r="K82" s="261"/>
    </x:row>
    <x:row r="83">
      <x:c r="A83" s="263" t="str">
        <x:v>Herbicide</x:v>
      </x:c>
      <x:c r="B83" s="263" t="str">
        <x:v>Glyphosate spot treatment</x:v>
      </x:c>
      <x:c r="C83" s="273" t="n">
        <x:v>65000</x:v>
      </x:c>
      <x:c r="D83" s="263" t="str">
        <x:v>Rp/L</x:v>
      </x:c>
      <x:c r="E83" s="263" t="str">
        <x:v>S10</x:v>
      </x:c>
      <x:c r="F83" s="263" t="str">
        <x:v>Low</x:v>
      </x:c>
      <x:c r="G83" s="263" t="str">
        <x:v>Conventional transition only; zero after synthetic phase</x:v>
      </x:c>
      <x:c r="H83" s="261"/>
      <x:c r="I83" s="261"/>
      <x:c r="J83" s="261"/>
      <x:c r="K83" s="261"/>
    </x:row>
    <x:row r="84">
      <x:c r="A84" s="263" t="str">
        <x:v>Monitoring</x:v>
      </x:c>
      <x:c r="B84" s="263" t="str">
        <x:v>Pheromone lure</x:v>
      </x:c>
      <x:c r="C84" s="273" t="n">
        <x:v>200000</x:v>
      </x:c>
      <x:c r="D84" s="263" t="str">
        <x:v>Rp/lure</x:v>
      </x:c>
      <x:c r="E84" s="263" t="str">
        <x:v>ASM</x:v>
      </x:c>
      <x:c r="F84" s="263" t="str">
        <x:v>Low</x:v>
      </x:c>
      <x:c r="G84" s="263" t="str">
        <x:v>Oryctes/Rhynchophorus where relevant</x:v>
      </x:c>
      <x:c r="H84" s="261"/>
      <x:c r="I84" s="261"/>
      <x:c r="J84" s="261"/>
      <x:c r="K84" s="261"/>
    </x:row>
    <x:row r="85">
      <x:c r="A85" s="263" t="str">
        <x:v>Monitoring</x:v>
      </x:c>
      <x:c r="B85" s="263" t="str">
        <x:v>Sticky trap</x:v>
      </x:c>
      <x:c r="C85" s="273" t="n">
        <x:v>5000</x:v>
      </x:c>
      <x:c r="D85" s="263" t="str">
        <x:v>Rp/unit</x:v>
      </x:c>
      <x:c r="E85" s="263" t="str">
        <x:v>ASM</x:v>
      </x:c>
      <x:c r="F85" s="263" t="str">
        <x:v>Low</x:v>
      </x:c>
      <x:c r="G85" s="263" t="str">
        <x:v>Monitoring, not stand-alone control</x:v>
      </x:c>
      <x:c r="H85" s="261"/>
      <x:c r="I85" s="261"/>
      <x:c r="J85" s="261"/>
      <x:c r="K85" s="261"/>
    </x:row>
    <x:row r="86">
      <x:c r="A86" s="263" t="str">
        <x:v>Biosecurity</x:v>
      </x:c>
      <x:c r="B86" s="263" t="str">
        <x:v>Disinfectant tools/footbath</x:v>
      </x:c>
      <x:c r="C86" s="273" t="n">
        <x:v>50000</x:v>
      </x:c>
      <x:c r="D86" s="263" t="str">
        <x:v>Rp/L</x:v>
      </x:c>
      <x:c r="E86" s="263" t="str">
        <x:v>ASM</x:v>
      </x:c>
      <x:c r="F86" s="263" t="str">
        <x:v>Low</x:v>
      </x:c>
      <x:c r="G86" s="263" t="str">
        <x:v>Critical for banana disease containment</x:v>
      </x:c>
      <x:c r="H86" s="261"/>
      <x:c r="I86" s="261"/>
      <x:c r="J86" s="261"/>
      <x:c r="K86" s="261"/>
    </x:row>
    <x:row r="87">
      <x:c r="A87" s="263" t="str">
        <x:v>Chemical</x:v>
      </x:c>
      <x:c r="B87" s="263" t="str">
        <x:v>Registered fungicide contingency</x:v>
      </x:c>
      <x:c r="C87" s="273" t="n">
        <x:v>250000</x:v>
      </x:c>
      <x:c r="D87" s="263" t="str">
        <x:v>Rp/kg</x:v>
      </x:c>
      <x:c r="E87" s="263" t="str">
        <x:v>ASM</x:v>
      </x:c>
      <x:c r="F87" s="263" t="str">
        <x:v>Low</x:v>
      </x:c>
      <x:c r="G87" s="263" t="str">
        <x:v>Only diagnosed, registered, label-compliant; transition years</x:v>
      </x:c>
      <x:c r="H87" s="261"/>
      <x:c r="I87" s="261"/>
      <x:c r="J87" s="261"/>
      <x:c r="K87" s="261"/>
    </x:row>
    <x:row r="88">
      <x:c r="A88" s="263" t="str">
        <x:v>Chemical</x:v>
      </x:c>
      <x:c r="B88" s="263" t="str">
        <x:v>Registered insecticide contingency</x:v>
      </x:c>
      <x:c r="C88" s="273" t="n">
        <x:v>300000</x:v>
      </x:c>
      <x:c r="D88" s="263" t="str">
        <x:v>Rp/L</x:v>
      </x:c>
      <x:c r="E88" s="263" t="str">
        <x:v>ASM</x:v>
      </x:c>
      <x:c r="F88" s="263" t="str">
        <x:v>Low</x:v>
      </x:c>
      <x:c r="G88" s="263" t="str">
        <x:v>Only diagnosed, registered, label-compliant; transition years</x:v>
      </x:c>
      <x:c r="H88" s="261"/>
      <x:c r="I88" s="261"/>
      <x:c r="J88" s="261"/>
      <x:c r="K88" s="261"/>
    </x:row>
    <x:row r="89">
      <x:c r="A89" s="263"/>
      <x:c r="B89" s="263"/>
      <x:c r="C89" s="263"/>
      <x:c r="D89" s="263"/>
      <x:c r="E89" s="263"/>
      <x:c r="F89" s="263"/>
      <x:c r="G89" s="263"/>
      <x:c r="H89" s="261"/>
      <x:c r="I89" s="261"/>
      <x:c r="J89" s="261"/>
      <x:c r="K89" s="261"/>
    </x:row>
    <x:row r="90">
      <x:c r="A90" s="263"/>
      <x:c r="B90" s="263"/>
      <x:c r="C90" s="263"/>
      <x:c r="D90" s="263"/>
      <x:c r="E90" s="263"/>
      <x:c r="F90" s="263"/>
      <x:c r="G90" s="263"/>
      <x:c r="H90" s="261"/>
      <x:c r="I90" s="261"/>
      <x:c r="J90" s="261"/>
      <x:c r="K90" s="261"/>
    </x:row>
    <x:row r="91" ht="20" customHeight="1">
      <x:c r="A91" s="41" t="str">
        <x:v>F. Harga satuan survei, infrastruktur, dan operasi</x:v>
      </x:c>
      <x:c r="B91" s="41"/>
      <x:c r="C91" s="41"/>
      <x:c r="D91" s="41"/>
      <x:c r="E91" s="41"/>
      <x:c r="F91" s="41"/>
      <x:c r="G91" s="41"/>
      <x:c r="H91" s="261"/>
      <x:c r="I91" s="261"/>
      <x:c r="J91" s="261"/>
      <x:c r="K91" s="261"/>
    </x:row>
    <x:row r="92" ht="30" customHeight="1">
      <x:c r="A92" s="34" t="str">
        <x:v>Kelompok</x:v>
      </x:c>
      <x:c r="B92" s="35" t="str">
        <x:v>Input</x:v>
      </x:c>
      <x:c r="C92" s="35" t="str">
        <x:v>Nilai</x:v>
      </x:c>
      <x:c r="D92" s="35" t="str">
        <x:v>Unit</x:v>
      </x:c>
      <x:c r="E92" s="35" t="str">
        <x:v>Source ID</x:v>
      </x:c>
      <x:c r="F92" s="35" t="str">
        <x:v>Confidence</x:v>
      </x:c>
      <x:c r="G92" s="36" t="str">
        <x:v>Catatan</x:v>
      </x:c>
      <x:c r="H92" s="261"/>
      <x:c r="I92" s="261"/>
      <x:c r="J92" s="261"/>
      <x:c r="K92" s="261"/>
    </x:row>
    <x:row r="93">
      <x:c r="A93" s="263" t="str">
        <x:v>Survey</x:v>
      </x:c>
      <x:c r="B93" s="263" t="str">
        <x:v>Drone orthomosaic</x:v>
      </x:c>
      <x:c r="C93" s="266" t="n">
        <x:v>250000</x:v>
      </x:c>
      <x:c r="D93" s="263" t="str">
        <x:v>Rp/ha</x:v>
      </x:c>
      <x:c r="E93" s="263" t="str">
        <x:v>S08</x:v>
      </x:c>
      <x:c r="F93" s="263" t="str">
        <x:v>Medium</x:v>
      </x:c>
      <x:c r="G93" s="263" t="str">
        <x:v>100 ha price benchmark</x:v>
      </x:c>
      <x:c r="H93" s="261"/>
      <x:c r="I93" s="261"/>
      <x:c r="J93" s="261"/>
      <x:c r="K93" s="261"/>
    </x:row>
    <x:row r="94">
      <x:c r="A94" s="263" t="str">
        <x:v>Survey</x:v>
      </x:c>
      <x:c r="B94" s="263" t="str">
        <x:v>Boundary/topo/hydrology field survey</x:v>
      </x:c>
      <x:c r="C94" s="266" t="n">
        <x:v>350000</x:v>
      </x:c>
      <x:c r="D94" s="263" t="str">
        <x:v>Rp/ha</x:v>
      </x:c>
      <x:c r="E94" s="263" t="str">
        <x:v>ASM</x:v>
      </x:c>
      <x:c r="F94" s="263" t="str">
        <x:v>Low</x:v>
      </x:c>
      <x:c r="G94" s="263" t="str">
        <x:v>Allowance; scope and accuracy to quote</x:v>
      </x:c>
      <x:c r="H94" s="261"/>
      <x:c r="I94" s="261"/>
      <x:c r="J94" s="261"/>
      <x:c r="K94" s="261"/>
    </x:row>
    <x:row r="95">
      <x:c r="A95" s="263" t="str">
        <x:v>Lab</x:v>
      </x:c>
      <x:c r="B95" s="263" t="str">
        <x:v>Comprehensive soil analysis</x:v>
      </x:c>
      <x:c r="C95" s="266" t="n">
        <x:v>800000</x:v>
      </x:c>
      <x:c r="D95" s="263" t="str">
        <x:v>Rp/sample</x:v>
      </x:c>
      <x:c r="E95" s="263" t="str">
        <x:v>S09</x:v>
      </x:c>
      <x:c r="F95" s="263" t="str">
        <x:v>Medium</x:v>
      </x:c>
      <x:c r="G95" s="263" t="str">
        <x:v>Composite package plus preparation/freight</x:v>
      </x:c>
      <x:c r="H95" s="261"/>
      <x:c r="I95" s="261"/>
      <x:c r="J95" s="261"/>
      <x:c r="K95" s="261"/>
    </x:row>
    <x:row r="96">
      <x:c r="A96" s="263" t="str">
        <x:v>Lab</x:v>
      </x:c>
      <x:c r="B96" s="263" t="str">
        <x:v>Soil sampling density</x:v>
      </x:c>
      <x:c r="C96" s="266" t="n">
        <x:v>2.5</x:v>
      </x:c>
      <x:c r="D96" s="263" t="str">
        <x:v>ha/sample</x:v>
      </x:c>
      <x:c r="E96" s="263" t="str">
        <x:v>ASM</x:v>
      </x:c>
      <x:c r="F96" s="263" t="str">
        <x:v>Medium</x:v>
      </x:c>
      <x:c r="G96" s="263" t="str">
        <x:v>40 composites for one site; higher for split sites</x:v>
      </x:c>
      <x:c r="H96" s="261"/>
      <x:c r="I96" s="261"/>
      <x:c r="J96" s="261"/>
      <x:c r="K96" s="261"/>
    </x:row>
    <x:row r="97">
      <x:c r="A97" s="263" t="str">
        <x:v>Land prep</x:v>
      </x:c>
      <x:c r="B97" s="263" t="str">
        <x:v>Selective clearing equipment/contractor</x:v>
      </x:c>
      <x:c r="C97" s="266" t="n">
        <x:v>6000000</x:v>
      </x:c>
      <x:c r="D97" s="263" t="str">
        <x:v>Rp/ha</x:v>
      </x:c>
      <x:c r="E97" s="263" t="str">
        <x:v>S13</x:v>
      </x:c>
      <x:c r="F97" s="263" t="str">
        <x:v>Low</x:v>
      </x:c>
      <x:c r="G97" s="263" t="str">
        <x:v>Zero burning; manual HOK calculated separately</x:v>
      </x:c>
      <x:c r="H97" s="261"/>
      <x:c r="I97" s="261"/>
      <x:c r="J97" s="261"/>
      <x:c r="K97" s="261"/>
    </x:row>
    <x:row r="98">
      <x:c r="A98" s="263" t="str">
        <x:v>Road</x:v>
      </x:c>
      <x:c r="B98" s="263" t="str">
        <x:v>Main/collection road</x:v>
      </x:c>
      <x:c r="C98" s="266" t="n">
        <x:v>350000</x:v>
      </x:c>
      <x:c r="D98" s="263" t="str">
        <x:v>Rp/m</x:v>
      </x:c>
      <x:c r="E98" s="263" t="str">
        <x:v>ASM</x:v>
      </x:c>
      <x:c r="F98" s="263" t="str">
        <x:v>Low</x:v>
      </x:c>
      <x:c r="G98" s="263" t="str">
        <x:v>Graded &amp; compacted; geotech quote required</x:v>
      </x:c>
      <x:c r="H98" s="261"/>
      <x:c r="I98" s="261"/>
      <x:c r="J98" s="261"/>
      <x:c r="K98" s="261"/>
    </x:row>
    <x:row r="99">
      <x:c r="A99" s="263" t="str">
        <x:v>Road</x:v>
      </x:c>
      <x:c r="B99" s="263" t="str">
        <x:v>Field track</x:v>
      </x:c>
      <x:c r="C99" s="266" t="n">
        <x:v>120000</x:v>
      </x:c>
      <x:c r="D99" s="263" t="str">
        <x:v>Rp/m</x:v>
      </x:c>
      <x:c r="E99" s="263" t="str">
        <x:v>ASM</x:v>
      </x:c>
      <x:c r="F99" s="263" t="str">
        <x:v>Low</x:v>
      </x:c>
      <x:c r="G99" s="263" t="str">
        <x:v>All-weather standard not assumed</x:v>
      </x:c>
      <x:c r="H99" s="261"/>
      <x:c r="I99" s="261"/>
      <x:c r="J99" s="261"/>
      <x:c r="K99" s="261"/>
    </x:row>
    <x:row r="100">
      <x:c r="A100" s="263" t="str">
        <x:v>Drainage</x:v>
      </x:c>
      <x:c r="B100" s="263" t="str">
        <x:v>Field drain</x:v>
      </x:c>
      <x:c r="C100" s="266" t="n">
        <x:v>45000</x:v>
      </x:c>
      <x:c r="D100" s="263" t="str">
        <x:v>Rp/m</x:v>
      </x:c>
      <x:c r="E100" s="263" t="str">
        <x:v>ASM</x:v>
      </x:c>
      <x:c r="F100" s="263" t="str">
        <x:v>Low</x:v>
      </x:c>
      <x:c r="G100" s="263" t="str">
        <x:v>Final length from hydrology design</x:v>
      </x:c>
      <x:c r="H100" s="261"/>
      <x:c r="I100" s="261"/>
      <x:c r="J100" s="261"/>
      <x:c r="K100" s="261"/>
    </x:row>
    <x:row r="101">
      <x:c r="A101" s="263" t="str">
        <x:v>Boundary</x:v>
      </x:c>
      <x:c r="B101" s="263" t="str">
        <x:v>Fence/live boundary</x:v>
      </x:c>
      <x:c r="C101" s="266" t="n">
        <x:v>75000</x:v>
      </x:c>
      <x:c r="D101" s="263" t="str">
        <x:v>Rp/m</x:v>
      </x:c>
      <x:c r="E101" s="263" t="str">
        <x:v>ASM</x:v>
      </x:c>
      <x:c r="F101" s="263" t="str">
        <x:v>Low</x:v>
      </x:c>
      <x:c r="G101" s="263" t="str">
        <x:v>Single square 100 ha perimeter ~4 km</x:v>
      </x:c>
      <x:c r="H101" s="261"/>
      <x:c r="I101" s="261"/>
      <x:c r="J101" s="261"/>
      <x:c r="K101" s="261"/>
    </x:row>
    <x:row r="102">
      <x:c r="A102" s="263" t="str">
        <x:v>Drainage</x:v>
      </x:c>
      <x:c r="B102" s="263" t="str">
        <x:v>Culvert/cross-drain</x:v>
      </x:c>
      <x:c r="C102" s="266" t="n">
        <x:v>12000000</x:v>
      </x:c>
      <x:c r="D102" s="263" t="str">
        <x:v>Rp/unit</x:v>
      </x:c>
      <x:c r="E102" s="263" t="str">
        <x:v>ASM</x:v>
      </x:c>
      <x:c r="F102" s="263" t="str">
        <x:v>Low</x:v>
      </x:c>
      <x:c r="G102" s="263" t="str">
        <x:v>Installed allowance</x:v>
      </x:c>
      <x:c r="H102" s="261"/>
      <x:c r="I102" s="261"/>
      <x:c r="J102" s="261"/>
      <x:c r="K102" s="261"/>
    </x:row>
    <x:row r="103">
      <x:c r="A103" s="263" t="str">
        <x:v>Facility</x:v>
      </x:c>
      <x:c r="B103" s="263" t="str">
        <x:v>Basecamp/office</x:v>
      </x:c>
      <x:c r="C103" s="266" t="n">
        <x:v>350000000</x:v>
      </x:c>
      <x:c r="D103" s="263" t="str">
        <x:v>Rp/site</x:v>
      </x:c>
      <x:c r="E103" s="263" t="str">
        <x:v>ASM</x:v>
      </x:c>
      <x:c r="F103" s="263" t="str">
        <x:v>Low</x:v>
      </x:c>
      <x:c r="G103" s="263" t="str">
        <x:v>Modular; four sites duplicate facilities</x:v>
      </x:c>
      <x:c r="H103" s="261"/>
      <x:c r="I103" s="261"/>
      <x:c r="J103" s="261"/>
      <x:c r="K103" s="261"/>
    </x:row>
    <x:row r="104">
      <x:c r="A104" s="263" t="str">
        <x:v>Facility</x:v>
      </x:c>
      <x:c r="B104" s="263" t="str">
        <x:v>Nursery/warehouse</x:v>
      </x:c>
      <x:c r="C104" s="266" t="n">
        <x:v>250000000</x:v>
      </x:c>
      <x:c r="D104" s="263" t="str">
        <x:v>Rp/site</x:v>
      </x:c>
      <x:c r="E104" s="263" t="str">
        <x:v>ASM</x:v>
      </x:c>
      <x:c r="F104" s="263" t="str">
        <x:v>Low</x:v>
      </x:c>
      <x:c r="G104" s="263" t="str">
        <x:v>Acclimatization and storage</x:v>
      </x:c>
      <x:c r="H104" s="261"/>
      <x:c r="I104" s="261"/>
      <x:c r="J104" s="261"/>
      <x:c r="K104" s="261"/>
    </x:row>
    <x:row r="105">
      <x:c r="A105" s="263" t="str">
        <x:v>Water</x:v>
      </x:c>
      <x:c r="B105" s="263" t="str">
        <x:v>Reservoir/pump/tank/mainline package</x:v>
      </x:c>
      <x:c r="C105" s="266" t="n">
        <x:v>350000000</x:v>
      </x:c>
      <x:c r="D105" s="263" t="str">
        <x:v>Rp/site</x:v>
      </x:c>
      <x:c r="E105" s="263" t="str">
        <x:v>ASM</x:v>
      </x:c>
      <x:c r="F105" s="263" t="str">
        <x:v>Low</x:v>
      </x:c>
      <x:c r="G105" s="263" t="str">
        <x:v>Supplemental establishment irrigation, not full drip</x:v>
      </x:c>
      <x:c r="H105" s="261"/>
      <x:c r="I105" s="261"/>
      <x:c r="J105" s="261"/>
      <x:c r="K105" s="261"/>
    </x:row>
    <x:row r="106">
      <x:c r="A106" s="263" t="str">
        <x:v>Mobilization</x:v>
      </x:c>
      <x:c r="B106" s="263" t="str">
        <x:v>Heavy equipment &amp; contractor mobilization</x:v>
      </x:c>
      <x:c r="C106" s="266" t="n">
        <x:v>75000000</x:v>
      </x:c>
      <x:c r="D106" s="263" t="str">
        <x:v>Rp/site</x:v>
      </x:c>
      <x:c r="E106" s="263" t="str">
        <x:v>ASM</x:v>
      </x:c>
      <x:c r="F106" s="263" t="str">
        <x:v>Low</x:v>
      </x:c>
      <x:c r="G106" s="263" t="str">
        <x:v>Location-dependent</x:v>
      </x:c>
      <x:c r="H106" s="261"/>
      <x:c r="I106" s="261"/>
      <x:c r="J106" s="261"/>
      <x:c r="K106" s="261"/>
    </x:row>
    <x:row r="107">
      <x:c r="A107" s="263" t="str">
        <x:v>Soil</x:v>
      </x:c>
      <x:c r="B107" s="263" t="str">
        <x:v>Initial compost + manure</x:v>
      </x:c>
      <x:c r="C107" s="266" t="n">
        <x:v>8</x:v>
      </x:c>
      <x:c r="D107" s="263" t="str">
        <x:v>t/ha net</x:v>
      </x:c>
      <x:c r="E107" s="263" t="str">
        <x:v>S02/ASM</x:v>
      </x:c>
      <x:c r="F107" s="263" t="str">
        <x:v>Medium</x:v>
      </x:c>
      <x:c r="G107" s="263" t="str">
        <x:v>Split 50:50 in CAPEX</x:v>
      </x:c>
      <x:c r="H107" s="261"/>
      <x:c r="I107" s="261"/>
      <x:c r="J107" s="261"/>
      <x:c r="K107" s="261"/>
    </x:row>
    <x:row r="108">
      <x:c r="A108" s="263" t="str">
        <x:v>Soil</x:v>
      </x:c>
      <x:c r="B108" s="263" t="str">
        <x:v>Dolomite initial dose</x:v>
      </x:c>
      <x:c r="C108" s="266" t="n">
        <x:v>1.5</x:v>
      </x:c>
      <x:c r="D108" s="263" t="str">
        <x:v>t/ha treated</x:v>
      </x:c>
      <x:c r="E108" s="263" t="str">
        <x:v>S03</x:v>
      </x:c>
      <x:c r="F108" s="263" t="str">
        <x:v>Medium</x:v>
      </x:c>
      <x:c r="G108" s="263" t="str">
        <x:v>Only where pH/lime requirement supports it</x:v>
      </x:c>
      <x:c r="H108" s="261"/>
      <x:c r="I108" s="261"/>
      <x:c r="J108" s="261"/>
      <x:c r="K108" s="261"/>
    </x:row>
    <x:row r="109">
      <x:c r="A109" s="263" t="str">
        <x:v>Soil</x:v>
      </x:c>
      <x:c r="B109" s="263" t="str">
        <x:v>Share area requiring dolomite</x:v>
      </x:c>
      <x:c r="C109" s="272" t="n">
        <x:v>0.7</x:v>
      </x:c>
      <x:c r="D109" s="263" t="str">
        <x:v>% net</x:v>
      </x:c>
      <x:c r="E109" s="263" t="str">
        <x:v>ASM</x:v>
      </x:c>
      <x:c r="F109" s="263" t="str">
        <x:v>Low</x:v>
      </x:c>
      <x:c r="G109" s="263" t="str">
        <x:v>Placeholder pending soil test</x:v>
      </x:c>
      <x:c r="H109" s="261"/>
      <x:c r="I109" s="261"/>
      <x:c r="J109" s="261"/>
      <x:c r="K109" s="261"/>
    </x:row>
    <x:row r="110">
      <x:c r="A110" s="263" t="str">
        <x:v>Soil</x:v>
      </x:c>
      <x:c r="B110" s="263" t="str">
        <x:v>Maintenance dolomite</x:v>
      </x:c>
      <x:c r="C110" s="266" t="n">
        <x:v>500</x:v>
      </x:c>
      <x:c r="D110" s="263" t="str">
        <x:v>kg/ha every 2y</x:v>
      </x:c>
      <x:c r="E110" s="263" t="str">
        <x:v>ASM</x:v>
      </x:c>
      <x:c r="F110" s="263" t="str">
        <x:v>Low</x:v>
      </x:c>
      <x:c r="G110" s="263" t="str">
        <x:v>Conditional on soil/leaf test</x:v>
      </x:c>
      <x:c r="H110" s="261"/>
      <x:c r="I110" s="261"/>
      <x:c r="J110" s="261"/>
      <x:c r="K110" s="261"/>
    </x:row>
    <x:row r="111">
      <x:c r="A111" s="263" t="str">
        <x:v>Organic</x:v>
      </x:c>
      <x:c r="B111" s="263" t="str">
        <x:v>Rock phosphate dose</x:v>
      </x:c>
      <x:c r="C111" s="266" t="n">
        <x:v>0.3</x:v>
      </x:c>
      <x:c r="D111" s="263" t="str">
        <x:v>kg/tree/year</x:v>
      </x:c>
      <x:c r="E111" s="263" t="str">
        <x:v>ASM</x:v>
      </x:c>
      <x:c r="F111" s="263" t="str">
        <x:v>Low</x:v>
      </x:c>
      <x:c r="G111" s="263" t="str">
        <x:v>Post synthetic phase; LSO approval</x:v>
      </x:c>
      <x:c r="H111" s="261"/>
      <x:c r="I111" s="261"/>
      <x:c r="J111" s="261"/>
      <x:c r="K111" s="261"/>
    </x:row>
    <x:row r="112">
      <x:c r="A112" s="263" t="str">
        <x:v>Organic</x:v>
      </x:c>
      <x:c r="B112" s="263" t="str">
        <x:v>K/Mg input dose</x:v>
      </x:c>
      <x:c r="C112" s="266" t="n">
        <x:v>0.5</x:v>
      </x:c>
      <x:c r="D112" s="263" t="str">
        <x:v>kg/tree/year</x:v>
      </x:c>
      <x:c r="E112" s="263" t="str">
        <x:v>ASM</x:v>
      </x:c>
      <x:c r="F112" s="263" t="str">
        <x:v>Low</x:v>
      </x:c>
      <x:c r="G112" s="263" t="str">
        <x:v>Post synthetic phase; leaf-test driven</x:v>
      </x:c>
      <x:c r="H112" s="261"/>
      <x:c r="I112" s="261"/>
      <x:c r="J112" s="261"/>
      <x:c r="K112" s="261"/>
    </x:row>
    <x:row r="113">
      <x:c r="A113" s="263" t="str">
        <x:v>Maintenance</x:v>
      </x:c>
      <x:c r="B113" s="263" t="str">
        <x:v>Equipment repair reserve</x:v>
      </x:c>
      <x:c r="C113" s="272" t="n">
        <x:v>0.05</x:v>
      </x:c>
      <x:c r="D113" s="263" t="str">
        <x:v>% initial equip</x:v>
      </x:c>
      <x:c r="E113" s="263" t="str">
        <x:v>ASM</x:v>
      </x:c>
      <x:c r="F113" s="263" t="str">
        <x:v>Medium</x:v>
      </x:c>
      <x:c r="G113" s="263" t="str">
        <x:v>Annual</x:v>
      </x:c>
      <x:c r="H113" s="261"/>
      <x:c r="I113" s="261"/>
      <x:c r="J113" s="261"/>
      <x:c r="K113" s="261"/>
    </x:row>
    <x:row r="114">
      <x:c r="A114" s="263" t="str">
        <x:v>Maintenance</x:v>
      </x:c>
      <x:c r="B114" s="263" t="str">
        <x:v>Road/drain upkeep</x:v>
      </x:c>
      <x:c r="C114" s="272" t="n">
        <x:v>0.02</x:v>
      </x:c>
      <x:c r="D114" s="263" t="str">
        <x:v>% initial works</x:v>
      </x:c>
      <x:c r="E114" s="263" t="str">
        <x:v>ASM</x:v>
      </x:c>
      <x:c r="F114" s="263" t="str">
        <x:v>Medium</x:v>
      </x:c>
      <x:c r="G114" s="263" t="str">
        <x:v>Annual</x:v>
      </x:c>
      <x:c r="H114" s="261"/>
      <x:c r="I114" s="261"/>
      <x:c r="J114" s="261"/>
      <x:c r="K114" s="261"/>
    </x:row>
    <x:row r="115">
      <x:c r="A115" s="263" t="str">
        <x:v>Harvest</x:v>
      </x:c>
      <x:c r="B115" s="263" t="str">
        <x:v>Banana harvest/pack/field haul</x:v>
      </x:c>
      <x:c r="C115" s="266" t="n">
        <x:v>800</x:v>
      </x:c>
      <x:c r="D115" s="263" t="str">
        <x:v>Rp/kg</x:v>
      </x:c>
      <x:c r="E115" s="263" t="str">
        <x:v>ASM</x:v>
      </x:c>
      <x:c r="F115" s="263" t="str">
        <x:v>Low</x:v>
      </x:c>
      <x:c r="G115" s="263" t="str">
        <x:v>Scales with marketable volume</x:v>
      </x:c>
      <x:c r="H115" s="261"/>
      <x:c r="I115" s="261"/>
      <x:c r="J115" s="261"/>
      <x:c r="K115" s="261"/>
    </x:row>
    <x:row r="116">
      <x:c r="A116" s="263" t="str">
        <x:v>Harvest</x:v>
      </x:c>
      <x:c r="B116" s="263" t="str">
        <x:v>Coconut harvest/collection</x:v>
      </x:c>
      <x:c r="C116" s="266" t="n">
        <x:v>500</x:v>
      </x:c>
      <x:c r="D116" s="263" t="str">
        <x:v>Rp/butir</x:v>
      </x:c>
      <x:c r="E116" s="263" t="str">
        <x:v>ASM</x:v>
      </x:c>
      <x:c r="F116" s="263" t="str">
        <x:v>Low</x:v>
      </x:c>
      <x:c r="G116" s="263" t="str">
        <x:v>Scales with marketable volume</x:v>
      </x:c>
      <x:c r="H116" s="261"/>
      <x:c r="I116" s="261"/>
      <x:c r="J116" s="261"/>
      <x:c r="K116" s="261"/>
    </x:row>
    <x:row r="117">
      <x:c r="A117" s="263" t="str">
        <x:v>Harvest</x:v>
      </x:c>
      <x:c r="B117" s="263" t="str">
        <x:v>Durian harvest/grading/field haul</x:v>
      </x:c>
      <x:c r="C117" s="266" t="n">
        <x:v>1500</x:v>
      </x:c>
      <x:c r="D117" s="263" t="str">
        <x:v>Rp/kg</x:v>
      </x:c>
      <x:c r="E117" s="263" t="str">
        <x:v>ASM</x:v>
      </x:c>
      <x:c r="F117" s="263" t="str">
        <x:v>Low</x:v>
      </x:c>
      <x:c r="G117" s="263" t="str">
        <x:v>Scales with marketable volume</x:v>
      </x:c>
      <x:c r="H117" s="261"/>
      <x:c r="I117" s="261"/>
      <x:c r="J117" s="261"/>
      <x:c r="K117" s="261"/>
    </x:row>
    <x:row r="118">
      <x:c r="A118" s="263" t="str">
        <x:v>Monitoring</x:v>
      </x:c>
      <x:c r="B118" s="263" t="str">
        <x:v>Annual GIS/drone monitoring</x:v>
      </x:c>
      <x:c r="C118" s="266" t="n">
        <x:v>150000</x:v>
      </x:c>
      <x:c r="D118" s="263" t="str">
        <x:v>Rp/ha</x:v>
      </x:c>
      <x:c r="E118" s="263" t="str">
        <x:v>S08</x:v>
      </x:c>
      <x:c r="F118" s="263" t="str">
        <x:v>Medium</x:v>
      </x:c>
      <x:c r="G118" s="263" t="str">
        <x:v>Orthomosaic/field verification allowance</x:v>
      </x:c>
      <x:c r="H118" s="261"/>
      <x:c r="I118" s="261"/>
      <x:c r="J118" s="261"/>
      <x:c r="K118" s="261"/>
    </x:row>
    <x:row r="119">
      <x:c r="A119" s="263"/>
      <x:c r="B119" s="263"/>
      <x:c r="C119" s="263"/>
      <x:c r="D119" s="263"/>
      <x:c r="E119" s="263"/>
      <x:c r="F119" s="263"/>
      <x:c r="G119" s="263"/>
      <x:c r="H119" s="261"/>
      <x:c r="I119" s="261"/>
      <x:c r="J119" s="261"/>
      <x:c r="K119" s="261"/>
    </x:row>
    <x:row r="120">
      <x:c r="A120" s="263"/>
      <x:c r="B120" s="263"/>
      <x:c r="C120" s="263"/>
      <x:c r="D120" s="263"/>
      <x:c r="E120" s="263"/>
      <x:c r="F120" s="263"/>
      <x:c r="G120" s="263"/>
      <x:c r="H120" s="261"/>
      <x:c r="I120" s="261"/>
      <x:c r="J120" s="261"/>
      <x:c r="K120" s="261"/>
    </x:row>
    <x:row r="121" ht="20" customHeight="1">
      <x:c r="A121" s="316" t="str">
        <x:v>G. Kurva hasil dan populasi pisang yang dipertahankan</x:v>
      </x:c>
      <x:c r="B121" s="316"/>
      <x:c r="C121" s="316"/>
      <x:c r="D121" s="316"/>
      <x:c r="E121" s="316"/>
      <x:c r="F121" s="316"/>
      <x:c r="G121" s="316"/>
      <x:c r="H121" s="316"/>
      <x:c r="I121" s="316"/>
      <x:c r="J121" s="316"/>
      <x:c r="K121" s="316"/>
    </x:row>
    <x:row r="122" ht="32" customHeight="1">
      <x:c r="A122" s="320" t="str">
        <x:v>Ukuran</x:v>
      </x:c>
      <x:c r="B122" s="321" t="str">
        <x:v>T1</x:v>
      </x:c>
      <x:c r="C122" s="321" t="str">
        <x:v>T2</x:v>
      </x:c>
      <x:c r="D122" s="321" t="str">
        <x:v>T3</x:v>
      </x:c>
      <x:c r="E122" s="321" t="str">
        <x:v>T4</x:v>
      </x:c>
      <x:c r="F122" s="321" t="str">
        <x:v>T5</x:v>
      </x:c>
      <x:c r="G122" s="321" t="str">
        <x:v>T6</x:v>
      </x:c>
      <x:c r="H122" s="321" t="str">
        <x:v>T7</x:v>
      </x:c>
      <x:c r="I122" s="321" t="str">
        <x:v>T8</x:v>
      </x:c>
      <x:c r="J122" s="321" t="str">
        <x:v>T9</x:v>
      </x:c>
      <x:c r="K122" s="322" t="str">
        <x:v>T10</x:v>
      </x:c>
    </x:row>
    <x:row r="123">
      <x:c r="A123" s="263" t="str">
        <x:v>Pisang: faktor rumpun dipertahankan</x:v>
      </x:c>
      <x:c r="B123" s="272" t="n">
        <x:v>1</x:v>
      </x:c>
      <x:c r="C123" s="272" t="n">
        <x:v>0.9</x:v>
      </x:c>
      <x:c r="D123" s="272" t="n">
        <x:v>0.7</x:v>
      </x:c>
      <x:c r="E123" s="272" t="n">
        <x:v>0.45</x:v>
      </x:c>
      <x:c r="F123" s="272" t="n">
        <x:v>0.25</x:v>
      </x:c>
      <x:c r="G123" s="272" t="n">
        <x:v>0.15</x:v>
      </x:c>
      <x:c r="H123" s="275" t="n">
        <x:v>0.1</x:v>
      </x:c>
      <x:c r="I123" s="275" t="n">
        <x:v>0.1</x:v>
      </x:c>
      <x:c r="J123" s="275" t="n">
        <x:v>0.1</x:v>
      </x:c>
      <x:c r="K123" s="275" t="n">
        <x:v>0.1</x:v>
      </x:c>
    </x:row>
    <x:row r="124">
      <x:c r="A124" s="263" t="str">
        <x:v>Pisang: kg layak jual/rumpun</x:v>
      </x:c>
      <x:c r="B124" s="276" t="n">
        <x:v>18</x:v>
      </x:c>
      <x:c r="C124" s="276" t="n">
        <x:v>20</x:v>
      </x:c>
      <x:c r="D124" s="276" t="n">
        <x:v>20</x:v>
      </x:c>
      <x:c r="E124" s="276" t="n">
        <x:v>19</x:v>
      </x:c>
      <x:c r="F124" s="276" t="n">
        <x:v>18</x:v>
      </x:c>
      <x:c r="G124" s="276" t="n">
        <x:v>18</x:v>
      </x:c>
      <x:c r="H124" s="277" t="n">
        <x:v>18</x:v>
      </x:c>
      <x:c r="I124" s="277" t="n">
        <x:v>18</x:v>
      </x:c>
      <x:c r="J124" s="277" t="n">
        <x:v>18</x:v>
      </x:c>
      <x:c r="K124" s="277" t="n">
        <x:v>18</x:v>
      </x:c>
    </x:row>
    <x:row r="125">
      <x:c r="A125" s="263" t="str">
        <x:v>Kelapa: butir/pohon</x:v>
      </x:c>
      <x:c r="B125" s="276" t="n">
        <x:v>0</x:v>
      </x:c>
      <x:c r="C125" s="276" t="n">
        <x:v>0</x:v>
      </x:c>
      <x:c r="D125" s="276" t="n">
        <x:v>15</x:v>
      </x:c>
      <x:c r="E125" s="276" t="n">
        <x:v>35</x:v>
      </x:c>
      <x:c r="F125" s="276" t="n">
        <x:v>60</x:v>
      </x:c>
      <x:c r="G125" s="276" t="n">
        <x:v>80</x:v>
      </x:c>
      <x:c r="H125" s="277" t="n">
        <x:v>100</x:v>
      </x:c>
      <x:c r="I125" s="277" t="n">
        <x:v>110</x:v>
      </x:c>
      <x:c r="J125" s="277" t="n">
        <x:v>110</x:v>
      </x:c>
      <x:c r="K125" s="277" t="n">
        <x:v>110</x:v>
      </x:c>
    </x:row>
    <x:row r="126">
      <x:c r="A126" s="263" t="str">
        <x:v>Durian okulasi: kg/pohon</x:v>
      </x:c>
      <x:c r="B126" s="276" t="n">
        <x:v>0</x:v>
      </x:c>
      <x:c r="C126" s="276" t="n">
        <x:v>0</x:v>
      </x:c>
      <x:c r="D126" s="276" t="n">
        <x:v>0</x:v>
      </x:c>
      <x:c r="E126" s="276" t="n">
        <x:v>0</x:v>
      </x:c>
      <x:c r="F126" s="276" t="n">
        <x:v>10</x:v>
      </x:c>
      <x:c r="G126" s="276" t="n">
        <x:v>25</x:v>
      </x:c>
      <x:c r="H126" s="277" t="n">
        <x:v>45</x:v>
      </x:c>
      <x:c r="I126" s="277" t="n">
        <x:v>65</x:v>
      </x:c>
      <x:c r="J126" s="277" t="n">
        <x:v>85</x:v>
      </x:c>
      <x:c r="K126" s="277" t="n">
        <x:v>100</x:v>
      </x:c>
    </x:row>
    <x:row r="127">
      <x:c r="A127" s="263"/>
      <x:c r="B127" s="263"/>
      <x:c r="C127" s="263"/>
      <x:c r="D127" s="263"/>
      <x:c r="E127" s="263"/>
      <x:c r="F127" s="263"/>
      <x:c r="G127" s="263"/>
      <x:c r="H127" s="261"/>
      <x:c r="I127" s="261"/>
      <x:c r="J127" s="261"/>
      <x:c r="K127" s="261"/>
    </x:row>
    <x:row r="128">
      <x:c r="A128" s="263"/>
      <x:c r="B128" s="263"/>
      <x:c r="C128" s="263"/>
      <x:c r="D128" s="263"/>
      <x:c r="E128" s="263"/>
      <x:c r="F128" s="263"/>
      <x:c r="G128" s="263"/>
      <x:c r="H128" s="261"/>
      <x:c r="I128" s="261"/>
      <x:c r="J128" s="261"/>
      <x:c r="K128" s="261"/>
    </x:row>
    <x:row r="129" ht="20" customHeight="1">
      <x:c r="A129" s="316" t="str">
        <x:v>H. Dosis pupuk per tanaman — input formula</x:v>
      </x:c>
      <x:c r="B129" s="316"/>
      <x:c r="C129" s="316"/>
      <x:c r="D129" s="316"/>
      <x:c r="E129" s="316"/>
      <x:c r="F129" s="316"/>
      <x:c r="G129" s="316"/>
      <x:c r="H129" s="316"/>
      <x:c r="I129" s="316"/>
      <x:c r="J129" s="316"/>
      <x:c r="K129" s="316"/>
    </x:row>
    <x:row r="130" ht="32" customHeight="1">
      <x:c r="A130" s="320" t="str">
        <x:v>Dosis (kg/tanaman/tahun)</x:v>
      </x:c>
      <x:c r="B130" s="321" t="str">
        <x:v>T1</x:v>
      </x:c>
      <x:c r="C130" s="321" t="str">
        <x:v>T2</x:v>
      </x:c>
      <x:c r="D130" s="321" t="str">
        <x:v>T3</x:v>
      </x:c>
      <x:c r="E130" s="321" t="str">
        <x:v>T4</x:v>
      </x:c>
      <x:c r="F130" s="321" t="str">
        <x:v>T5</x:v>
      </x:c>
      <x:c r="G130" s="321" t="str">
        <x:v>T6</x:v>
      </x:c>
      <x:c r="H130" s="321" t="str">
        <x:v>T7</x:v>
      </x:c>
      <x:c r="I130" s="321" t="str">
        <x:v>T8</x:v>
      </x:c>
      <x:c r="J130" s="321" t="str">
        <x:v>T9</x:v>
      </x:c>
      <x:c r="K130" s="322" t="str">
        <x:v>T10</x:v>
      </x:c>
    </x:row>
    <x:row r="131">
      <x:c r="A131" s="263" t="str">
        <x:v>Pisang Urea</x:v>
      </x:c>
      <x:c r="B131" s="278" t="n">
        <x:v>0.233</x:v>
      </x:c>
      <x:c r="C131" s="278" t="n">
        <x:v>0.233</x:v>
      </x:c>
      <x:c r="D131" s="278" t="n">
        <x:v>0.233</x:v>
      </x:c>
      <x:c r="E131" s="278" t="n">
        <x:v>0.233</x:v>
      </x:c>
      <x:c r="F131" s="278" t="n">
        <x:v>0.233</x:v>
      </x:c>
      <x:c r="G131" s="278" t="n">
        <x:v>0.233</x:v>
      </x:c>
      <x:c r="H131" s="279" t="n">
        <x:v>0.233</x:v>
      </x:c>
      <x:c r="I131" s="279" t="n">
        <x:v>0.233</x:v>
      </x:c>
      <x:c r="J131" s="279" t="n">
        <x:v>0.233</x:v>
      </x:c>
      <x:c r="K131" s="279" t="n">
        <x:v>0.233</x:v>
      </x:c>
    </x:row>
    <x:row r="132">
      <x:c r="A132" s="263" t="str">
        <x:v>Pisang SP-36</x:v>
      </x:c>
      <x:c r="B132" s="278" t="n">
        <x:v>0.1</x:v>
      </x:c>
      <x:c r="C132" s="278" t="n">
        <x:v>0.1</x:v>
      </x:c>
      <x:c r="D132" s="278" t="n">
        <x:v>0.1</x:v>
      </x:c>
      <x:c r="E132" s="278" t="n">
        <x:v>0.1</x:v>
      </x:c>
      <x:c r="F132" s="278" t="n">
        <x:v>0.1</x:v>
      </x:c>
      <x:c r="G132" s="278" t="n">
        <x:v>0.1</x:v>
      </x:c>
      <x:c r="H132" s="279" t="n">
        <x:v>0.1</x:v>
      </x:c>
      <x:c r="I132" s="279" t="n">
        <x:v>0.1</x:v>
      </x:c>
      <x:c r="J132" s="279" t="n">
        <x:v>0.1</x:v>
      </x:c>
      <x:c r="K132" s="279" t="n">
        <x:v>0.1</x:v>
      </x:c>
    </x:row>
    <x:row r="133">
      <x:c r="A133" s="263" t="str">
        <x:v>Pisang KCl</x:v>
      </x:c>
      <x:c r="B133" s="278" t="n">
        <x:v>0.1</x:v>
      </x:c>
      <x:c r="C133" s="278" t="n">
        <x:v>0.1</x:v>
      </x:c>
      <x:c r="D133" s="278" t="n">
        <x:v>0.1</x:v>
      </x:c>
      <x:c r="E133" s="278" t="n">
        <x:v>0.1</x:v>
      </x:c>
      <x:c r="F133" s="278" t="n">
        <x:v>0.1</x:v>
      </x:c>
      <x:c r="G133" s="278" t="n">
        <x:v>0.1</x:v>
      </x:c>
      <x:c r="H133" s="279" t="n">
        <x:v>0.1</x:v>
      </x:c>
      <x:c r="I133" s="279" t="n">
        <x:v>0.1</x:v>
      </x:c>
      <x:c r="J133" s="279" t="n">
        <x:v>0.1</x:v>
      </x:c>
      <x:c r="K133" s="279" t="n">
        <x:v>0.1</x:v>
      </x:c>
    </x:row>
    <x:row r="134">
      <x:c r="A134" s="263" t="str">
        <x:v>Kelapa Urea</x:v>
      </x:c>
      <x:c r="B134" s="278" t="n">
        <x:v>0.25</x:v>
      </x:c>
      <x:c r="C134" s="278" t="n">
        <x:v>0.35</x:v>
      </x:c>
      <x:c r="D134" s="278" t="n">
        <x:v>0</x:v>
      </x:c>
      <x:c r="E134" s="278" t="n">
        <x:v>0</x:v>
      </x:c>
      <x:c r="F134" s="278" t="n">
        <x:v>0</x:v>
      </x:c>
      <x:c r="G134" s="278" t="n">
        <x:v>0</x:v>
      </x:c>
      <x:c r="H134" s="279" t="n">
        <x:v>0</x:v>
      </x:c>
      <x:c r="I134" s="279" t="n">
        <x:v>0</x:v>
      </x:c>
      <x:c r="J134" s="279" t="n">
        <x:v>0</x:v>
      </x:c>
      <x:c r="K134" s="279" t="n">
        <x:v>0</x:v>
      </x:c>
    </x:row>
    <x:row r="135">
      <x:c r="A135" s="263" t="str">
        <x:v>Kelapa ZA</x:v>
      </x:c>
      <x:c r="B135" s="278" t="n">
        <x:v>0.15</x:v>
      </x:c>
      <x:c r="C135" s="278" t="n">
        <x:v>0.2</x:v>
      </x:c>
      <x:c r="D135" s="278" t="n">
        <x:v>0</x:v>
      </x:c>
      <x:c r="E135" s="278" t="n">
        <x:v>0</x:v>
      </x:c>
      <x:c r="F135" s="278" t="n">
        <x:v>0</x:v>
      </x:c>
      <x:c r="G135" s="278" t="n">
        <x:v>0</x:v>
      </x:c>
      <x:c r="H135" s="279" t="n">
        <x:v>0</x:v>
      </x:c>
      <x:c r="I135" s="279" t="n">
        <x:v>0</x:v>
      </x:c>
      <x:c r="J135" s="279" t="n">
        <x:v>0</x:v>
      </x:c>
      <x:c r="K135" s="279" t="n">
        <x:v>0</x:v>
      </x:c>
    </x:row>
    <x:row r="136">
      <x:c r="A136" s="263" t="str">
        <x:v>Kelapa SP-36</x:v>
      </x:c>
      <x:c r="B136" s="278" t="n">
        <x:v>0.2</x:v>
      </x:c>
      <x:c r="C136" s="278" t="n">
        <x:v>0.25</x:v>
      </x:c>
      <x:c r="D136" s="278" t="n">
        <x:v>0</x:v>
      </x:c>
      <x:c r="E136" s="278" t="n">
        <x:v>0</x:v>
      </x:c>
      <x:c r="F136" s="278" t="n">
        <x:v>0</x:v>
      </x:c>
      <x:c r="G136" s="278" t="n">
        <x:v>0</x:v>
      </x:c>
      <x:c r="H136" s="279" t="n">
        <x:v>0</x:v>
      </x:c>
      <x:c r="I136" s="279" t="n">
        <x:v>0</x:v>
      </x:c>
      <x:c r="J136" s="279" t="n">
        <x:v>0</x:v>
      </x:c>
      <x:c r="K136" s="279" t="n">
        <x:v>0</x:v>
      </x:c>
    </x:row>
    <x:row r="137">
      <x:c r="A137" s="263" t="str">
        <x:v>Kelapa KCl</x:v>
      </x:c>
      <x:c r="B137" s="278" t="n">
        <x:v>0.25</x:v>
      </x:c>
      <x:c r="C137" s="278" t="n">
        <x:v>0.35</x:v>
      </x:c>
      <x:c r="D137" s="278" t="n">
        <x:v>0</x:v>
      </x:c>
      <x:c r="E137" s="278" t="n">
        <x:v>0</x:v>
      </x:c>
      <x:c r="F137" s="278" t="n">
        <x:v>0</x:v>
      </x:c>
      <x:c r="G137" s="278" t="n">
        <x:v>0</x:v>
      </x:c>
      <x:c r="H137" s="279" t="n">
        <x:v>0</x:v>
      </x:c>
      <x:c r="I137" s="279" t="n">
        <x:v>0</x:v>
      </x:c>
      <x:c r="J137" s="279" t="n">
        <x:v>0</x:v>
      </x:c>
      <x:c r="K137" s="279" t="n">
        <x:v>0</x:v>
      </x:c>
    </x:row>
    <x:row r="138">
      <x:c r="A138" s="263" t="str">
        <x:v>Kelapa NPK</x:v>
      </x:c>
      <x:c r="B138" s="278" t="n">
        <x:v>0</x:v>
      </x:c>
      <x:c r="C138" s="278" t="n">
        <x:v>0</x:v>
      </x:c>
      <x:c r="D138" s="278" t="n">
        <x:v>1.5</x:v>
      </x:c>
      <x:c r="E138" s="278" t="n">
        <x:v>2</x:v>
      </x:c>
      <x:c r="F138" s="278" t="n">
        <x:v>2.5</x:v>
      </x:c>
      <x:c r="G138" s="278" t="n">
        <x:v>2.5</x:v>
      </x:c>
      <x:c r="H138" s="279" t="n">
        <x:v>3</x:v>
      </x:c>
      <x:c r="I138" s="279" t="n">
        <x:v>3</x:v>
      </x:c>
      <x:c r="J138" s="279" t="n">
        <x:v>3</x:v>
      </x:c>
      <x:c r="K138" s="279" t="n">
        <x:v>3</x:v>
      </x:c>
    </x:row>
    <x:row r="139">
      <x:c r="A139" s="263" t="str">
        <x:v>Durian Urea</x:v>
      </x:c>
      <x:c r="B139" s="278" t="n">
        <x:v>0.2</x:v>
      </x:c>
      <x:c r="C139" s="278" t="n">
        <x:v>0.3</x:v>
      </x:c>
      <x:c r="D139" s="278" t="n">
        <x:v>0</x:v>
      </x:c>
      <x:c r="E139" s="278" t="n">
        <x:v>0</x:v>
      </x:c>
      <x:c r="F139" s="278" t="n">
        <x:v>0</x:v>
      </x:c>
      <x:c r="G139" s="278" t="n">
        <x:v>0</x:v>
      </x:c>
      <x:c r="H139" s="279" t="n">
        <x:v>0</x:v>
      </x:c>
      <x:c r="I139" s="279" t="n">
        <x:v>0</x:v>
      </x:c>
      <x:c r="J139" s="279" t="n">
        <x:v>0</x:v>
      </x:c>
      <x:c r="K139" s="279" t="n">
        <x:v>0</x:v>
      </x:c>
    </x:row>
    <x:row r="140">
      <x:c r="A140" s="263" t="str">
        <x:v>Durian ZA</x:v>
      </x:c>
      <x:c r="B140" s="278" t="n">
        <x:v>0.1</x:v>
      </x:c>
      <x:c r="C140" s="278" t="n">
        <x:v>0.15</x:v>
      </x:c>
      <x:c r="D140" s="278" t="n">
        <x:v>0</x:v>
      </x:c>
      <x:c r="E140" s="278" t="n">
        <x:v>0</x:v>
      </x:c>
      <x:c r="F140" s="278" t="n">
        <x:v>0</x:v>
      </x:c>
      <x:c r="G140" s="278" t="n">
        <x:v>0</x:v>
      </x:c>
      <x:c r="H140" s="279" t="n">
        <x:v>0</x:v>
      </x:c>
      <x:c r="I140" s="279" t="n">
        <x:v>0</x:v>
      </x:c>
      <x:c r="J140" s="279" t="n">
        <x:v>0</x:v>
      </x:c>
      <x:c r="K140" s="279" t="n">
        <x:v>0</x:v>
      </x:c>
    </x:row>
    <x:row r="141">
      <x:c r="A141" s="263" t="str">
        <x:v>Durian SP-36</x:v>
      </x:c>
      <x:c r="B141" s="278" t="n">
        <x:v>0.25</x:v>
      </x:c>
      <x:c r="C141" s="278" t="n">
        <x:v>0.35</x:v>
      </x:c>
      <x:c r="D141" s="278" t="n">
        <x:v>0</x:v>
      </x:c>
      <x:c r="E141" s="278" t="n">
        <x:v>0</x:v>
      </x:c>
      <x:c r="F141" s="278" t="n">
        <x:v>0</x:v>
      </x:c>
      <x:c r="G141" s="278" t="n">
        <x:v>0</x:v>
      </x:c>
      <x:c r="H141" s="279" t="n">
        <x:v>0</x:v>
      </x:c>
      <x:c r="I141" s="279" t="n">
        <x:v>0</x:v>
      </x:c>
      <x:c r="J141" s="279" t="n">
        <x:v>0</x:v>
      </x:c>
      <x:c r="K141" s="279" t="n">
        <x:v>0</x:v>
      </x:c>
    </x:row>
    <x:row r="142">
      <x:c r="A142" s="263" t="str">
        <x:v>Durian KCl</x:v>
      </x:c>
      <x:c r="B142" s="278" t="n">
        <x:v>0.25</x:v>
      </x:c>
      <x:c r="C142" s="278" t="n">
        <x:v>0.4</x:v>
      </x:c>
      <x:c r="D142" s="278" t="n">
        <x:v>0</x:v>
      </x:c>
      <x:c r="E142" s="278" t="n">
        <x:v>0</x:v>
      </x:c>
      <x:c r="F142" s="278" t="n">
        <x:v>0</x:v>
      </x:c>
      <x:c r="G142" s="278" t="n">
        <x:v>0</x:v>
      </x:c>
      <x:c r="H142" s="279" t="n">
        <x:v>0</x:v>
      </x:c>
      <x:c r="I142" s="279" t="n">
        <x:v>0</x:v>
      </x:c>
      <x:c r="J142" s="279" t="n">
        <x:v>0</x:v>
      </x:c>
      <x:c r="K142" s="279" t="n">
        <x:v>0</x:v>
      </x:c>
    </x:row>
    <x:row r="143">
      <x:c r="A143" s="263" t="str">
        <x:v>Durian NPK</x:v>
      </x:c>
      <x:c r="B143" s="278" t="n">
        <x:v>0</x:v>
      </x:c>
      <x:c r="C143" s="278" t="n">
        <x:v>0</x:v>
      </x:c>
      <x:c r="D143" s="278" t="n">
        <x:v>1.5</x:v>
      </x:c>
      <x:c r="E143" s="278" t="n">
        <x:v>2</x:v>
      </x:c>
      <x:c r="F143" s="278" t="n">
        <x:v>3</x:v>
      </x:c>
      <x:c r="G143" s="278" t="n">
        <x:v>4</x:v>
      </x:c>
      <x:c r="H143" s="279" t="n">
        <x:v>5</x:v>
      </x:c>
      <x:c r="I143" s="279" t="n">
        <x:v>5</x:v>
      </x:c>
      <x:c r="J143" s="279" t="n">
        <x:v>6</x:v>
      </x:c>
      <x:c r="K143" s="279" t="n">
        <x:v>6</x:v>
      </x:c>
    </x:row>
    <x:row r="144">
      <x:c r="A144" s="263" t="str">
        <x:v>Kompos+pukan tree total</x:v>
      </x:c>
      <x:c r="B144" s="278" t="n">
        <x:v>5</x:v>
      </x:c>
      <x:c r="C144" s="278" t="n">
        <x:v>10</x:v>
      </x:c>
      <x:c r="D144" s="278" t="n">
        <x:v>15</x:v>
      </x:c>
      <x:c r="E144" s="278" t="n">
        <x:v>15</x:v>
      </x:c>
      <x:c r="F144" s="278" t="n">
        <x:v>20</x:v>
      </x:c>
      <x:c r="G144" s="278" t="n">
        <x:v>20</x:v>
      </x:c>
      <x:c r="H144" s="279" t="n">
        <x:v>25</x:v>
      </x:c>
      <x:c r="I144" s="279" t="n">
        <x:v>25</x:v>
      </x:c>
      <x:c r="J144" s="279" t="n">
        <x:v>25</x:v>
      </x:c>
      <x:c r="K144" s="279" t="n">
        <x:v>25</x:v>
      </x:c>
    </x:row>
    <x:row r="145">
      <x:c r="A145" s="263" t="str">
        <x:v>Kompos+pukan pisang total</x:v>
      </x:c>
      <x:c r="B145" s="278" t="n">
        <x:v>5</x:v>
      </x:c>
      <x:c r="C145" s="278" t="n">
        <x:v>5</x:v>
      </x:c>
      <x:c r="D145" s="278" t="n">
        <x:v>5</x:v>
      </x:c>
      <x:c r="E145" s="278" t="n">
        <x:v>4</x:v>
      </x:c>
      <x:c r="F145" s="278" t="n">
        <x:v>4</x:v>
      </x:c>
      <x:c r="G145" s="278" t="n">
        <x:v>3</x:v>
      </x:c>
      <x:c r="H145" s="279" t="n">
        <x:v>3</x:v>
      </x:c>
      <x:c r="I145" s="279" t="n">
        <x:v>3</x:v>
      </x:c>
      <x:c r="J145" s="279" t="n">
        <x:v>3</x:v>
      </x:c>
      <x:c r="K145" s="279" t="n">
        <x:v>3</x:v>
      </x:c>
    </x:row>
    <x:row r="146">
      <x:c r="A146" s="261"/>
      <x:c r="B146" s="261"/>
      <x:c r="C146" s="261"/>
      <x:c r="D146" s="261"/>
      <x:c r="E146" s="261"/>
      <x:c r="F146" s="261"/>
      <x:c r="G146" s="261"/>
      <x:c r="H146" s="261"/>
      <x:c r="I146" s="261"/>
      <x:c r="J146" s="261"/>
      <x:c r="K146" s="261"/>
    </x:row>
    <x:row r="147">
      <x:c r="A147" s="261"/>
      <x:c r="B147" s="261"/>
      <x:c r="C147" s="261"/>
      <x:c r="D147" s="261"/>
      <x:c r="E147" s="261"/>
      <x:c r="F147" s="261"/>
      <x:c r="G147" s="261"/>
      <x:c r="H147" s="261"/>
      <x:c r="I147" s="261"/>
      <x:c r="J147" s="261"/>
      <x:c r="K147" s="261"/>
    </x:row>
    <x:row r="148" ht="20" customHeight="1">
      <x:c r="A148" s="316" t="str">
        <x:v>I. Penggerak fleksibilitas, skala, dan jumlah lokasi</x:v>
      </x:c>
      <x:c r="B148" s="316"/>
      <x:c r="C148" s="316"/>
      <x:c r="D148" s="316"/>
      <x:c r="E148" s="316"/>
      <x:c r="F148" s="316"/>
      <x:c r="G148" s="316"/>
      <x:c r="H148" s="261"/>
      <x:c r="I148" s="261"/>
      <x:c r="J148" s="261"/>
      <x:c r="K148" s="261"/>
    </x:row>
    <x:row r="149" ht="32" customHeight="1">
      <x:c r="A149" s="338" t="str">
        <x:v>Kelompok</x:v>
      </x:c>
      <x:c r="B149" s="338" t="str">
        <x:v>Variabel</x:v>
      </x:c>
      <x:c r="C149" s="338" t="str">
        <x:v>Nilai</x:v>
      </x:c>
      <x:c r="D149" s="338" t="str">
        <x:v>Satuan</x:v>
      </x:c>
      <x:c r="E149" s="338" t="str">
        <x:v>ID sumber</x:v>
      </x:c>
      <x:c r="F149" s="338" t="str">
        <x:v>Tingkat keyakinan</x:v>
      </x:c>
      <x:c r="G149" s="338" t="str">
        <x:v>Keterangan</x:v>
      </x:c>
      <x:c r="H149" s="261"/>
      <x:c r="I149" s="261"/>
      <x:c r="J149" s="261"/>
      <x:c r="K149" s="261"/>
    </x:row>
    <x:row r="150">
      <x:c r="A150" s="261" t="str">
        <x:v>Aktif</x:v>
      </x:c>
      <x:c r="B150" s="261" t="str">
        <x:v>Kelapa</x:v>
      </x:c>
      <x:c r="C150" s="330" t="n">
        <x:v>1</x:v>
      </x:c>
      <x:c r="D150" s="261" t="str">
        <x:v>0/1</x:v>
      </x:c>
      <x:c r="E150" s="261" t="str">
        <x:v>USR</x:v>
      </x:c>
      <x:c r="F150" s="261" t="str">
        <x:v>Tinggi</x:v>
      </x:c>
      <x:c r="G150" s="261" t="str">
        <x:v>0 menonaktifkan seluruh populasi kelapa</x:v>
      </x:c>
      <x:c r="H150" s="261"/>
      <x:c r="I150" s="261"/>
      <x:c r="J150" s="261"/>
      <x:c r="K150" s="261"/>
    </x:row>
    <x:row r="151">
      <x:c r="A151" s="261" t="str">
        <x:v>Aktif</x:v>
      </x:c>
      <x:c r="B151" s="261" t="str">
        <x:v>Durian</x:v>
      </x:c>
      <x:c r="C151" s="330" t="n">
        <x:v>1</x:v>
      </x:c>
      <x:c r="D151" s="261" t="str">
        <x:v>0/1</x:v>
      </x:c>
      <x:c r="E151" s="261" t="str">
        <x:v>USR</x:v>
      </x:c>
      <x:c r="F151" s="261" t="str">
        <x:v>Tinggi</x:v>
      </x:c>
      <x:c r="G151" s="261" t="str">
        <x:v>0 menonaktifkan seluruh populasi durian</x:v>
      </x:c>
      <x:c r="H151" s="261"/>
      <x:c r="I151" s="261"/>
      <x:c r="J151" s="261"/>
      <x:c r="K151" s="261"/>
    </x:row>
    <x:row r="152">
      <x:c r="A152" s="261" t="str">
        <x:v>Aktif</x:v>
      </x:c>
      <x:c r="B152" s="261" t="str">
        <x:v>Pisang</x:v>
      </x:c>
      <x:c r="C152" s="330" t="n">
        <x:v>1</x:v>
      </x:c>
      <x:c r="D152" s="261" t="str">
        <x:v>0/1</x:v>
      </x:c>
      <x:c r="E152" s="261" t="str">
        <x:v>USR</x:v>
      </x:c>
      <x:c r="F152" s="261" t="str">
        <x:v>Tinggi</x:v>
      </x:c>
      <x:c r="G152" s="261" t="str">
        <x:v>0 menonaktifkan seluruh populasi pisang</x:v>
      </x:c>
      <x:c r="H152" s="261"/>
      <x:c r="I152" s="261"/>
      <x:c r="J152" s="261"/>
      <x:c r="K152" s="261"/>
    </x:row>
    <x:row r="153">
      <x:c r="A153" s="261" t="str">
        <x:v>Aktif</x:v>
      </x:c>
      <x:c r="B153" s="261" t="str">
        <x:v>Gamal</x:v>
      </x:c>
      <x:c r="C153" s="330" t="n">
        <x:v>1</x:v>
      </x:c>
      <x:c r="D153" s="261" t="str">
        <x:v>0/1</x:v>
      </x:c>
      <x:c r="E153" s="261" t="str">
        <x:v>USR</x:v>
      </x:c>
      <x:c r="F153" s="261" t="str">
        <x:v>Tinggi</x:v>
      </x:c>
      <x:c r="G153" s="261" t="str">
        <x:v>0 menonaktifkan seluruh populasi gamal</x:v>
      </x:c>
      <x:c r="H153" s="261"/>
      <x:c r="I153" s="261"/>
      <x:c r="J153" s="261"/>
      <x:c r="K153" s="261"/>
    </x:row>
    <x:row r="154">
      <x:c r="A154" s="261" t="str">
        <x:v>Aktif</x:v>
      </x:c>
      <x:c r="B154" s="261" t="str">
        <x:v>Indigofera</x:v>
      </x:c>
      <x:c r="C154" s="330" t="n">
        <x:v>1</x:v>
      </x:c>
      <x:c r="D154" s="261" t="str">
        <x:v>0/1</x:v>
      </x:c>
      <x:c r="E154" s="261" t="str">
        <x:v>USR</x:v>
      </x:c>
      <x:c r="F154" s="261" t="str">
        <x:v>Tinggi</x:v>
      </x:c>
      <x:c r="G154" s="261" t="str">
        <x:v>0 menonaktifkan seluruh populasi Indigofera</x:v>
      </x:c>
      <x:c r="H154" s="261"/>
      <x:c r="I154" s="261"/>
      <x:c r="J154" s="261"/>
      <x:c r="K154" s="261"/>
    </x:row>
    <x:row r="155">
      <x:c r="A155" s="261" t="str">
        <x:v>Aktif</x:v>
      </x:c>
      <x:c r="B155" s="261" t="str">
        <x:v>Serai wangi</x:v>
      </x:c>
      <x:c r="C155" s="330" t="n">
        <x:v>1</x:v>
      </x:c>
      <x:c r="D155" s="261" t="str">
        <x:v>0/1</x:v>
      </x:c>
      <x:c r="E155" s="261" t="str">
        <x:v>USR</x:v>
      </x:c>
      <x:c r="F155" s="261" t="str">
        <x:v>Tinggi</x:v>
      </x:c>
      <x:c r="G155" s="261" t="str">
        <x:v>0 menonaktifkan seluruh populasi serai wangi</x:v>
      </x:c>
      <x:c r="H155" s="261"/>
      <x:c r="I155" s="261"/>
      <x:c r="J155" s="261"/>
      <x:c r="K155" s="261"/>
    </x:row>
    <x:row r="156">
      <x:c r="A156" s="261" t="str">
        <x:v>Aktif</x:v>
      </x:c>
      <x:c r="B156" s="261" t="str">
        <x:v>Nanas</x:v>
      </x:c>
      <x:c r="C156" s="330" t="n">
        <x:v>0</x:v>
      </x:c>
      <x:c r="D156" s="261" t="str">
        <x:v>0/1</x:v>
      </x:c>
      <x:c r="E156" s="261" t="str">
        <x:v>USR</x:v>
      </x:c>
      <x:c r="F156" s="261" t="str">
        <x:v>Tinggi</x:v>
      </x:c>
      <x:c r="G156" s="261" t="str">
        <x:v>Opsi tanaman sela lorong; bawaan nonaktif</x:v>
      </x:c>
      <x:c r="H156" s="261"/>
      <x:c r="I156" s="261"/>
      <x:c r="J156" s="261"/>
      <x:c r="K156" s="261"/>
    </x:row>
    <x:row r="157">
      <x:c r="A157" s="261" t="str">
        <x:v>Aktif</x:v>
      </x:c>
      <x:c r="B157" s="261" t="str">
        <x:v>Arachis pintoi</x:v>
      </x:c>
      <x:c r="C157" s="330" t="n">
        <x:v>1</x:v>
      </x:c>
      <x:c r="D157" s="261" t="str">
        <x:v>0/1</x:v>
      </x:c>
      <x:c r="E157" s="261" t="str">
        <x:v>USR</x:v>
      </x:c>
      <x:c r="F157" s="261" t="str">
        <x:v>Tinggi</x:v>
      </x:c>
      <x:c r="G157" s="261" t="str">
        <x:v>Penutup tanah legum rendah; bawaan aktif dan dapat dimatikan</x:v>
      </x:c>
      <x:c r="H157" s="261"/>
      <x:c r="I157" s="261"/>
      <x:c r="J157" s="261"/>
      <x:c r="K157" s="261"/>
    </x:row>
    <x:row r="158">
      <x:c r="A158" s="261" t="str">
        <x:v>Infrastruktur</x:v>
      </x:c>
      <x:c r="B158" s="261" t="str">
        <x:v>Jalan utama dasar</x:v>
      </x:c>
      <x:c r="C158" s="330" t="n">
        <x:v>40</x:v>
      </x:c>
      <x:c r="D158" s="261" t="str">
        <x:v>m/ha bruto</x:v>
      </x:c>
      <x:c r="E158" s="261" t="str">
        <x:v>ASM</x:v>
      </x:c>
      <x:c r="F158" s="261" t="str">
        <x:v>Rendah</x:v>
      </x:c>
      <x:c r="G158" s="261" t="str">
        <x:v>Akan meningkat dengan luas</x:v>
      </x:c>
      <x:c r="H158" s="261"/>
      <x:c r="I158" s="261"/>
      <x:c r="J158" s="261"/>
      <x:c r="K158" s="261"/>
    </x:row>
    <x:row r="159">
      <x:c r="A159" s="261" t="str">
        <x:v>Infrastruktur</x:v>
      </x:c>
      <x:c r="B159" s="261" t="str">
        <x:v>Kenaikan jalan utama per lokasi ekstra</x:v>
      </x:c>
      <x:c r="C159" s="331" t="n">
        <x:v>0.041666667</x:v>
      </x:c>
      <x:c r="D159" s="261" t="str">
        <x:v>%</x:v>
      </x:c>
      <x:c r="E159" s="261" t="str">
        <x:v>ASM</x:v>
      </x:c>
      <x:c r="F159" s="261" t="str">
        <x:v>Rendah</x:v>
      </x:c>
      <x:c r="G159" s="261" t="str">
        <x:v>Mereplikasi akses pada lokasi terpisah</x:v>
      </x:c>
      <x:c r="H159" s="261"/>
      <x:c r="I159" s="261"/>
      <x:c r="J159" s="261"/>
      <x:c r="K159" s="261"/>
    </x:row>
    <x:row r="160">
      <x:c r="A160" s="261" t="str">
        <x:v>Infrastruktur</x:v>
      </x:c>
      <x:c r="B160" s="261" t="str">
        <x:v>Jalan kebun dasar</x:v>
      </x:c>
      <x:c r="C160" s="330" t="n">
        <x:v>60</x:v>
      </x:c>
      <x:c r="D160" s="261" t="str">
        <x:v>m/ha bruto</x:v>
      </x:c>
      <x:c r="E160" s="261" t="str">
        <x:v>ASM</x:v>
      </x:c>
      <x:c r="F160" s="261" t="str">
        <x:v>Rendah</x:v>
      </x:c>
      <x:c r="G160" s="261" t="str">
        <x:v>Akan meningkat dengan luas</x:v>
      </x:c>
      <x:c r="H160" s="261"/>
      <x:c r="I160" s="261"/>
      <x:c r="J160" s="261"/>
      <x:c r="K160" s="261"/>
    </x:row>
    <x:row r="161">
      <x:c r="A161" s="261" t="str">
        <x:v>Infrastruktur</x:v>
      </x:c>
      <x:c r="B161" s="261" t="str">
        <x:v>Kenaikan jalan kebun per lokasi ekstra</x:v>
      </x:c>
      <x:c r="C161" s="331" t="n">
        <x:v>0.055555556</x:v>
      </x:c>
      <x:c r="D161" s="261" t="str">
        <x:v>%</x:v>
      </x:c>
      <x:c r="E161" s="261" t="str">
        <x:v>ASM</x:v>
      </x:c>
      <x:c r="F161" s="261" t="str">
        <x:v>Rendah</x:v>
      </x:c>
      <x:c r="G161" s="261" t="str">
        <x:v>Mereplikasi akses pada lokasi terpisah</x:v>
      </x:c>
      <x:c r="H161" s="261"/>
      <x:c r="I161" s="261"/>
      <x:c r="J161" s="261"/>
      <x:c r="K161" s="261"/>
    </x:row>
    <x:row r="162">
      <x:c r="A162" s="261" t="str">
        <x:v>Infrastruktur</x:v>
      </x:c>
      <x:c r="B162" s="261" t="str">
        <x:v>Drainase dasar</x:v>
      </x:c>
      <x:c r="C162" s="330" t="n">
        <x:v>80</x:v>
      </x:c>
      <x:c r="D162" s="261" t="str">
        <x:v>m/ha bruto</x:v>
      </x:c>
      <x:c r="E162" s="261" t="str">
        <x:v>ASM</x:v>
      </x:c>
      <x:c r="F162" s="261" t="str">
        <x:v>Rendah</x:v>
      </x:c>
      <x:c r="G162" s="261" t="str">
        <x:v>Final mengikuti hidrologi</x:v>
      </x:c>
      <x:c r="H162" s="261"/>
      <x:c r="I162" s="261"/>
      <x:c r="J162" s="261"/>
      <x:c r="K162" s="261"/>
    </x:row>
    <x:row r="163">
      <x:c r="A163" s="261" t="str">
        <x:v>Infrastruktur</x:v>
      </x:c>
      <x:c r="B163" s="261" t="str">
        <x:v>Kenaikan drainase per lokasi ekstra</x:v>
      </x:c>
      <x:c r="C163" s="331" t="n">
        <x:v>0.041666667</x:v>
      </x:c>
      <x:c r="D163" s="261" t="str">
        <x:v>%</x:v>
      </x:c>
      <x:c r="E163" s="261" t="str">
        <x:v>ASM</x:v>
      </x:c>
      <x:c r="F163" s="261" t="str">
        <x:v>Rendah</x:v>
      </x:c>
      <x:c r="G163" s="261" t="str">
        <x:v>Mereplikasi jaringan</x:v>
      </x:c>
      <x:c r="H163" s="261"/>
      <x:c r="I163" s="261"/>
      <x:c r="J163" s="261"/>
      <x:c r="K163" s="261"/>
    </x:row>
    <x:row r="164">
      <x:c r="A164" s="261" t="str">
        <x:v>Infrastruktur</x:v>
      </x:c>
      <x:c r="B164" s="261" t="str">
        <x:v>Gorong-gorong dasar</x:v>
      </x:c>
      <x:c r="C164" s="330" t="n">
        <x:v>0.2</x:v>
      </x:c>
      <x:c r="D164" s="261" t="str">
        <x:v>unit/ha bruto</x:v>
      </x:c>
      <x:c r="E164" s="261" t="str">
        <x:v>ASM</x:v>
      </x:c>
      <x:c r="F164" s="261" t="str">
        <x:v>Rendah</x:v>
      </x:c>
      <x:c r="G164" s="261" t="str">
        <x:v>Final mengikuti hidrologi</x:v>
      </x:c>
      <x:c r="H164" s="261"/>
      <x:c r="I164" s="261"/>
      <x:c r="J164" s="261"/>
      <x:c r="K164" s="261"/>
    </x:row>
    <x:row r="165">
      <x:c r="A165" s="261" t="str">
        <x:v>Infrastruktur</x:v>
      </x:c>
      <x:c r="B165" s="261" t="str">
        <x:v>Tambahan gorong-gorong per lokasi ekstra</x:v>
      </x:c>
      <x:c r="C165" s="330" t="n">
        <x:v>4</x:v>
      </x:c>
      <x:c r="D165" s="261" t="str">
        <x:v>unit</x:v>
      </x:c>
      <x:c r="E165" s="261" t="str">
        <x:v>ASM</x:v>
      </x:c>
      <x:c r="F165" s="261" t="str">
        <x:v>Rendah</x:v>
      </x:c>
      <x:c r="G165" s="261" t="str">
        <x:v>Tambahan akses silang</x:v>
      </x:c>
      <x:c r="H165" s="261"/>
      <x:c r="I165" s="261"/>
      <x:c r="J165" s="261"/>
      <x:c r="K165" s="261"/>
    </x:row>
    <x:row r="166">
      <x:c r="A166" s="261" t="str">
        <x:v>Survei</x:v>
      </x:c>
      <x:c r="B166" s="261" t="str">
        <x:v>Lubang profil tanah dasar</x:v>
      </x:c>
      <x:c r="C166" s="330" t="n">
        <x:v>0.1</x:v>
      </x:c>
      <x:c r="D166" s="261" t="str">
        <x:v>unit/ha bruto</x:v>
      </x:c>
      <x:c r="E166" s="261" t="str">
        <x:v>ASM</x:v>
      </x:c>
      <x:c r="F166" s="261" t="str">
        <x:v>Sedang</x:v>
      </x:c>
      <x:c r="G166" s="261" t="str">
        <x:v>Minimum per heterogenitas</x:v>
      </x:c>
      <x:c r="H166" s="261"/>
      <x:c r="I166" s="261"/>
      <x:c r="J166" s="261"/>
      <x:c r="K166" s="261"/>
    </x:row>
    <x:row r="167">
      <x:c r="A167" s="261" t="str">
        <x:v>Survei</x:v>
      </x:c>
      <x:c r="B167" s="261" t="str">
        <x:v>Tambahan lubang profil per lokasi ekstra</x:v>
      </x:c>
      <x:c r="C167" s="330" t="n">
        <x:v>2</x:v>
      </x:c>
      <x:c r="D167" s="261" t="str">
        <x:v>unit</x:v>
      </x:c>
      <x:c r="E167" s="261" t="str">
        <x:v>ASM</x:v>
      </x:c>
      <x:c r="F167" s="261" t="str">
        <x:v>Rendah</x:v>
      </x:c>
      <x:c r="G167" s="261" t="str">
        <x:v>Mengganti pemisahan lokasi</x:v>
      </x:c>
      <x:c r="H167" s="261"/>
      <x:c r="I167" s="261"/>
      <x:c r="J167" s="261"/>
      <x:c r="K167" s="261"/>
    </x:row>
    <x:row r="168">
      <x:c r="A168" s="261" t="str">
        <x:v>Survei</x:v>
      </x:c>
      <x:c r="B168" s="261" t="str">
        <x:v>Tambahan sampel tanah per lokasi ekstra</x:v>
      </x:c>
      <x:c r="C168" s="330" t="n">
        <x:v>4</x:v>
      </x:c>
      <x:c r="D168" s="261" t="str">
        <x:v>sampel</x:v>
      </x:c>
      <x:c r="E168" s="261" t="str">
        <x:v>ASM</x:v>
      </x:c>
      <x:c r="F168" s="261" t="str">
        <x:v>Sedang</x:v>
      </x:c>
      <x:c r="G168" s="261" t="str">
        <x:v>Di luar rasio ha/sampel</x:v>
      </x:c>
      <x:c r="H168" s="261"/>
      <x:c r="I168" s="261"/>
      <x:c r="J168" s="261"/>
      <x:c r="K168" s="261"/>
    </x:row>
    <x:row r="169">
      <x:c r="A169" s="261" t="str">
        <x:v>Survei</x:v>
      </x:c>
      <x:c r="B169" s="261" t="str">
        <x:v>Uji air dasar</x:v>
      </x:c>
      <x:c r="C169" s="330" t="n">
        <x:v>8</x:v>
      </x:c>
      <x:c r="D169" s="261" t="str">
        <x:v>sampel</x:v>
      </x:c>
      <x:c r="E169" s="261" t="str">
        <x:v>ASM</x:v>
      </x:c>
      <x:c r="F169" s="261" t="str">
        <x:v>Rendah</x:v>
      </x:c>
      <x:c r="G169" s="261" t="str">
        <x:v>Musim basah dan kering</x:v>
      </x:c>
      <x:c r="H169" s="261"/>
      <x:c r="I169" s="261"/>
      <x:c r="J169" s="261"/>
      <x:c r="K169" s="261"/>
    </x:row>
    <x:row r="170">
      <x:c r="A170" s="261" t="str">
        <x:v>Survei</x:v>
      </x:c>
      <x:c r="B170" s="261" t="str">
        <x:v>Tambahan uji air per lokasi ekstra</x:v>
      </x:c>
      <x:c r="C170" s="330" t="n">
        <x:v>2.666666667</x:v>
      </x:c>
      <x:c r="D170" s="261" t="str">
        <x:v>sampel</x:v>
      </x:c>
      <x:c r="E170" s="261" t="str">
        <x:v>ASM</x:v>
      </x:c>
      <x:c r="F170" s="261" t="str">
        <x:v>Rendah</x:v>
      </x:c>
      <x:c r="G170" s="261" t="str">
        <x:v>Dibulatkan ke atas</x:v>
      </x:c>
      <x:c r="H170" s="261"/>
      <x:c r="I170" s="261"/>
      <x:c r="J170" s="261"/>
      <x:c r="K170" s="261"/>
    </x:row>
    <x:row r="171">
      <x:c r="A171" s="261" t="str">
        <x:v>Bibit</x:v>
      </x:c>
      <x:c r="B171" s="261" t="str">
        <x:v>Angkut dan penanganan — satu lokasi</x:v>
      </x:c>
      <x:c r="C171" s="331" t="n">
        <x:v>0.1</x:v>
      </x:c>
      <x:c r="D171" s="261" t="str">
        <x:v>% nilai bibit</x:v>
      </x:c>
      <x:c r="E171" s="261" t="str">
        <x:v>ASM</x:v>
      </x:c>
      <x:c r="F171" s="261" t="str">
        <x:v>Rendah</x:v>
      </x:c>
      <x:c r="G171" s="261" t="str">
        <x:v>Dapat diganti dengan penawaran</x:v>
      </x:c>
      <x:c r="H171" s="261"/>
      <x:c r="I171" s="261"/>
      <x:c r="J171" s="261"/>
      <x:c r="K171" s="261"/>
    </x:row>
    <x:row r="172">
      <x:c r="A172" s="261" t="str">
        <x:v>Bibit</x:v>
      </x:c>
      <x:c r="B172" s="261" t="str">
        <x:v>Tambahan angkut per lokasi ekstra</x:v>
      </x:c>
      <x:c r="C172" s="331" t="n">
        <x:v>0.013333333</x:v>
      </x:c>
      <x:c r="D172" s="261" t="str">
        <x:v>% nilai bibit</x:v>
      </x:c>
      <x:c r="E172" s="261" t="str">
        <x:v>ASM</x:v>
      </x:c>
      <x:c r="F172" s="261" t="str">
        <x:v>Rendah</x:v>
      </x:c>
      <x:c r="G172" s="261" t="str">
        <x:v>Akumulatif</x:v>
      </x:c>
      <x:c r="H172" s="261"/>
      <x:c r="I172" s="261"/>
      <x:c r="J172" s="261"/>
      <x:c r="K172" s="261"/>
    </x:row>
    <x:row r="173">
      <x:c r="A173" s="261" t="str">
        <x:v>Bibit</x:v>
      </x:c>
      <x:c r="B173" s="261" t="str">
        <x:v>Karantina/aklimatisasi/QC — satu lokasi</x:v>
      </x:c>
      <x:c r="C173" s="331" t="n">
        <x:v>0.05</x:v>
      </x:c>
      <x:c r="D173" s="261" t="str">
        <x:v>% nilai bibit</x:v>
      </x:c>
      <x:c r="E173" s="261" t="str">
        <x:v>ASM</x:v>
      </x:c>
      <x:c r="F173" s="261" t="str">
        <x:v>Rendah</x:v>
      </x:c>
      <x:c r="G173" s="261" t="str">
        <x:v>Kritis untuk pisang kultur jaringan</x:v>
      </x:c>
      <x:c r="H173" s="261"/>
      <x:c r="I173" s="261"/>
      <x:c r="J173" s="261"/>
      <x:c r="K173" s="261"/>
    </x:row>
    <x:row r="174">
      <x:c r="A174" s="261" t="str">
        <x:v>Bibit</x:v>
      </x:c>
      <x:c r="B174" s="261" t="str">
        <x:v>Tambahan QC per lokasi ekstra</x:v>
      </x:c>
      <x:c r="C174" s="331" t="n">
        <x:v>0.006666667</x:v>
      </x:c>
      <x:c r="D174" s="261" t="str">
        <x:v>% nilai bibit</x:v>
      </x:c>
      <x:c r="E174" s="261" t="str">
        <x:v>ASM</x:v>
      </x:c>
      <x:c r="F174" s="261" t="str">
        <x:v>Rendah</x:v>
      </x:c>
      <x:c r="G174" s="261" t="str">
        <x:v>Akumulatif</x:v>
      </x:c>
      <x:c r="H174" s="261"/>
      <x:c r="I174" s="261"/>
      <x:c r="J174" s="261"/>
      <x:c r="K174" s="261"/>
    </x:row>
    <x:row r="175">
      <x:c r="A175" s="261" t="str">
        <x:v>Bibit</x:v>
      </x:c>
      <x:c r="B175" s="261" t="str">
        <x:v>Inokulan akar</x:v>
      </x:c>
      <x:c r="C175" s="330" t="n">
        <x:v>0.05</x:v>
      </x:c>
      <x:c r="D175" s="261" t="str">
        <x:v>kg/pohon</x:v>
      </x:c>
      <x:c r="E175" s="261" t="str">
        <x:v>ASM</x:v>
      </x:c>
      <x:c r="F175" s="261" t="str">
        <x:v>Rendah</x:v>
      </x:c>
      <x:c r="G175" s="261" t="str">
        <x:v>Kelapa dan durian</x:v>
      </x:c>
      <x:c r="H175" s="261"/>
      <x:c r="I175" s="261"/>
      <x:c r="J175" s="261"/>
      <x:c r="K175" s="261"/>
    </x:row>
    <x:row r="176">
      <x:c r="A176" s="261" t="str">
        <x:v>Sistem</x:v>
      </x:c>
      <x:c r="B176" s="261" t="str">
        <x:v>Tambahan sistem per lokasi ekstra</x:v>
      </x:c>
      <x:c r="C176" s="424" t="n">
        <x:v>25000000</x:v>
      </x:c>
      <x:c r="D176" s="261" t="str">
        <x:v>Rp/lokasi</x:v>
      </x:c>
      <x:c r="E176" s="261" t="str">
        <x:v>ASM</x:v>
      </x:c>
      <x:c r="F176" s="261" t="str">
        <x:v>Rendah</x:v>
      </x:c>
      <x:c r="G176" s="261" t="str">
        <x:v>Pelatihan, pelacakan, dan koordinasi</x:v>
      </x:c>
      <x:c r="H176" s="261"/>
      <x:c r="I176" s="261"/>
      <x:c r="J176" s="261"/>
      <x:c r="K176" s="261"/>
    </x:row>
    <x:row r="177">
      <x:c r="A177" s="261" t="str">
        <x:v>Operasi</x:v>
      </x:c>
      <x:c r="B177" s="261" t="str">
        <x:v>Kenaikan HOK langsung per lokasi ekstra</x:v>
      </x:c>
      <x:c r="C177" s="424" t="n">
        <x:v>0.016666667</x:v>
      </x:c>
      <x:c r="D177" s="261" t="str">
        <x:v>%</x:v>
      </x:c>
      <x:c r="E177" s="261" t="str">
        <x:v>ASM</x:v>
      </x:c>
      <x:c r="F177" s="261" t="str">
        <x:v>Rendah</x:v>
      </x:c>
      <x:c r="G177" s="261" t="str">
        <x:v>Total 5% pada empat lokasi</x:v>
      </x:c>
      <x:c r="H177" s="261"/>
      <x:c r="I177" s="261"/>
      <x:c r="J177" s="261"/>
      <x:c r="K177" s="261"/>
    </x:row>
    <x:row r="178">
      <x:c r="A178" s="261" t="str">
        <x:v>Operasi</x:v>
      </x:c>
      <x:c r="B178" s="261" t="str">
        <x:v>Kenaikan BBM/admin per lokasi ekstra</x:v>
      </x:c>
      <x:c r="C178" s="424" t="n">
        <x:v>0.066666667</x:v>
      </x:c>
      <x:c r="D178" s="261" t="str">
        <x:v>%</x:v>
      </x:c>
      <x:c r="E178" s="261" t="str">
        <x:v>ASM</x:v>
      </x:c>
      <x:c r="F178" s="261" t="str">
        <x:v>Rendah</x:v>
      </x:c>
      <x:c r="G178" s="261" t="str">
        <x:v>Total 20% pada empat lokasi</x:v>
      </x:c>
      <x:c r="H178" s="261"/>
      <x:c r="I178" s="261"/>
      <x:c r="J178" s="261"/>
      <x:c r="K178" s="261"/>
    </x:row>
    <x:row r="179">
      <x:c r="A179" s="261" t="str">
        <x:v>Operasi</x:v>
      </x:c>
      <x:c r="B179" s="261" t="str">
        <x:v>BBM, listrik, dan air tahunan</x:v>
      </x:c>
      <x:c r="C179" s="424" t="n">
        <x:v>250000000</x:v>
      </x:c>
      <x:c r="D179" s="261" t="str">
        <x:v>Rp/tahun</x:v>
      </x:c>
      <x:c r="E179" s="261" t="str">
        <x:v>ASM</x:v>
      </x:c>
      <x:c r="F179" s="261" t="str">
        <x:v>Rendah</x:v>
      </x:c>
      <x:c r="G179" s="261" t="str">
        <x:v>Tahun dasar</x:v>
      </x:c>
      <x:c r="H179" s="261"/>
      <x:c r="I179" s="261"/>
      <x:c r="J179" s="261"/>
      <x:c r="K179" s="261"/>
    </x:row>
    <x:row r="180">
      <x:c r="A180" s="261" t="str">
        <x:v>Operasi</x:v>
      </x:c>
      <x:c r="B180" s="261" t="str">
        <x:v>Administrasi, keamanan, dan bahan habis pakai</x:v>
      </x:c>
      <x:c r="C180" s="424" t="n">
        <x:v>120000000</x:v>
      </x:c>
      <x:c r="D180" s="261" t="str">
        <x:v>Rp/tahun</x:v>
      </x:c>
      <x:c r="E180" s="261" t="str">
        <x:v>ASM</x:v>
      </x:c>
      <x:c r="F180" s="261" t="str">
        <x:v>Rendah</x:v>
      </x:c>
      <x:c r="G180" s="261" t="str">
        <x:v>Tahun dasar</x:v>
      </x:c>
      <x:c r="H180" s="261"/>
      <x:c r="I180" s="261"/>
      <x:c r="J180" s="261"/>
      <x:c r="K180" s="261"/>
    </x:row>
    <x:row r="181">
      <x:c r="A181" s="261" t="str">
        <x:v>Sulaman</x:v>
      </x:c>
      <x:c r="B181" s="261" t="str">
        <x:v>Tarif penggantian bibit T1–T3</x:v>
      </x:c>
      <x:c r="C181" s="331" t="n">
        <x:v>0.03</x:v>
      </x:c>
      <x:c r="D181" s="261" t="str">
        <x:v>% nilai bibit</x:v>
      </x:c>
      <x:c r="E181" s="261" t="str">
        <x:v>ASM</x:v>
      </x:c>
      <x:c r="F181" s="261" t="str">
        <x:v>Rendah</x:v>
      </x:c>
      <x:c r="G181" s="261" t="str">
        <x:v>Setelah itu memakai tarif matang</x:v>
      </x:c>
      <x:c r="H181" s="261"/>
      <x:c r="I181" s="261"/>
      <x:c r="J181" s="261"/>
      <x:c r="K181" s="261"/>
    </x:row>
    <x:row r="182">
      <x:c r="A182" s="261" t="str">
        <x:v>Sulaman</x:v>
      </x:c>
      <x:c r="B182" s="261" t="str">
        <x:v>Tarif penggantian bibit T4–T10</x:v>
      </x:c>
      <x:c r="C182" s="331" t="n">
        <x:v>0.01</x:v>
      </x:c>
      <x:c r="D182" s="261" t="str">
        <x:v>% nilai bibit</x:v>
      </x:c>
      <x:c r="E182" s="261" t="str">
        <x:v>ASM</x:v>
      </x:c>
      <x:c r="F182" s="261" t="str">
        <x:v>Rendah</x:v>
      </x:c>
      <x:c r="G182" s="261" t="str">
        <x:v>Cadangan pemeliharaan</x:v>
      </x:c>
      <x:c r="H182" s="261"/>
      <x:c r="I182" s="261"/>
      <x:c r="J182" s="261"/>
      <x:c r="K182" s="261"/>
    </x:row>
    <x:row r="183">
      <x:c r="A183" s="261" t="str">
        <x:v>Peremajaan</x:v>
      </x:c>
      <x:c r="B183" s="261" t="str">
        <x:v>Penggantian peralatan T5</x:v>
      </x:c>
      <x:c r="C183" s="331" t="n">
        <x:v>0.2</x:v>
      </x:c>
      <x:c r="D183" s="261" t="str">
        <x:v>% nilai awal</x:v>
      </x:c>
      <x:c r="E183" s="261" t="str">
        <x:v>ASM</x:v>
      </x:c>
      <x:c r="F183" s="261" t="str">
        <x:v>Rendah</x:v>
      </x:c>
      <x:c r="G183" s="261" t="str">
        <x:v>Dapat diubah</x:v>
      </x:c>
      <x:c r="H183" s="261"/>
      <x:c r="I183" s="261"/>
      <x:c r="J183" s="261"/>
      <x:c r="K183" s="261"/>
    </x:row>
    <x:row r="184">
      <x:c r="A184" s="261" t="str">
        <x:v>Peremajaan</x:v>
      </x:c>
      <x:c r="B184" s="261" t="str">
        <x:v>Penggantian peralatan T8</x:v>
      </x:c>
      <x:c r="C184" s="331" t="n">
        <x:v>0.1</x:v>
      </x:c>
      <x:c r="D184" s="261" t="str">
        <x:v>% nilai awal</x:v>
      </x:c>
      <x:c r="E184" s="261" t="str">
        <x:v>ASM</x:v>
      </x:c>
      <x:c r="F184" s="261" t="str">
        <x:v>Rendah</x:v>
      </x:c>
      <x:c r="G184" s="261" t="str">
        <x:v>Dapat diubah</x:v>
      </x:c>
      <x:c r="H184" s="261"/>
      <x:c r="I184" s="261"/>
      <x:c r="J184" s="261"/>
      <x:c r="K184" s="261"/>
    </x:row>
  </x:sheetData>
  <x:mergeCells>
    <x:mergeCell ref="A1:K1"/>
    <x:mergeCell ref="A2:K2"/>
    <x:mergeCell ref="A4:G4"/>
    <x:mergeCell ref="A22:G22"/>
    <x:mergeCell ref="A38:G38"/>
    <x:mergeCell ref="A51:G51"/>
    <x:mergeCell ref="A66:G66"/>
    <x:mergeCell ref="A91:G91"/>
    <x:mergeCell ref="A121:K121"/>
    <x:mergeCell ref="A129:K129"/>
    <x:mergeCell ref="A148:G148"/>
  </x:mergeCells>
  <x:dataValidations count="3">
    <x:dataValidation type="list" sqref="C8">
      <x:formula1>"1,4"</x:formula1>
    </x:dataValidation>
    <x:dataValidation type="list" sqref="C9">
      <x:formula1>"22,25"</x:formula1>
    </x:dataValidation>
    <x:dataValidation type="list" sqref="C150:C157">
      <x:formula1>"0,1"</x:formula1>
    </x:dataValidation>
  </x:dataValidations>
  <x:pageMargins left="0.7" right="0.7" top="0.75" bottom="0.75" header="0.3" footer="0.3"/>
  <x:legacyDrawing xmlns:r="http://schemas.openxmlformats.org/officeDocument/2006/relationships" r:id="R11bcbb642de74f45"/>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2" hidden="0" customWidth="1"/>
    <x:col min="4" max="4" width="40" hidden="0" customWidth="1"/>
    <x:col min="5" max="5" width="13" hidden="0" customWidth="1"/>
    <x:col min="6" max="6" width="13" hidden="0" customWidth="1"/>
    <x:col min="7" max="7" width="13" hidden="0" customWidth="1"/>
    <x:col min="8" max="8" width="13" hidden="0" customWidth="1"/>
    <x:col min="9" max="9" width="18" hidden="0" customWidth="1"/>
    <x:col min="10" max="10" width="12" hidden="0" customWidth="1"/>
    <x:col min="11" max="11" width="40" hidden="0" customWidth="1"/>
  </x:cols>
  <x:sheetData>
    <x:row r="1" ht="28" customHeight="1">
      <x:c r="A1" s="313" t="str">
        <x:v>Seleksi Lahan dan Gerbang Kesiapan</x:v>
      </x:c>
      <x:c r="B1" s="313"/>
      <x:c r="C1" s="313"/>
      <x:c r="D1" s="313"/>
      <x:c r="E1" s="313"/>
      <x:c r="F1" s="313"/>
      <x:c r="G1" s="313"/>
      <x:c r="H1" s="313"/>
      <x:c r="I1" s="313"/>
      <x:c r="J1" s="313"/>
      <x:c r="K1" s="313"/>
    </x:row>
    <x:row r="2" ht="38" customHeight="1">
      <x:c r="A2" s="7" t="str">
        <x:v>Digunakan sebelum pembukaan lahan untuk membandingkan calon lokasi berdasarkan bukti legal, sosial, lingkungan, tanah, air, akses, penyakit, dan pasar. Gerbang Tidak Layak selalu mengesampingkan skor total yang terlihat menarik.</x:v>
      </x:c>
      <x:c r="B2" s="7"/>
      <x:c r="C2" s="7"/>
      <x:c r="D2" s="7"/>
      <x:c r="E2" s="7"/>
      <x:c r="F2" s="7"/>
      <x:c r="G2" s="7"/>
      <x:c r="H2" s="7"/>
      <x:c r="I2" s="7"/>
      <x:c r="J2" s="7"/>
      <x:c r="K2" s="7"/>
    </x:row>
    <x:row r="3">
      <x:c r="A3" s="261"/>
      <x:c r="B3" s="261"/>
      <x:c r="C3" s="261"/>
      <x:c r="D3" s="261"/>
      <x:c r="E3" s="261"/>
      <x:c r="F3" s="261"/>
      <x:c r="G3" s="261"/>
      <x:c r="H3" s="261"/>
      <x:c r="I3" s="261"/>
      <x:c r="J3" s="261"/>
      <x:c r="K3" s="261"/>
    </x:row>
    <x:row r="4" ht="20" customHeight="1">
      <x:c r="A4" s="10" t="str">
        <x:v>A. Skor seleksi berbobot</x:v>
      </x:c>
      <x:c r="B4" s="10"/>
      <x:c r="C4" s="10"/>
      <x:c r="D4" s="10"/>
      <x:c r="E4" s="10"/>
      <x:c r="F4" s="10"/>
      <x:c r="G4" s="10"/>
      <x:c r="H4" s="10"/>
      <x:c r="I4" s="10"/>
      <x:c r="J4" s="10"/>
      <x:c r="K4" s="10"/>
    </x:row>
    <x:row r="5" ht="30" customHeight="1">
      <x:c r="A5" s="34" t="str">
        <x:v>Kriteria</x:v>
      </x:c>
      <x:c r="B5" s="35" t="str">
        <x:v>Bobot</x:v>
      </x:c>
      <x:c r="C5" s="35" t="str">
        <x:v>Minimum</x:v>
      </x:c>
      <x:c r="D5" s="35" t="str">
        <x:v>Bukti wajib</x:v>
      </x:c>
      <x:c r="E5" s="35" t="str">
        <x:v>Calon A</x:v>
      </x:c>
      <x:c r="F5" s="35" t="str">
        <x:v>Calon B</x:v>
      </x:c>
      <x:c r="G5" s="35" t="str">
        <x:v>Calon C</x:v>
      </x:c>
      <x:c r="H5" s="35" t="str">
        <x:v>Calon D</x:v>
      </x:c>
      <x:c r="I5" s="35" t="str">
        <x:v>Penanggung jawab</x:v>
      </x:c>
      <x:c r="J5" s="35" t="str">
        <x:v>Waktu</x:v>
      </x:c>
      <x:c r="K5" s="36" t="str">
        <x:v>Hubungan tidak layak</x:v>
      </x:c>
    </x:row>
    <x:row r="6">
      <x:c r="A6" s="264" t="str">
        <x:v>Legal title, overlap, land-use conformity</x:v>
      </x:c>
      <x:c r="B6" s="280" t="n">
        <x:v>0.2</x:v>
      </x:c>
      <x:c r="C6" s="264" t="n">
        <x:v>4</x:v>
      </x:c>
      <x:c r="D6" s="264" t="str">
        <x:v>Certificates, spatial plan, dispute/community check</x:v>
      </x:c>
      <x:c r="E6" s="281"/>
      <x:c r="F6" s="281"/>
      <x:c r="G6" s="281"/>
      <x:c r="H6" s="281"/>
      <x:c r="I6" s="264" t="str">
        <x:v>Legal</x:v>
      </x:c>
      <x:c r="J6" s="264" t="str">
        <x:v>W1-2</x:v>
      </x:c>
      <x:c r="K6" s="264" t="str">
        <x:v>Any unresolved conflict = No-Go</x:v>
      </x:c>
    </x:row>
    <x:row r="7">
      <x:c r="A7" s="264" t="str">
        <x:v>E&amp;S, protected area, HCV/forest status</x:v>
      </x:c>
      <x:c r="B7" s="280" t="n">
        <x:v>0.15</x:v>
      </x:c>
      <x:c r="C7" s="264" t="n">
        <x:v>4</x:v>
      </x:c>
      <x:c r="D7" s="264" t="str">
        <x:v>Official maps + field HCV/social verification</x:v>
      </x:c>
      <x:c r="E7" s="281"/>
      <x:c r="F7" s="281"/>
      <x:c r="G7" s="281"/>
      <x:c r="H7" s="281"/>
      <x:c r="I7" s="264" t="str">
        <x:v>ESG</x:v>
      </x:c>
      <x:c r="J7" s="264" t="str">
        <x:v>W1-3</x:v>
      </x:c>
      <x:c r="K7" s="264" t="str">
        <x:v>Natural forest/protected/HCV clearing = No-Go</x:v>
      </x:c>
    </x:row>
    <x:row r="8">
      <x:c r="A8" s="264" t="str">
        <x:v>Soil depth, texture, pH, CEC, organic C</x:v>
      </x:c>
      <x:c r="B8" s="280" t="n">
        <x:v>0.15</x:v>
      </x:c>
      <x:c r="C8" s="264" t="n">
        <x:v>3</x:v>
      </x:c>
      <x:c r="D8" s="264" t="str">
        <x:v>40+ composite samples, pits, laboratory</x:v>
      </x:c>
      <x:c r="E8" s="281"/>
      <x:c r="F8" s="281"/>
      <x:c r="G8" s="281"/>
      <x:c r="H8" s="281"/>
      <x:c r="I8" s="264" t="str">
        <x:v>Agronomist</x:v>
      </x:c>
      <x:c r="J8" s="264" t="str">
        <x:v>W2-3</x:v>
      </x:c>
      <x:c r="K8" s="264" t="str">
        <x:v>Severe rooting constraint may be No-Go</x:v>
      </x:c>
    </x:row>
    <x:row r="9">
      <x:c r="A9" s="264" t="str">
        <x:v>Drainage, flood, water table</x:v>
      </x:c>
      <x:c r="B9" s="280" t="n">
        <x:v>0.1</x:v>
      </x:c>
      <x:c r="C9" s="264" t="n">
        <x:v>4</x:v>
      </x:c>
      <x:c r="D9" s="264" t="str">
        <x:v>Topography, pits, flood history, hydrology</x:v>
      </x:c>
      <x:c r="E9" s="281"/>
      <x:c r="F9" s="281"/>
      <x:c r="G9" s="281"/>
      <x:c r="H9" s="281"/>
      <x:c r="I9" s="264" t="str">
        <x:v>Engineer</x:v>
      </x:c>
      <x:c r="J9" s="264" t="str">
        <x:v>W2-3</x:v>
      </x:c>
      <x:c r="K9" s="264" t="str">
        <x:v>Chronic flood/waterlogging = No-Go</x:v>
      </x:c>
    </x:row>
    <x:row r="10">
      <x:c r="A10" s="264" t="str">
        <x:v>Dry-season water reliability</x:v>
      </x:c>
      <x:c r="B10" s="280" t="n">
        <x:v>0.1</x:v>
      </x:c>
      <x:c r="C10" s="264" t="n">
        <x:v>4</x:v>
      </x:c>
      <x:c r="D10" s="264" t="str">
        <x:v>Source yield, rights, dry-season test, water quality</x:v>
      </x:c>
      <x:c r="E10" s="281"/>
      <x:c r="F10" s="281"/>
      <x:c r="G10" s="281"/>
      <x:c r="H10" s="281"/>
      <x:c r="I10" s="264" t="str">
        <x:v>Engineer</x:v>
      </x:c>
      <x:c r="J10" s="264" t="str">
        <x:v>W2-3</x:v>
      </x:c>
      <x:c r="K10" s="264" t="str">
        <x:v>No reliable establishment water = No-Go</x:v>
      </x:c>
    </x:row>
    <x:row r="11">
      <x:c r="A11" s="264" t="str">
        <x:v>Slope, erosion, mechanization</x:v>
      </x:c>
      <x:c r="B11" s="280" t="n">
        <x:v>0.08</x:v>
      </x:c>
      <x:c r="C11" s="264" t="n">
        <x:v>3</x:v>
      </x:c>
      <x:c r="D11" s="264" t="str">
        <x:v>DEM/topo, slope classes, access</x:v>
      </x:c>
      <x:c r="E11" s="281"/>
      <x:c r="F11" s="281"/>
      <x:c r="G11" s="281"/>
      <x:c r="H11" s="281"/>
      <x:c r="I11" s="264" t="str">
        <x:v>GIS/Engineer</x:v>
      </x:c>
      <x:c r="J11" s="264" t="str">
        <x:v>W2-3</x:v>
      </x:c>
      <x:c r="K11" s="264" t="str">
        <x:v>&gt;25% on material area = reject/very limited</x:v>
      </x:c>
    </x:row>
    <x:row r="12">
      <x:c r="A12" s="264" t="str">
        <x:v>Banana disease history/biosecurity</x:v>
      </x:c>
      <x:c r="B12" s="280" t="n">
        <x:v>0.07</x:v>
      </x:c>
      <x:c r="C12" s="264" t="n">
        <x:v>4</x:v>
      </x:c>
      <x:c r="D12" s="264" t="str">
        <x:v>Fusarium/blood disease history, soil movement risk</x:v>
      </x:c>
      <x:c r="E12" s="281"/>
      <x:c r="F12" s="281"/>
      <x:c r="G12" s="281"/>
      <x:c r="H12" s="281"/>
      <x:c r="I12" s="264" t="str">
        <x:v>Plant Health</x:v>
      </x:c>
      <x:c r="J12" s="264" t="str">
        <x:v>W2-3</x:v>
      </x:c>
      <x:c r="K12" s="264" t="str">
        <x:v>Known severe history without isolation = No-Go</x:v>
      </x:c>
    </x:row>
    <x:row r="13">
      <x:c r="A13" s="264" t="str">
        <x:v>Access, power, labor, logistics</x:v>
      </x:c>
      <x:c r="B13" s="280" t="n">
        <x:v>0.06</x:v>
      </x:c>
      <x:c r="C13" s="264" t="n">
        <x:v>3</x:v>
      </x:c>
      <x:c r="D13" s="264" t="str">
        <x:v>Road seasonality, distance, labor survey</x:v>
      </x:c>
      <x:c r="E13" s="281"/>
      <x:c r="F13" s="281"/>
      <x:c r="G13" s="281"/>
      <x:c r="H13" s="281"/>
      <x:c r="I13" s="264" t="str">
        <x:v>Ops</x:v>
      </x:c>
      <x:c r="J13" s="264" t="str">
        <x:v>W1-3</x:v>
      </x:c>
      <x:c r="K13" s="264" t="str">
        <x:v>May materially change CAPEX/OPEX</x:v>
      </x:c>
    </x:row>
    <x:row r="14">
      <x:c r="A14" s="264" t="str">
        <x:v>Market/offtake and postharvest route</x:v>
      </x:c>
      <x:c r="B14" s="280" t="n">
        <x:v>0.05</x:v>
      </x:c>
      <x:c r="C14" s="264" t="n">
        <x:v>3</x:v>
      </x:c>
      <x:c r="D14" s="264" t="str">
        <x:v>Buyer interviews, grades, transport loss</x:v>
      </x:c>
      <x:c r="E14" s="281"/>
      <x:c r="F14" s="281"/>
      <x:c r="G14" s="281"/>
      <x:c r="H14" s="281"/>
      <x:c r="I14" s="264" t="str">
        <x:v>Commercial</x:v>
      </x:c>
      <x:c r="J14" s="264" t="str">
        <x:v>W2-4</x:v>
      </x:c>
      <x:c r="K14" s="264" t="str">
        <x:v>Low score requires contracted solution</x:v>
      </x:c>
    </x:row>
    <x:row r="15">
      <x:c r="A15" s="264" t="str">
        <x:v>Contiguity/expansion and security</x:v>
      </x:c>
      <x:c r="B15" s="280" t="n">
        <x:v>0.04</x:v>
      </x:c>
      <x:c r="C15" s="264" t="n">
        <x:v>3</x:v>
      </x:c>
      <x:c r="D15" s="264" t="str">
        <x:v>Boundary survey, neighboring uses, theft/fire risk</x:v>
      </x:c>
      <x:c r="E15" s="281"/>
      <x:c r="F15" s="281"/>
      <x:c r="G15" s="281"/>
      <x:c r="H15" s="281"/>
      <x:c r="I15" s="264" t="str">
        <x:v>Ops</x:v>
      </x:c>
      <x:c r="J15" s="264" t="str">
        <x:v>W1-3</x:v>
      </x:c>
      <x:c r="K15" s="264" t="str">
        <x:v>Split sites duplicate cost</x:v>
      </x:c>
    </x:row>
    <x:row r="16">
      <x:c r="A16" s="282" t="str">
        <x:v>Skor kesiapan berbobot</x:v>
      </x:c>
      <x:c r="B16" s="282"/>
      <x:c r="C16" s="282"/>
      <x:c r="D16" s="282"/>
      <x:c r="E16" s="282" t="str">
        <x:f>IF(COUNT(E6:E15)=10,SUMPRODUCT($B$6:$B$15,E6:E15)/5,"Input scores")</x:f>
        <x:v>Input scores</x:v>
      </x:c>
      <x:c r="F16" s="282" t="str">
        <x:f>IF(COUNT(F6:F15)=10,SUMPRODUCT($B$6:$B$15,F6:F15)/5,"Input scores")</x:f>
        <x:v>Input scores</x:v>
      </x:c>
      <x:c r="G16" s="282" t="str">
        <x:f>IF(COUNT(G6:G15)=10,SUMPRODUCT($B$6:$B$15,G6:G15)/5,"Input scores")</x:f>
        <x:v>Input scores</x:v>
      </x:c>
      <x:c r="H16" s="282" t="str">
        <x:f>IF(COUNT(H6:H15)=10,SUMPRODUCT($B$6:$B$15,H6:H15)/5,"Input scores")</x:f>
        <x:v>Input scores</x:v>
      </x:c>
      <x:c r="I16" s="264"/>
      <x:c r="J16" s="264"/>
      <x:c r="K16" s="264"/>
    </x:row>
    <x:row r="17">
      <x:c r="A17" s="264"/>
      <x:c r="B17" s="264"/>
      <x:c r="C17" s="264"/>
      <x:c r="D17" s="264"/>
      <x:c r="E17" s="264"/>
      <x:c r="F17" s="264"/>
      <x:c r="G17" s="264"/>
      <x:c r="H17" s="264"/>
      <x:c r="I17" s="264"/>
      <x:c r="J17" s="264"/>
      <x:c r="K17" s="264"/>
    </x:row>
    <x:row r="18">
      <x:c r="A18" s="264"/>
      <x:c r="B18" s="264"/>
      <x:c r="C18" s="264"/>
      <x:c r="D18" s="264"/>
      <x:c r="E18" s="264"/>
      <x:c r="F18" s="264"/>
      <x:c r="G18" s="264"/>
      <x:c r="H18" s="264"/>
      <x:c r="I18" s="264"/>
      <x:c r="J18" s="264"/>
      <x:c r="K18" s="264"/>
    </x:row>
    <x:row r="19" ht="20" customHeight="1">
      <x:c r="A19" s="69" t="str">
        <x:v>B. Gerbang Tidak Layak yang wajib</x:v>
      </x:c>
      <x:c r="B19" s="69"/>
      <x:c r="C19" s="69"/>
      <x:c r="D19" s="69"/>
      <x:c r="E19" s="69"/>
      <x:c r="F19" s="69"/>
      <x:c r="G19" s="69"/>
      <x:c r="H19" s="69"/>
      <x:c r="I19" s="264"/>
      <x:c r="J19" s="264"/>
      <x:c r="K19" s="264"/>
    </x:row>
    <x:row r="20" ht="30" customHeight="1">
      <x:c r="A20" s="34" t="str">
        <x:v>Gerbang</x:v>
      </x:c>
      <x:c r="B20" s="35" t="str">
        <x:v>Tolak/hentikan jika</x:v>
      </x:c>
      <x:c r="C20" s="35" t="str">
        <x:v>Bukti</x:v>
      </x:c>
      <x:c r="D20" s="35" t="str">
        <x:v>Mitigasi diperbolehkan?</x:v>
      </x:c>
      <x:c r="E20" s="35" t="str">
        <x:v>Pemilik keputusan</x:v>
      </x:c>
      <x:c r="F20" s="35" t="str">
        <x:v>Sebelum biaya</x:v>
      </x:c>
      <x:c r="G20" s="35" t="str">
        <x:v>Status</x:v>
      </x:c>
      <x:c r="H20" s="36" t="str">
        <x:v>Catatan</x:v>
      </x:c>
      <x:c r="I20" s="264"/>
      <x:c r="J20" s="264"/>
      <x:c r="K20" s="264"/>
    </x:row>
    <x:row r="21">
      <x:c r="A21" s="264" t="str">
        <x:v>Tenure</x:v>
      </x:c>
      <x:c r="B21" s="264" t="str">
        <x:v>Unresolved ownership, overlap, encumbrance, community conflict</x:v>
      </x:c>
      <x:c r="C21" s="264" t="str">
        <x:v>Legal report + consultation</x:v>
      </x:c>
      <x:c r="D21" s="264" t="str">
        <x:v>No, resolve first</x:v>
      </x:c>
      <x:c r="E21" s="264" t="str">
        <x:v>Investment committee</x:v>
      </x:c>
      <x:c r="F21" s="264" t="str">
        <x:v>Before survey</x:v>
      </x:c>
      <x:c r="G21" s="281" t="str">
        <x:v>OPEN</x:v>
      </x:c>
      <x:c r="H21" s="264" t="str"/>
      <x:c r="I21" s="264"/>
      <x:c r="J21" s="264"/>
      <x:c r="K21" s="264"/>
    </x:row>
    <x:row r="22">
      <x:c r="A22" s="264" t="str">
        <x:v>Forest/HCV</x:v>
      </x:c>
      <x:c r="B22" s="264" t="str">
        <x:v>Natural forest, protected area, critical habitat conversion</x:v>
      </x:c>
      <x:c r="C22" s="264" t="str">
        <x:v>Official + HCV assessment</x:v>
      </x:c>
      <x:c r="D22" s="264" t="str">
        <x:v>No clearing</x:v>
      </x:c>
      <x:c r="E22" s="264" t="str">
        <x:v>Board/ESG</x:v>
      </x:c>
      <x:c r="F22" s="264" t="str">
        <x:v>Before clearing</x:v>
      </x:c>
      <x:c r="G22" s="281" t="str">
        <x:v>OPEN</x:v>
      </x:c>
      <x:c r="H22" s="264" t="str"/>
      <x:c r="I22" s="264"/>
      <x:c r="J22" s="264"/>
      <x:c r="K22" s="264"/>
    </x:row>
    <x:row r="23">
      <x:c r="A23" s="264" t="str">
        <x:v>Flood/drainage</x:v>
      </x:c>
      <x:c r="B23" s="264" t="str">
        <x:v>Chronic flood or water table incompatible with durian/banana</x:v>
      </x:c>
      <x:c r="C23" s="264" t="str">
        <x:v>Hydrology/topo</x:v>
      </x:c>
      <x:c r="D23" s="264" t="str">
        <x:v>Only if engineered and economic</x:v>
      </x:c>
      <x:c r="E23" s="264" t="str">
        <x:v>Agronomist/engineer</x:v>
      </x:c>
      <x:c r="F23" s="264" t="str">
        <x:v>Before design</x:v>
      </x:c>
      <x:c r="G23" s="281" t="str">
        <x:v>OPEN</x:v>
      </x:c>
      <x:c r="H23" s="264" t="str"/>
      <x:c r="I23" s="264"/>
      <x:c r="J23" s="264"/>
      <x:c r="K23" s="264"/>
    </x:row>
    <x:row r="24">
      <x:c r="A24" s="264" t="str">
        <x:v>Water</x:v>
      </x:c>
      <x:c r="B24" s="264" t="str">
        <x:v>No legal/reliable dry-season source</x:v>
      </x:c>
      <x:c r="C24" s="264" t="str">
        <x:v>Yield/quality/right test</x:v>
      </x:c>
      <x:c r="D24" s="264" t="str">
        <x:v>Alternative source must be proven</x:v>
      </x:c>
      <x:c r="E24" s="264" t="str">
        <x:v>Ops</x:v>
      </x:c>
      <x:c r="F24" s="264" t="str">
        <x:v>Before planting</x:v>
      </x:c>
      <x:c r="G24" s="281" t="str">
        <x:v>OPEN</x:v>
      </x:c>
      <x:c r="H24" s="264" t="str"/>
      <x:c r="I24" s="264"/>
      <x:c r="J24" s="264"/>
      <x:c r="K24" s="264"/>
    </x:row>
    <x:row r="25">
      <x:c r="A25" s="264" t="str">
        <x:v>Banana disease</x:v>
      </x:c>
      <x:c r="B25" s="264" t="str">
        <x:v>Severe Fusarium/blood disease history with uncontrollable pathways</x:v>
      </x:c>
      <x:c r="C25" s="264" t="str">
        <x:v>Plant health survey</x:v>
      </x:c>
      <x:c r="D25" s="264" t="str">
        <x:v>Quarantine block only if approved</x:v>
      </x:c>
      <x:c r="E25" s="264" t="str">
        <x:v>Plant health lead</x:v>
      </x:c>
      <x:c r="F25" s="264" t="str">
        <x:v>Before banana procurement</x:v>
      </x:c>
      <x:c r="G25" s="281" t="str">
        <x:v>OPEN</x:v>
      </x:c>
      <x:c r="H25" s="264" t="str"/>
      <x:c r="I25" s="264"/>
      <x:c r="J25" s="264"/>
      <x:c r="K25" s="264"/>
    </x:row>
    <x:row r="26">
      <x:c r="A26" s="264" t="str">
        <x:v>Slope/erosion</x:v>
      </x:c>
      <x:c r="B26" s="264" t="str">
        <x:v>Material planting area &gt;25% slope/unstable</x:v>
      </x:c>
      <x:c r="C26" s="264" t="str">
        <x:v>Topographic/geotech</x:v>
      </x:c>
      <x:c r="D26" s="264" t="str">
        <x:v>Exclude area or reject</x:v>
      </x:c>
      <x:c r="E26" s="264" t="str">
        <x:v>Engineer</x:v>
      </x:c>
      <x:c r="F26" s="264" t="str">
        <x:v>Before clearing</x:v>
      </x:c>
      <x:c r="G26" s="281" t="str">
        <x:v>OPEN</x:v>
      </x:c>
      <x:c r="H26" s="264" t="str"/>
      <x:c r="I26" s="264"/>
      <x:c r="J26" s="264"/>
      <x:c r="K26" s="264"/>
    </x:row>
    <x:row r="27">
      <x:c r="A27" s="264"/>
      <x:c r="B27" s="264"/>
      <x:c r="C27" s="264"/>
      <x:c r="D27" s="264"/>
      <x:c r="E27" s="264"/>
      <x:c r="F27" s="264"/>
      <x:c r="G27" s="264"/>
      <x:c r="H27" s="264"/>
      <x:c r="I27" s="264"/>
      <x:c r="J27" s="264"/>
      <x:c r="K27" s="264"/>
    </x:row>
    <x:row r="28">
      <x:c r="A28" s="264"/>
      <x:c r="B28" s="264"/>
      <x:c r="C28" s="264"/>
      <x:c r="D28" s="264"/>
      <x:c r="E28" s="264"/>
      <x:c r="F28" s="264"/>
      <x:c r="G28" s="264"/>
      <x:c r="H28" s="264"/>
      <x:c r="I28" s="264"/>
      <x:c r="J28" s="264"/>
      <x:c r="K28" s="264"/>
    </x:row>
    <x:row r="29" ht="20" customHeight="1">
      <x:c r="A29" s="69" t="str">
        <x:v>C. Proses keputusan lahan empat minggu</x:v>
      </x:c>
      <x:c r="B29" s="69"/>
      <x:c r="C29" s="69"/>
      <x:c r="D29" s="69"/>
      <x:c r="E29" s="69"/>
      <x:c r="F29" s="69"/>
      <x:c r="G29" s="69"/>
      <x:c r="H29" s="264"/>
      <x:c r="I29" s="264"/>
      <x:c r="J29" s="264"/>
      <x:c r="K29" s="264"/>
    </x:row>
    <x:row r="30" ht="30" customHeight="1">
      <x:c r="A30" s="34" t="str">
        <x:v>Minggu</x:v>
      </x:c>
      <x:c r="B30" s="35" t="str">
        <x:v>Aktivitas</x:v>
      </x:c>
      <x:c r="C30" s="35" t="str">
        <x:v>Keluaran</x:v>
      </x:c>
      <x:c r="D30" s="35" t="str">
        <x:v>Orang</x:v>
      </x:c>
      <x:c r="E30" s="35" t="str">
        <x:v>Durasi</x:v>
      </x:c>
      <x:c r="F30" s="35" t="str">
        <x:v>Tautan anggaran</x:v>
      </x:c>
      <x:c r="G30" s="36" t="str">
        <x:v>Keputusan</x:v>
      </x:c>
      <x:c r="H30" s="264"/>
      <x:c r="I30" s="264"/>
      <x:c r="J30" s="264"/>
      <x:c r="K30" s="264"/>
    </x:row>
    <x:row r="31">
      <x:c r="A31" s="264" t="n">
        <x:v>1</x:v>
      </x:c>
      <x:c r="B31" s="264" t="str">
        <x:v>Desktop shortlist + legal data room</x:v>
      </x:c>
      <x:c r="C31" s="264" t="str">
        <x:v>2-4 candidates, document gaps</x:v>
      </x:c>
      <x:c r="D31" s="264" t="n">
        <x:v>4</x:v>
      </x:c>
      <x:c r="E31" s="264" t="str">
        <x:v>5 days</x:v>
      </x:c>
      <x:c r="F31" s="264" t="str">
        <x:v>CAPEX Assessment</x:v>
      </x:c>
      <x:c r="G31" s="264" t="str">
        <x:v>Shortlist</x:v>
      </x:c>
      <x:c r="H31" s="264"/>
      <x:c r="I31" s="264"/>
      <x:c r="J31" s="264"/>
      <x:c r="K31" s="264"/>
    </x:row>
    <x:row r="32">
      <x:c r="A32" s="264" t="n">
        <x:v>2</x:v>
      </x:c>
      <x:c r="B32" s="264" t="str">
        <x:v>Reconnaissance, community, drone/boundary</x:v>
      </x:c>
      <x:c r="C32" s="264" t="str">
        <x:v>Orthomosaic, access, red flags</x:v>
      </x:c>
      <x:c r="D32" s="264" t="n">
        <x:v>8</x:v>
      </x:c>
      <x:c r="E32" s="264" t="str">
        <x:v>5-7 days</x:v>
      </x:c>
      <x:c r="F32" s="264" t="str">
        <x:v>CAPEX Survey</x:v>
      </x:c>
      <x:c r="G32" s="264" t="str">
        <x:v>Drop clear No-Go</x:v>
      </x:c>
      <x:c r="H32" s="264"/>
      <x:c r="I32" s="264"/>
      <x:c r="J32" s="264"/>
      <x:c r="K32" s="264"/>
    </x:row>
    <x:row r="33">
      <x:c r="A33" s="264" t="n">
        <x:v>3</x:v>
      </x:c>
      <x:c r="B33" s="264" t="str">
        <x:v>Soil, pits, infiltration, water, HCV</x:v>
      </x:c>
      <x:c r="C33" s="264" t="str">
        <x:v>Lab samples and field evidence</x:v>
      </x:c>
      <x:c r="D33" s="264" t="n">
        <x:v>10</x:v>
      </x:c>
      <x:c r="E33" s="264" t="str">
        <x:v>5-7 days</x:v>
      </x:c>
      <x:c r="F33" s="264" t="str">
        <x:v>CAPEX Survey</x:v>
      </x:c>
      <x:c r="G33" s="264" t="str">
        <x:v>Conditional Go</x:v>
      </x:c>
      <x:c r="H33" s="264"/>
      <x:c r="I33" s="264"/>
      <x:c r="J33" s="264"/>
      <x:c r="K33" s="264"/>
    </x:row>
    <x:row r="34">
      <x:c r="A34" s="264" t="n">
        <x:v>4</x:v>
      </x:c>
      <x:c r="B34" s="264" t="str">
        <x:v>Scoring, master concept, vendor BOQ</x:v>
      </x:c>
      <x:c r="C34" s="264" t="str">
        <x:v>Go/No-Go memo + negotiation cap</x:v>
      </x:c>
      <x:c r="D34" s="264" t="n">
        <x:v>6</x:v>
      </x:c>
      <x:c r="E34" s="264" t="str">
        <x:v>5 days</x:v>
      </x:c>
      <x:c r="F34" s="264" t="str">
        <x:v>CAPEX Design</x:v>
      </x:c>
      <x:c r="G34" s="264" t="str">
        <x:v>Investment decision</x:v>
      </x:c>
      <x:c r="H34" s="264"/>
      <x:c r="I34" s="264"/>
      <x:c r="J34" s="264"/>
      <x:c r="K34" s="264"/>
    </x:row>
  </x:sheetData>
  <x:mergeCells>
    <x:mergeCell ref="A1:K1"/>
    <x:mergeCell ref="A2:K2"/>
    <x:mergeCell ref="A4:K4"/>
    <x:mergeCell ref="A16:D16"/>
    <x:mergeCell ref="A19:H19"/>
    <x:mergeCell ref="A29:G29"/>
  </x:mergeCells>
  <x:dataValidations count="2">
    <x:dataValidation type="whole" operator="between" sqref="E6:H15">
      <x:formula1>1</x:formula1>
      <x:formula2>5</x:formula2>
    </x:dataValidation>
    <x:dataValidation type="list" sqref="G21:G26">
      <x:formula1>"OPEN,PASS,NO-GO"</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5" hidden="0" customWidth="1"/>
    <x:col min="4" max="4" width="17" hidden="0" customWidth="1"/>
    <x:col min="5" max="5" width="15" hidden="0" customWidth="1"/>
    <x:col min="6" max="6" width="17" hidden="0" customWidth="1"/>
    <x:col min="7" max="7" width="15" hidden="0" customWidth="1"/>
    <x:col min="8" max="8" width="17" hidden="0" customWidth="1"/>
    <x:col min="9" max="9" width="15" hidden="0" customWidth="1"/>
    <x:col min="10" max="10" width="15" hidden="0" customWidth="1"/>
    <x:col min="11" max="11" width="15" hidden="0" customWidth="1"/>
    <x:col min="12" max="12" width="15" hidden="0" customWidth="1"/>
    <x:col min="13" max="13" width="15" hidden="0" customWidth="1"/>
    <x:col min="14" max="14" width="46" hidden="0" customWidth="1"/>
    <x:col min="15" max="15" width="10" hidden="0" customWidth="1"/>
  </x:cols>
  <x:sheetData>
    <x:row r="1" ht="28" customHeight="1">
      <x:c r="A1" s="313" t="str">
        <x:v>Desain Populasi dan Pengadaan Bibit</x:v>
      </x:c>
      <x:c r="B1" s="313"/>
      <x:c r="C1" s="313"/>
      <x:c r="D1" s="313"/>
      <x:c r="E1" s="313"/>
      <x:c r="F1" s="313"/>
      <x:c r="G1" s="313"/>
      <x:c r="H1" s="313"/>
      <x:c r="I1" s="313"/>
      <x:c r="J1" s="313"/>
      <x:c r="K1" s="313"/>
      <x:c r="L1" s="313"/>
      <x:c r="M1" s="313"/>
      <x:c r="N1" s="313"/>
      <x:c r="O1" s="313"/>
    </x:row>
    <x:row r="2" ht="38" customHeight="1">
      <x:c r="A2" s="7" t="str">
        <x:v>Menerjemahkan luas efektif dan kerapatan menjadi populasi kelapa, durian, pisang, tanaman pendukung, serta kebutuhan bibit dan biaya awal. Seluruh tanaman berada dalam satu matriks agroforestri terpadu, bukan blok komoditas terpisah.</x:v>
      </x:c>
      <x:c r="B2" s="7"/>
      <x:c r="C2" s="7"/>
      <x:c r="D2" s="7"/>
      <x:c r="E2" s="7"/>
      <x:c r="F2" s="7"/>
      <x:c r="G2" s="7"/>
      <x:c r="H2" s="7"/>
      <x:c r="I2" s="7"/>
      <x:c r="J2" s="7"/>
      <x:c r="K2" s="7"/>
      <x:c r="L2" s="7"/>
      <x:c r="M2" s="7"/>
      <x:c r="N2" s="7"/>
      <x:c r="O2" s="7"/>
    </x:row>
    <x:row r="3">
      <x:c r="A3" s="261"/>
      <x:c r="B3" s="261"/>
      <x:c r="C3" s="261"/>
      <x:c r="D3" s="261"/>
      <x:c r="E3" s="261"/>
      <x:c r="F3" s="261"/>
      <x:c r="G3" s="261"/>
      <x:c r="H3" s="261"/>
      <x:c r="I3" s="261"/>
      <x:c r="J3" s="261"/>
      <x:c r="K3" s="261"/>
      <x:c r="L3" s="261"/>
      <x:c r="M3" s="261"/>
      <x:c r="N3" s="261"/>
      <x:c r="O3" s="261"/>
    </x:row>
    <x:row r="4" ht="20" customHeight="1">
      <x:c r="A4" s="316" t="str">
        <x:v>A. Populasi lapangan dalam matriks terpadu</x:v>
      </x:c>
      <x:c r="B4" s="316"/>
      <x:c r="C4" s="316"/>
      <x:c r="D4" s="316"/>
      <x:c r="E4" s="316"/>
      <x:c r="F4" s="316"/>
      <x:c r="G4" s="316"/>
      <x:c r="H4" s="316"/>
      <x:c r="I4" s="316"/>
      <x:c r="J4" s="316"/>
      <x:c r="K4" s="316"/>
      <x:c r="L4" s="316"/>
      <x:c r="M4" s="316"/>
      <x:c r="N4" s="316"/>
      <x:c r="O4" s="316"/>
    </x:row>
    <x:row r="5" ht="32" customHeight="1">
      <x:c r="A5" s="320" t="str">
        <x:v>Lapisan/area</x:v>
      </x:c>
      <x:c r="B5" s="321" t="str">
        <x:v>Area (ha)</x:v>
      </x:c>
      <x:c r="C5" s="321" t="str">
        <x:v>Kelapa/ha</x:v>
      </x:c>
      <x:c r="D5" s="321" t="str">
        <x:v>Kelapa</x:v>
      </x:c>
      <x:c r="E5" s="321" t="str">
        <x:v>Durian/ha</x:v>
      </x:c>
      <x:c r="F5" s="321" t="str">
        <x:v>Durian</x:v>
      </x:c>
      <x:c r="G5" s="321" t="str">
        <x:v>Pisang/ha</x:v>
      </x:c>
      <x:c r="H5" s="321" t="str">
        <x:v>Pisang</x:v>
      </x:c>
      <x:c r="I5" s="321" t="str">
        <x:v>Gamal</x:v>
      </x:c>
      <x:c r="J5" s="321" t="str">
        <x:v>Indigofera</x:v>
      </x:c>
      <x:c r="K5" s="322" t="str">
        <x:v>Serai wangi</x:v>
      </x:c>
      <x:c r="L5" s="338" t="str">
        <x:v>Nanas</x:v>
      </x:c>
      <x:c r="M5" s="338" t="str">
        <x:v>Penutup tanah (ha)</x:v>
      </x:c>
      <x:c r="N5" s="338" t="str">
        <x:v>Keterangan</x:v>
      </x:c>
      <x:c r="O5" s="338" t="str">
        <x:v>Aktif</x:v>
      </x:c>
    </x:row>
    <x:row r="6">
      <x:c r="A6" s="263" t="str">
        <x:v>Agroforestri terpadu</x:v>
      </x:c>
      <x:c r="B6" s="324" t="n">
        <x:f>'02_Assumptions'!$C$24</x:f>
        <x:v>88</x:v>
      </x:c>
      <x:c r="C6" s="324" t="n">
        <x:f>'02_Assumptions'!$C$26</x:f>
        <x:v>83</x:v>
      </x:c>
      <x:c r="D6" s="324" t="n">
        <x:f>$B6*$C6*'02_Assumptions'!$C$150</x:f>
        <x:v>7304</x:v>
      </x:c>
      <x:c r="E6" s="324" t="n">
        <x:f>'02_Assumptions'!$C$27</x:f>
        <x:v>30</x:v>
      </x:c>
      <x:c r="F6" s="324" t="n">
        <x:f>$B6*$E6*'02_Assumptions'!$C$151</x:f>
        <x:v>2640</x:v>
      </x:c>
      <x:c r="G6" s="324" t="n">
        <x:f>'02_Assumptions'!$C$28</x:f>
        <x:v>500</x:v>
      </x:c>
      <x:c r="H6" s="324" t="n">
        <x:f>$B6*$G6*'02_Assumptions'!$C$152</x:f>
        <x:v>44000</x:v>
      </x:c>
      <x:c r="I6" s="324" t="n">
        <x:f>$B6*'02_Assumptions'!$C$29*'02_Assumptions'!$C$153</x:f>
        <x:v>13200</x:v>
      </x:c>
      <x:c r="J6" s="324" t="n">
        <x:f>$B6*'02_Assumptions'!$C$30*'02_Assumptions'!$C$154</x:f>
        <x:v>26400</x:v>
      </x:c>
      <x:c r="K6" s="324" t="n">
        <x:f>$B6*'02_Assumptions'!$C$31*'02_Assumptions'!$C$155</x:f>
        <x:v>35200</x:v>
      </x:c>
      <x:c r="L6" s="324" t="n">
        <x:f>'17_Model_Fleksibel'!$E$6</x:f>
        <x:v>0</x:v>
      </x:c>
      <x:c r="M6" s="324" t="n">
        <x:f>'17_Model_Fleksibel'!$E$7</x:f>
        <x:v>57.2</x:v>
      </x:c>
      <x:c r="N6" s="261" t="str">
        <x:v>Semua komoditas berada pada areal yang sama</x:v>
      </x:c>
      <x:c r="O6" s="261" t="n">
        <x:v>1</x:v>
      </x:c>
    </x:row>
    <x:row r="7">
      <x:c r="A7" s="263" t="str">
        <x:v>Area non-tanam</x:v>
      </x:c>
      <x:c r="B7" s="324" t="n">
        <x:f>'02_Assumptions'!$C$25</x:f>
        <x:v>12</x:v>
      </x:c>
      <x:c r="C7" s="324" t="n">
        <x:v>0</x:v>
      </x:c>
      <x:c r="D7" s="324" t="n">
        <x:v>0</x:v>
      </x:c>
      <x:c r="E7" s="324" t="n">
        <x:v>0</x:v>
      </x:c>
      <x:c r="F7" s="324" t="n">
        <x:v>0</x:v>
      </x:c>
      <x:c r="G7" s="324" t="n">
        <x:v>0</x:v>
      </x:c>
      <x:c r="H7" s="324" t="n">
        <x:v>0</x:v>
      </x:c>
      <x:c r="I7" s="324" t="n">
        <x:v>0</x:v>
      </x:c>
      <x:c r="J7" s="324" t="n">
        <x:v>0</x:v>
      </x:c>
      <x:c r="K7" s="324" t="n">
        <x:v>0</x:v>
      </x:c>
      <x:c r="L7" s="324" t="n">
        <x:v>0</x:v>
      </x:c>
      <x:c r="M7" s="324" t="n">
        <x:v>0</x:v>
      </x:c>
      <x:c r="N7" s="261" t="str">
        <x:v>Jalan, sempadan, sarana, dan area lindung</x:v>
      </x:c>
      <x:c r="O7" s="261" t="n">
        <x:v>0</x:v>
      </x:c>
    </x:row>
    <x:row r="8">
      <x:c r="A8" s="395" t="str">
        <x:v>TOTAL</x:v>
      </x:c>
      <x:c r="B8" s="399" t="n">
        <x:f>SUM(B6:B7)</x:f>
        <x:v>100</x:v>
      </x:c>
      <x:c r="C8" s="399"/>
      <x:c r="D8" s="399" t="n">
        <x:f>SUM(D6:D7)</x:f>
        <x:v>7304</x:v>
      </x:c>
      <x:c r="E8" s="399"/>
      <x:c r="F8" s="399" t="n">
        <x:f>SUM(F6:F7)</x:f>
        <x:v>2640</x:v>
      </x:c>
      <x:c r="G8" s="399"/>
      <x:c r="H8" s="399" t="n">
        <x:f>SUM(H6:H7)</x:f>
        <x:v>44000</x:v>
      </x:c>
      <x:c r="I8" s="399" t="n">
        <x:f>SUM(I6:I7)</x:f>
        <x:v>13200</x:v>
      </x:c>
      <x:c r="J8" s="399" t="n">
        <x:f>SUM(J6:J7)</x:f>
        <x:v>26400</x:v>
      </x:c>
      <x:c r="K8" s="399" t="n">
        <x:f>SUM(K6:K7)</x:f>
        <x:v>35200</x:v>
      </x:c>
      <x:c r="L8" s="443" t="n">
        <x:f>SUM(L6:L7)</x:f>
        <x:v>0</x:v>
      </x:c>
      <x:c r="M8" s="443" t="n">
        <x:f>SUM(M6:M7)</x:f>
        <x:v>57.2</x:v>
      </x:c>
      <x:c r="N8" s="444"/>
      <x:c r="O8" s="444"/>
    </x:row>
    <x:row r="9">
      <x:c r="A9" s="263"/>
      <x:c r="B9" s="263"/>
      <x:c r="C9" s="263"/>
      <x:c r="D9" s="263"/>
      <x:c r="E9" s="263"/>
      <x:c r="F9" s="263"/>
      <x:c r="G9" s="263"/>
      <x:c r="H9" s="263"/>
      <x:c r="I9" s="263"/>
      <x:c r="J9" s="263"/>
      <x:c r="K9" s="263"/>
      <x:c r="L9" s="261"/>
      <x:c r="M9" s="261"/>
      <x:c r="N9" s="261"/>
      <x:c r="O9" s="261"/>
    </x:row>
    <x:row r="10">
      <x:c r="A10" s="263"/>
      <x:c r="B10" s="263"/>
      <x:c r="C10" s="263"/>
      <x:c r="D10" s="263"/>
      <x:c r="E10" s="263"/>
      <x:c r="F10" s="263"/>
      <x:c r="G10" s="263"/>
      <x:c r="H10" s="263"/>
      <x:c r="I10" s="263"/>
      <x:c r="J10" s="263"/>
      <x:c r="K10" s="263"/>
      <x:c r="L10" s="261"/>
      <x:c r="M10" s="261"/>
      <x:c r="N10" s="261"/>
      <x:c r="O10" s="261"/>
    </x:row>
    <x:row r="11" ht="20" customHeight="1">
      <x:c r="A11" s="41" t="str">
        <x:v>B. Pengadaan bibit termasuk cadangan sulaman</x:v>
      </x:c>
      <x:c r="B11" s="41"/>
      <x:c r="C11" s="41"/>
      <x:c r="D11" s="41"/>
      <x:c r="E11" s="41"/>
      <x:c r="F11" s="41"/>
      <x:c r="G11" s="41"/>
      <x:c r="H11" s="41"/>
      <x:c r="I11" s="263"/>
      <x:c r="J11" s="263"/>
      <x:c r="K11" s="263"/>
      <x:c r="L11" s="261"/>
      <x:c r="M11" s="261"/>
      <x:c r="N11" s="261"/>
      <x:c r="O11" s="261"/>
    </x:row>
    <x:row r="12" ht="30" customHeight="1">
      <x:c r="A12" s="34" t="str">
        <x:v>Bibit</x:v>
      </x:c>
      <x:c r="B12" s="35" t="str">
        <x:v>Kebutuhan lapangan</x:v>
      </x:c>
      <x:c r="C12" s="35" t="str">
        <x:v>Cadangan</x:v>
      </x:c>
      <x:c r="D12" s="35" t="str">
        <x:v>Jumlah dibeli</x:v>
      </x:c>
      <x:c r="E12" s="35" t="str">
        <x:v>Satuan</x:v>
      </x:c>
      <x:c r="F12" s="35" t="str">
        <x:v>Harga/satuan</x:v>
      </x:c>
      <x:c r="G12" s="35" t="str">
        <x:v>Total</x:v>
      </x:c>
      <x:c r="H12" s="36" t="str">
        <x:v>Catatan</x:v>
      </x:c>
      <x:c r="I12" s="263"/>
      <x:c r="J12" s="263"/>
      <x:c r="K12" s="263"/>
      <x:c r="L12" s="261"/>
      <x:c r="M12" s="261"/>
      <x:c r="N12" s="261"/>
      <x:c r="O12" s="261"/>
    </x:row>
    <x:row r="13">
      <x:c r="A13" s="263" t="str">
        <x:v>Kelapa genjah</x:v>
      </x:c>
      <x:c r="B13" s="284" t="n">
        <x:f>$D$8</x:f>
        <x:v>7304</x:v>
      </x:c>
      <x:c r="C13" s="285" t="n">
        <x:f>'02_Assumptions'!$C$34</x:f>
        <x:v>0.1</x:v>
      </x:c>
      <x:c r="D13" s="284" t="n">
        <x:f>$B13*(1+$C13)</x:f>
        <x:v>8034.400000000001</x:v>
      </x:c>
      <x:c r="E13" s="263" t="str">
        <x:v>bibit</x:v>
      </x:c>
      <x:c r="F13" s="271" t="n">
        <x:f>'02_Assumptions'!$C$53</x:f>
        <x:v>65000</x:v>
      </x:c>
      <x:c r="G13" s="271" t="n">
        <x:f>$D13*$F13</x:f>
        <x:v>522236000.00000006</x:v>
      </x:c>
      <x:c r="H13" s="263" t="str">
        <x:v>Varietas bersertifikat dan sesuai elevasi serta pasar</x:v>
      </x:c>
      <x:c r="I13" s="263"/>
      <x:c r="J13" s="263"/>
      <x:c r="K13" s="263"/>
      <x:c r="L13" s="261"/>
      <x:c r="M13" s="261"/>
      <x:c r="N13" s="261"/>
      <x:c r="O13" s="261"/>
    </x:row>
    <x:row r="14">
      <x:c r="A14" s="263" t="str">
        <x:v>Durian okulasi</x:v>
      </x:c>
      <x:c r="B14" s="284" t="n">
        <x:f>$F$8</x:f>
        <x:v>2640</x:v>
      </x:c>
      <x:c r="C14" s="285" t="n">
        <x:f>'02_Assumptions'!$C$34</x:f>
        <x:v>0.1</x:v>
      </x:c>
      <x:c r="D14" s="284" t="n">
        <x:f>$B14*(1+$C14)</x:f>
        <x:v>2904.0000000000005</x:v>
      </x:c>
      <x:c r="E14" s="263" t="str">
        <x:v>bibit</x:v>
      </x:c>
      <x:c r="F14" s="271" t="n">
        <x:f>'02_Assumptions'!$C$54</x:f>
        <x:v>75000</x:v>
      </x:c>
      <x:c r="G14" s="271" t="n">
        <x:f>$D14*$F14</x:f>
        <x:v>217800000.00000003</x:v>
      </x:c>
      <x:c r="H14" s="263" t="str">
        <x:v>Campuran varietas untuk penyerbukan dan sebaran risiko</x:v>
      </x:c>
      <x:c r="I14" s="263"/>
      <x:c r="J14" s="263"/>
      <x:c r="K14" s="263"/>
      <x:c r="L14" s="261"/>
      <x:c r="M14" s="261"/>
      <x:c r="N14" s="261"/>
      <x:c r="O14" s="261"/>
    </x:row>
    <x:row r="15">
      <x:c r="A15" s="263" t="str">
        <x:v>Pisang kultur jaringan</x:v>
      </x:c>
      <x:c r="B15" s="284" t="n">
        <x:f>$H$8</x:f>
        <x:v>44000</x:v>
      </x:c>
      <x:c r="C15" s="285" t="n">
        <x:f>'02_Assumptions'!$C$34</x:f>
        <x:v>0.1</x:v>
      </x:c>
      <x:c r="D15" s="284" t="n">
        <x:f>$B15*(1+$C15)</x:f>
        <x:v>48400.00000000001</x:v>
      </x:c>
      <x:c r="E15" s="263" t="str">
        <x:v>bibit</x:v>
      </x:c>
      <x:c r="F15" s="271" t="n">
        <x:f>'02_Assumptions'!$C$55</x:f>
        <x:v>15000</x:v>
      </x:c>
      <x:c r="G15" s="271" t="n">
        <x:f>$D15*$F15</x:f>
        <x:v>726000000.0000001</x:v>
      </x:c>
      <x:c r="H15" s="263" t="str">
        <x:v>Karantina batch dan aklimatisasi</x:v>
      </x:c>
      <x:c r="I15" s="263"/>
      <x:c r="J15" s="263"/>
      <x:c r="K15" s="263"/>
      <x:c r="L15" s="261"/>
      <x:c r="M15" s="261"/>
      <x:c r="N15" s="261"/>
      <x:c r="O15" s="261"/>
    </x:row>
    <x:row r="16">
      <x:c r="A16" s="263" t="str">
        <x:v>Gamal</x:v>
      </x:c>
      <x:c r="B16" s="284" t="n">
        <x:f>$I$8</x:f>
        <x:v>13200</x:v>
      </x:c>
      <x:c r="C16" s="285" t="n">
        <x:f>'02_Assumptions'!$C$34</x:f>
        <x:v>0.1</x:v>
      </x:c>
      <x:c r="D16" s="284" t="n">
        <x:f>$B16*(1+$C16)</x:f>
        <x:v>14520.000000000002</x:v>
      </x:c>
      <x:c r="E16" s="263" t="str">
        <x:v>stek</x:v>
      </x:c>
      <x:c r="F16" s="271" t="n">
        <x:f>'02_Assumptions'!$C$56</x:f>
        <x:v>2500</x:v>
      </x:c>
      <x:c r="G16" s="271" t="n">
        <x:f>$D16*$F16</x:f>
        <x:v>36300000.00000001</x:v>
      </x:c>
      <x:c r="H16" s="263" t="str">
        <x:v>Pagar hidup dan biomassa</x:v>
      </x:c>
      <x:c r="I16" s="263"/>
      <x:c r="J16" s="263"/>
      <x:c r="K16" s="263"/>
      <x:c r="L16" s="261"/>
      <x:c r="M16" s="261"/>
      <x:c r="N16" s="261"/>
      <x:c r="O16" s="261"/>
    </x:row>
    <x:row r="17">
      <x:c r="A17" s="263" t="str">
        <x:v>Indigofera</x:v>
      </x:c>
      <x:c r="B17" s="284" t="n">
        <x:f>$J$8</x:f>
        <x:v>26400</x:v>
      </x:c>
      <x:c r="C17" s="285" t="n">
        <x:f>'02_Assumptions'!$C$34</x:f>
        <x:v>0.1</x:v>
      </x:c>
      <x:c r="D17" s="284" t="n">
        <x:f>$B17*(1+$C17)</x:f>
        <x:v>29040.000000000004</x:v>
      </x:c>
      <x:c r="E17" s="263" t="str">
        <x:v>bibit</x:v>
      </x:c>
      <x:c r="F17" s="271" t="n">
        <x:f>'02_Assumptions'!$C$57</x:f>
        <x:v>3000</x:v>
      </x:c>
      <x:c r="G17" s="271" t="n">
        <x:f>$D17*$F17</x:f>
        <x:v>87120000.00000001</x:v>
      </x:c>
      <x:c r="H17" s="263" t="str">
        <x:v>Dipangkas agar tidak menaungi</x:v>
      </x:c>
      <x:c r="I17" s="263"/>
      <x:c r="J17" s="263"/>
      <x:c r="K17" s="263"/>
      <x:c r="L17" s="261"/>
      <x:c r="M17" s="261"/>
      <x:c r="N17" s="261"/>
      <x:c r="O17" s="261"/>
    </x:row>
    <x:row r="18">
      <x:c r="A18" s="263" t="str">
        <x:v>Serai wangi</x:v>
      </x:c>
      <x:c r="B18" s="284" t="n">
        <x:f>$K$8</x:f>
        <x:v>35200</x:v>
      </x:c>
      <x:c r="C18" s="285" t="n">
        <x:f>'02_Assumptions'!$C$34</x:f>
        <x:v>0.1</x:v>
      </x:c>
      <x:c r="D18" s="284" t="n">
        <x:f>$B18*(1+$C18)</x:f>
        <x:v>38720</x:v>
      </x:c>
      <x:c r="E18" s="263" t="str">
        <x:v>anakan</x:v>
      </x:c>
      <x:c r="F18" s="271" t="n">
        <x:f>'02_Assumptions'!$C$58</x:f>
        <x:v>1500</x:v>
      </x:c>
      <x:c r="G18" s="271" t="n">
        <x:f>$D18*$F18</x:f>
        <x:v>58080000</x:v>
      </x:c>
      <x:c r="H18" s="263" t="str">
        <x:v>Strip kontur dan batas</x:v>
      </x:c>
      <x:c r="I18" s="263"/>
      <x:c r="J18" s="263"/>
      <x:c r="K18" s="263"/>
      <x:c r="L18" s="261"/>
      <x:c r="M18" s="261"/>
      <x:c r="N18" s="261"/>
      <x:c r="O18" s="261"/>
    </x:row>
    <x:row r="19">
      <x:c r="A19" s="286" t="str">
        <x:v>TOTAL PENGADAAN BIBIT TERMASUK OPSI</x:v>
      </x:c>
      <x:c r="B19" s="286"/>
      <x:c r="C19" s="286"/>
      <x:c r="D19" s="286"/>
      <x:c r="E19" s="286"/>
      <x:c r="F19" s="286"/>
      <x:c r="G19" s="286" t="n">
        <x:f>SUM(G13:G18)+'17_Model_Fleksibel'!$I$18</x:f>
        <x:v>1716176000.0000002</x:v>
      </x:c>
      <x:c r="H19" s="263"/>
      <x:c r="I19" s="263"/>
      <x:c r="J19" s="263"/>
      <x:c r="K19" s="263"/>
      <x:c r="L19" s="261"/>
      <x:c r="M19" s="261"/>
      <x:c r="N19" s="261"/>
      <x:c r="O19" s="261"/>
    </x:row>
    <x:row r="20">
      <x:c r="A20" s="263"/>
      <x:c r="B20" s="263"/>
      <x:c r="C20" s="263"/>
      <x:c r="D20" s="263"/>
      <x:c r="E20" s="263"/>
      <x:c r="F20" s="263"/>
      <x:c r="G20" s="263"/>
      <x:c r="H20" s="263"/>
      <x:c r="I20" s="263"/>
      <x:c r="J20" s="263"/>
      <x:c r="K20" s="263"/>
      <x:c r="L20" s="261"/>
      <x:c r="M20" s="261"/>
      <x:c r="N20" s="261"/>
      <x:c r="O20" s="261"/>
    </x:row>
    <x:row r="21">
      <x:c r="A21" s="263"/>
      <x:c r="B21" s="263"/>
      <x:c r="C21" s="263"/>
      <x:c r="D21" s="263"/>
      <x:c r="E21" s="263"/>
      <x:c r="F21" s="263"/>
      <x:c r="G21" s="263"/>
      <x:c r="H21" s="263"/>
      <x:c r="I21" s="263"/>
      <x:c r="J21" s="263"/>
      <x:c r="K21" s="263"/>
      <x:c r="L21" s="261"/>
      <x:c r="M21" s="261"/>
      <x:c r="N21" s="261"/>
      <x:c r="O21" s="261"/>
    </x:row>
    <x:row r="22" ht="20" customHeight="1">
      <x:c r="A22" s="41" t="str">
        <x:v>C. Populasi hidup untuk model hasil</x:v>
      </x:c>
      <x:c r="B22" s="41"/>
      <x:c r="C22" s="41"/>
      <x:c r="D22" s="41"/>
      <x:c r="E22" s="263"/>
      <x:c r="F22" s="263"/>
      <x:c r="G22" s="263"/>
      <x:c r="H22" s="263"/>
      <x:c r="I22" s="263"/>
      <x:c r="J22" s="263"/>
      <x:c r="K22" s="263"/>
      <x:c r="L22" s="261"/>
      <x:c r="M22" s="261"/>
      <x:c r="N22" s="261"/>
      <x:c r="O22" s="261"/>
    </x:row>
    <x:row r="23" ht="30" customHeight="1">
      <x:c r="A23" s="34" t="str">
        <x:v>Komoditas</x:v>
      </x:c>
      <x:c r="B23" s="35" t="str">
        <x:v>Populasi lapangan</x:v>
      </x:c>
      <x:c r="C23" s="35" t="str">
        <x:v>Survival</x:v>
      </x:c>
      <x:c r="D23" s="36" t="str">
        <x:v>Tanaman hidup</x:v>
      </x:c>
      <x:c r="E23" s="263"/>
      <x:c r="F23" s="263"/>
      <x:c r="G23" s="263"/>
      <x:c r="H23" s="263"/>
      <x:c r="I23" s="263"/>
      <x:c r="J23" s="263"/>
      <x:c r="K23" s="263"/>
      <x:c r="L23" s="261"/>
      <x:c r="M23" s="261"/>
      <x:c r="N23" s="261"/>
      <x:c r="O23" s="261"/>
    </x:row>
    <x:row r="24">
      <x:c r="A24" s="263" t="str">
        <x:v>Kelapa</x:v>
      </x:c>
      <x:c r="B24" s="284" t="n">
        <x:f>D8</x:f>
        <x:v>7304</x:v>
      </x:c>
      <x:c r="C24" s="285" t="n">
        <x:f>'02_Assumptions'!$C$40</x:f>
        <x:v>0.95</x:v>
      </x:c>
      <x:c r="D24" s="284" t="n">
        <x:f>B24*C24</x:f>
        <x:v>6938.799999999999</x:v>
      </x:c>
      <x:c r="E24" s="263"/>
      <x:c r="F24" s="263"/>
      <x:c r="G24" s="263"/>
      <x:c r="H24" s="263"/>
      <x:c r="I24" s="263"/>
      <x:c r="J24" s="263"/>
      <x:c r="K24" s="263"/>
      <x:c r="L24" s="261"/>
      <x:c r="M24" s="261"/>
      <x:c r="N24" s="261"/>
      <x:c r="O24" s="261"/>
    </x:row>
    <x:row r="25">
      <x:c r="A25" s="263" t="str">
        <x:v>Durian</x:v>
      </x:c>
      <x:c r="B25" s="284" t="n">
        <x:f>F8</x:f>
        <x:v>2640</x:v>
      </x:c>
      <x:c r="C25" s="285" t="n">
        <x:f>'02_Assumptions'!$C$41</x:f>
        <x:v>0.9</x:v>
      </x:c>
      <x:c r="D25" s="284" t="n">
        <x:f>B25*C25</x:f>
        <x:v>2376</x:v>
      </x:c>
      <x:c r="E25" s="263"/>
      <x:c r="F25" s="263"/>
      <x:c r="G25" s="263"/>
      <x:c r="H25" s="263"/>
      <x:c r="I25" s="263"/>
      <x:c r="J25" s="263"/>
      <x:c r="K25" s="263"/>
      <x:c r="L25" s="261"/>
      <x:c r="M25" s="261"/>
      <x:c r="N25" s="261"/>
      <x:c r="O25" s="261"/>
    </x:row>
    <x:row r="26">
      <x:c r="A26" s="263" t="str">
        <x:v>Pisang</x:v>
      </x:c>
      <x:c r="B26" s="284" t="n">
        <x:f>H8</x:f>
        <x:v>44000</x:v>
      </x:c>
      <x:c r="C26" s="285" t="n">
        <x:f>'02_Assumptions'!$C$42</x:f>
        <x:v>0.92</x:v>
      </x:c>
      <x:c r="D26" s="284" t="n">
        <x:f>B26*C26</x:f>
        <x:v>40480</x:v>
      </x:c>
      <x:c r="E26" s="263"/>
      <x:c r="F26" s="263"/>
      <x:c r="G26" s="263"/>
      <x:c r="H26" s="263"/>
      <x:c r="I26" s="263"/>
      <x:c r="J26" s="263"/>
      <x:c r="K26" s="263"/>
      <x:c r="L26" s="261"/>
      <x:c r="M26" s="261"/>
      <x:c r="N26" s="261"/>
      <x:c r="O26" s="261"/>
    </x:row>
    <x:row r="27">
      <x:c r="A27" s="263"/>
      <x:c r="B27" s="263"/>
      <x:c r="C27" s="263"/>
      <x:c r="D27" s="263"/>
      <x:c r="E27" s="263"/>
      <x:c r="F27" s="263"/>
      <x:c r="G27" s="263"/>
      <x:c r="H27" s="263"/>
      <x:c r="I27" s="263"/>
      <x:c r="J27" s="263"/>
      <x:c r="K27" s="263"/>
      <x:c r="L27" s="261"/>
      <x:c r="M27" s="261"/>
      <x:c r="N27" s="261"/>
      <x:c r="O27" s="261"/>
    </x:row>
    <x:row r="28">
      <x:c r="A28" s="263"/>
      <x:c r="B28" s="263"/>
      <x:c r="C28" s="263"/>
      <x:c r="D28" s="263"/>
      <x:c r="E28" s="263"/>
      <x:c r="F28" s="263"/>
      <x:c r="G28" s="263"/>
      <x:c r="H28" s="263"/>
      <x:c r="I28" s="263"/>
      <x:c r="J28" s="263"/>
      <x:c r="K28" s="263"/>
      <x:c r="L28" s="261"/>
      <x:c r="M28" s="261"/>
      <x:c r="N28" s="261"/>
      <x:c r="O28" s="261"/>
    </x:row>
    <x:row r="29" ht="20" customHeight="1">
      <x:c r="A29" s="41" t="str">
        <x:v>D. Fungsi tanaman pendukung dan aturan desain</x:v>
      </x:c>
      <x:c r="B29" s="41"/>
      <x:c r="C29" s="41"/>
      <x:c r="D29" s="41"/>
      <x:c r="E29" s="41"/>
      <x:c r="F29" s="41"/>
      <x:c r="G29" s="41"/>
      <x:c r="H29" s="41"/>
      <x:c r="I29" s="263"/>
      <x:c r="J29" s="263"/>
      <x:c r="K29" s="263"/>
      <x:c r="L29" s="261"/>
      <x:c r="M29" s="261"/>
      <x:c r="N29" s="261"/>
      <x:c r="O29" s="261"/>
    </x:row>
    <x:row r="30" ht="30" customHeight="1">
      <x:c r="A30" s="34" t="str">
        <x:v>Tanaman/elemen</x:v>
      </x:c>
      <x:c r="B30" s="35" t="str">
        <x:v>Fungsi</x:v>
      </x:c>
      <x:c r="C30" s="35" t="str">
        <x:v>Posisi</x:v>
      </x:c>
      <x:c r="D30" s="35" t="str">
        <x:v>Pengelolaan</x:v>
      </x:c>
      <x:c r="E30" s="35" t="str">
        <x:v>Risiko</x:v>
      </x:c>
      <x:c r="F30" s="35" t="str">
        <x:v>Pendapatan dasar</x:v>
      </x:c>
      <x:c r="G30" s="35" t="str">
        <x:v>Keputusan</x:v>
      </x:c>
      <x:c r="H30" s="36" t="str">
        <x:v>Catatan</x:v>
      </x:c>
      <x:c r="I30" s="263"/>
      <x:c r="J30" s="263"/>
      <x:c r="K30" s="263"/>
      <x:c r="L30" s="261"/>
      <x:c r="M30" s="261"/>
      <x:c r="N30" s="261"/>
      <x:c r="O30" s="261"/>
    </x:row>
    <x:row r="31">
      <x:c r="A31" s="264" t="str">
        <x:v>Gamal (Gliricidia)</x:v>
      </x:c>
      <x:c r="B31" s="264" t="str">
        <x:v>Pengikat N, pagar hidup, biomassa</x:v>
      </x:c>
      <x:c r="C31" s="264" t="str">
        <x:v>Lorong, kontur, dan batas</x:v>
      </x:c>
      <x:c r="D31" s="264" t="str">
        <x:v>Pangkas 3–4 kali/tahun</x:v>
      </x:c>
      <x:c r="E31" s="264" t="str">
        <x:v>Kompetisi cahaya/akar</x:v>
      </x:c>
      <x:c r="F31" s="287" t="n">
        <x:v>0</x:v>
      </x:c>
      <x:c r="G31" s="264" t="str">
        <x:v>Masuk</x:v>
      </x:c>
      <x:c r="H31" s="264" t="str">
        <x:v>Tidak dianggap sebagai pestisida</x:v>
      </x:c>
      <x:c r="I31" s="263"/>
      <x:c r="J31" s="263"/>
      <x:c r="K31" s="263"/>
      <x:c r="L31" s="261"/>
      <x:c r="M31" s="261"/>
      <x:c r="N31" s="261"/>
      <x:c r="O31" s="261"/>
    </x:row>
    <x:row r="32">
      <x:c r="A32" s="264" t="str">
        <x:v>Indigofera</x:v>
      </x:c>
      <x:c r="B32" s="264" t="str">
        <x:v>Pengikat N, biomassa, habitat</x:v>
      </x:c>
      <x:c r="C32" s="264" t="str">
        <x:v>Lorong tersebar</x:v>
      </x:c>
      <x:c r="D32" s="264" t="str">
        <x:v>Pangkas dan benamkan biomassa</x:v>
      </x:c>
      <x:c r="E32" s="264" t="str">
        <x:v>Dapat menjadi semak</x:v>
      </x:c>
      <x:c r="F32" s="287" t="n">
        <x:v>0</x:v>
      </x:c>
      <x:c r="G32" s="264" t="str">
        <x:v>Masuk</x:v>
      </x:c>
      <x:c r="H32" s="264" t="str">
        <x:v>Potensi pakan bila ada ternak</x:v>
      </x:c>
      <x:c r="I32" s="263"/>
      <x:c r="J32" s="263"/>
      <x:c r="K32" s="263"/>
      <x:c r="L32" s="261"/>
      <x:c r="M32" s="261"/>
      <x:c r="N32" s="261"/>
      <x:c r="O32" s="261"/>
    </x:row>
    <x:row r="33">
      <x:c r="A33" s="264" t="str">
        <x:v>Serai wangi</x:v>
      </x:c>
      <x:c r="B33" s="264" t="str">
        <x:v>Strip aromatik dan pengendali erosi</x:v>
      </x:c>
      <x:c r="C33" s="264" t="str">
        <x:v>Tepi drainase dan kontur</x:v>
      </x:c>
      <x:c r="D33" s="264" t="str">
        <x:v>Panen/pangkas berkala</x:v>
      </x:c>
      <x:c r="E33" s="264" t="str">
        <x:v>Tidak menjamin hama hilang</x:v>
      </x:c>
      <x:c r="F33" s="287" t="n">
        <x:v>0</x:v>
      </x:c>
      <x:c r="G33" s="264" t="str">
        <x:v>Masuk</x:v>
      </x:c>
      <x:c r="H33" s="264" t="str">
        <x:v>Pendapatan nol tanpa penyulingan/offtake</x:v>
      </x:c>
      <x:c r="I33" s="263"/>
      <x:c r="J33" s="263"/>
      <x:c r="K33" s="263"/>
      <x:c r="L33" s="261"/>
      <x:c r="M33" s="261"/>
      <x:c r="N33" s="261"/>
      <x:c r="O33" s="261"/>
    </x:row>
    <x:row r="34">
      <x:c r="A34" s="264" t="str">
        <x:v>Arachis/kacang tunggak/Crotalaria</x:v>
      </x:c>
      <x:c r="B34" s="264" t="str">
        <x:v>Penutup tanah, N, pengendali erosi</x:v>
      </x:c>
      <x:c r="C34" s="264" t="str">
        <x:v>Lorong terbuka</x:v>
      </x:c>
      <x:c r="D34" s="264" t="str">
        <x:v>Rotasi; cegah lilitan pada pohon</x:v>
      </x:c>
      <x:c r="E34" s="264" t="str">
        <x:v>Rodensia/kompetisi</x:v>
      </x:c>
      <x:c r="F34" s="287" t="n">
        <x:v>0</x:v>
      </x:c>
      <x:c r="G34" s="264" t="str">
        <x:v>Masuk</x:v>
      </x:c>
      <x:c r="H34" s="264" t="str">
        <x:v>Campuran spesifik lokasi</x:v>
      </x:c>
      <x:c r="I34" s="263"/>
      <x:c r="J34" s="263"/>
      <x:c r="K34" s="263"/>
      <x:c r="L34" s="261"/>
      <x:c r="M34" s="261"/>
      <x:c r="N34" s="261"/>
      <x:c r="O34" s="261"/>
    </x:row>
    <x:row r="35">
      <x:c r="A35" s="264" t="str">
        <x:v>Strip tanaman berbunga</x:v>
      </x:c>
      <x:c r="B35" s="264" t="str">
        <x:v>Habitat musuh alami</x:v>
      </x:c>
      <x:c r="C35" s="264" t="str">
        <x:v>1–2% margin dan lorong</x:v>
      </x:c>
      <x:c r="D35" s="264" t="str">
        <x:v>Penaburan bertahap</x:v>
      </x:c>
      <x:c r="E35" s="264" t="str">
        <x:v>Dapat menjadi inang hama</x:v>
      </x:c>
      <x:c r="F35" s="287" t="n">
        <x:v>0</x:v>
      </x:c>
      <x:c r="G35" s="264" t="str">
        <x:v>Masuk</x:v>
      </x:c>
      <x:c r="H35" s="264" t="str">
        <x:v>Pilih jenis setempat</x:v>
      </x:c>
      <x:c r="I35" s="263"/>
      <x:c r="J35" s="263"/>
      <x:c r="K35" s="263"/>
      <x:c r="L35" s="261"/>
      <x:c r="M35" s="261"/>
      <x:c r="N35" s="261"/>
      <x:c r="O35" s="261"/>
    </x:row>
    <x:row r="36">
      <x:c r="A36" s="264" t="str">
        <x:v>Sempadan riparian/HCV</x:v>
      </x:c>
      <x:c r="B36" s="264" t="str">
        <x:v>Perlindungan air dan biodiversitas</x:v>
      </x:c>
      <x:c r="C36" s="264" t="str">
        <x:v>Area non-tanam</x:v>
      </x:c>
      <x:c r="D36" s="264" t="str">
        <x:v>Tandai, pantau, tanpa pembukaan</x:v>
      </x:c>
      <x:c r="E36" s="264" t="str">
        <x:v>Mengurangi areal efektif</x:v>
      </x:c>
      <x:c r="F36" s="287" t="n">
        <x:v>0</x:v>
      </x:c>
      <x:c r="G36" s="264" t="str">
        <x:v>Wajib</x:v>
      </x:c>
      <x:c r="H36" s="264" t="str">
        <x:v>Termasuk dalam area non-tanam</x:v>
      </x:c>
      <x:c r="I36" s="263"/>
      <x:c r="J36" s="263"/>
      <x:c r="K36" s="263"/>
      <x:c r="L36" s="261"/>
      <x:c r="M36" s="261"/>
      <x:c r="N36" s="261"/>
      <x:c r="O36" s="261"/>
    </x:row>
  </x:sheetData>
  <x:mergeCells>
    <x:mergeCell ref="A1:K1"/>
    <x:mergeCell ref="A2:K2"/>
    <x:mergeCell ref="A4:K4"/>
    <x:mergeCell ref="A11:H11"/>
    <x:mergeCell ref="A19:F19"/>
    <x:mergeCell ref="A22:D22"/>
    <x:mergeCell ref="A29:H29"/>
    <x:mergeCell ref="A1:O1"/>
    <x:mergeCell ref="A2:O2"/>
    <x:mergeCell ref="A4:O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31" hidden="0" customWidth="1"/>
    <x:col min="3" max="3" width="8" hidden="0" customWidth="1"/>
    <x:col min="4" max="4" width="8" hidden="0" customWidth="1"/>
    <x:col min="5" max="5" width="12" hidden="0" customWidth="1"/>
    <x:col min="6" max="6" width="12" hidden="0" customWidth="1"/>
    <x:col min="7" max="7" width="12" hidden="0" customWidth="1"/>
    <x:col min="8" max="8" width="10" hidden="0" customWidth="1"/>
    <x:col min="9" max="9" width="12" hidden="0" customWidth="1"/>
    <x:col min="10" max="10" width="12" hidden="0" customWidth="1"/>
    <x:col min="11" max="11" width="16" hidden="0" customWidth="1"/>
    <x:col min="12" max="12" width="16" hidden="0" customWidth="1"/>
    <x:col min="13" max="13" width="32"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12" hidden="0" customWidth="1"/>
  </x:cols>
  <x:sheetData>
    <x:row r="1" ht="28" customHeight="1">
      <x:c r="A1" s="3" t="str">
        <x:v>Rencana Kerja, HOK, Durasi, dan Kebutuhan Kru</x:v>
      </x:c>
      <x:c r="B1" s="3"/>
      <x:c r="C1" s="3"/>
      <x:c r="D1" s="3"/>
      <x:c r="E1" s="3"/>
      <x:c r="F1" s="3"/>
      <x:c r="G1" s="3"/>
      <x:c r="H1" s="3"/>
      <x:c r="I1" s="3"/>
      <x:c r="J1" s="3"/>
      <x:c r="K1" s="3"/>
      <x:c r="L1" s="3"/>
      <x:c r="M1" s="3"/>
      <x:c r="N1" s="3"/>
      <x:c r="O1" s="3"/>
      <x:c r="P1" s="3"/>
      <x:c r="Q1" s="3"/>
      <x:c r="R1" s="3"/>
      <x:c r="S1" s="3"/>
      <x:c r="T1" s="3"/>
      <x:c r="U1" s="3"/>
      <x:c r="V1" s="3"/>
      <x:c r="W1" s="3"/>
      <x:c r="X1" s="3"/>
      <x:c r="Y1" s="261"/>
      <x:c r="Z1" s="261"/>
    </x:row>
    <x:row r="2" ht="38" customHeight="1">
      <x:c r="A2" s="7" t="str">
        <x:v>Menjelaskan urutan kegiatan, durasi, HOK, biaya tenaga kerja, serta kebutuhan kru rata-rata dan puncak dari Tahun 0 sampai pemeliharaan. Gunakan untuk menyusun rencana mobilisasi, kontrak kerja, dan kalender operasi kebun.</x:v>
      </x:c>
      <x:c r="B2" s="7"/>
      <x:c r="C2" s="7"/>
      <x:c r="D2" s="7"/>
      <x:c r="E2" s="7"/>
      <x:c r="F2" s="7"/>
      <x:c r="G2" s="7"/>
      <x:c r="H2" s="7"/>
      <x:c r="I2" s="7"/>
      <x:c r="J2" s="7"/>
      <x:c r="K2" s="7"/>
      <x:c r="L2" s="7"/>
      <x:c r="M2" s="7"/>
      <x:c r="N2" s="7"/>
      <x:c r="O2" s="7"/>
      <x:c r="P2" s="7"/>
      <x:c r="Q2" s="7"/>
      <x:c r="R2" s="7"/>
      <x:c r="S2" s="7"/>
      <x:c r="T2" s="7"/>
      <x:c r="U2" s="7"/>
      <x:c r="V2" s="7"/>
      <x:c r="W2" s="7"/>
      <x:c r="X2" s="7"/>
      <x:c r="Y2" s="447"/>
      <x:c r="Z2" s="447"/>
    </x:row>
    <x:row r="3">
      <x:c r="A3" s="261"/>
      <x:c r="B3" s="261"/>
      <x:c r="C3" s="261"/>
      <x:c r="D3" s="261"/>
      <x:c r="E3" s="261"/>
      <x:c r="F3" s="261"/>
      <x:c r="G3" s="261"/>
      <x:c r="H3" s="261"/>
      <x:c r="I3" s="261"/>
      <x:c r="J3" s="261"/>
      <x:c r="K3" s="261"/>
      <x:c r="L3" s="261"/>
      <x:c r="M3" s="261"/>
      <x:c r="N3" s="261"/>
      <x:c r="O3" s="261"/>
      <x:c r="P3" s="261"/>
      <x:c r="Q3" s="261"/>
      <x:c r="R3" s="261"/>
      <x:c r="S3" s="261"/>
      <x:c r="T3" s="261"/>
      <x:c r="U3" s="261"/>
      <x:c r="V3" s="261"/>
      <x:c r="W3" s="261"/>
      <x:c r="X3" s="261"/>
      <x:c r="Y3" s="261"/>
      <x:c r="Z3" s="261"/>
    </x:row>
    <x:row r="4" ht="20" customHeight="1">
      <x:c r="A4" s="10" t="str">
        <x:v>A. Pekerjaan Tahun 0: dari uji tuntas sampai pembentukan tanaman</x:v>
      </x:c>
      <x:c r="B4" s="10"/>
      <x:c r="C4" s="10"/>
      <x:c r="D4" s="10"/>
      <x:c r="E4" s="10"/>
      <x:c r="F4" s="10"/>
      <x:c r="G4" s="10"/>
      <x:c r="H4" s="10"/>
      <x:c r="I4" s="10"/>
      <x:c r="J4" s="10"/>
      <x:c r="K4" s="10"/>
      <x:c r="L4" s="10"/>
      <x:c r="M4" s="10"/>
      <x:c r="N4" s="10"/>
      <x:c r="O4" s="10"/>
      <x:c r="P4" s="10"/>
      <x:c r="Q4" s="10"/>
      <x:c r="R4" s="10"/>
      <x:c r="S4" s="10"/>
      <x:c r="T4" s="10"/>
      <x:c r="U4" s="10"/>
      <x:c r="V4" s="10"/>
      <x:c r="W4" s="10"/>
      <x:c r="X4" s="10"/>
      <x:c r="Y4" s="261"/>
      <x:c r="Z4" s="261"/>
    </x:row>
    <x:row r="5" ht="30" customHeight="1">
      <x:c r="A5" s="34" t="str">
        <x:v>Tahap</x:v>
      </x:c>
      <x:c r="B5" s="35" t="str">
        <x:v>Aktivitas</x:v>
      </x:c>
      <x:c r="C5" s="35" t="str">
        <x:v>Mulai</x:v>
      </x:c>
      <x:c r="D5" s="35" t="str">
        <x:v>Selesai</x:v>
      </x:c>
      <x:c r="E5" s="35" t="str">
        <x:v>Basis</x:v>
      </x:c>
      <x:c r="F5" s="35" t="str">
        <x:v>Jumlah 1 lokasi</x:v>
      </x:c>
      <x:c r="G5" s="35" t="str">
        <x:v>Jumlah 4 lokasi</x:v>
      </x:c>
      <x:c r="H5" s="35" t="str">
        <x:v>HOK/unit</x:v>
      </x:c>
      <x:c r="I5" s="35" t="str">
        <x:v>HOK 1 lokasi</x:v>
      </x:c>
      <x:c r="J5" s="35" t="str">
        <x:v>HOK 4 lokasi</x:v>
      </x:c>
      <x:c r="K5" s="35" t="str">
        <x:v>Biaya langsung 1 lokasi</x:v>
      </x:c>
      <x:c r="L5" s="35" t="str">
        <x:v>Biaya langsung 4 lokasi</x:v>
      </x:c>
      <x:c r="M5" s="35" t="str">
        <x:v>Peralatan/catatan</x:v>
      </x:c>
      <x:c r="N5" s="35" t="str">
        <x:v>M1</x:v>
      </x:c>
      <x:c r="O5" s="35" t="str">
        <x:v>M2</x:v>
      </x:c>
      <x:c r="P5" s="35" t="str">
        <x:v>M3</x:v>
      </x:c>
      <x:c r="Q5" s="35" t="str">
        <x:v>M4</x:v>
      </x:c>
      <x:c r="R5" s="35" t="str">
        <x:v>M5</x:v>
      </x:c>
      <x:c r="S5" s="35" t="str">
        <x:v>M6</x:v>
      </x:c>
      <x:c r="T5" s="35" t="str">
        <x:v>M7</x:v>
      </x:c>
      <x:c r="U5" s="35" t="str">
        <x:v>M8</x:v>
      </x:c>
      <x:c r="V5" s="35" t="str">
        <x:v>M9</x:v>
      </x:c>
      <x:c r="W5" s="35" t="str">
        <x:v>M10</x:v>
      </x:c>
      <x:c r="X5" s="35" t="str">
        <x:v>M11</x:v>
      </x:c>
      <x:c r="Y5" s="35" t="str">
        <x:v>M12</x:v>
      </x:c>
      <x:c r="Z5" s="36" t="str">
        <x:v>Crew selected</x:v>
      </x:c>
    </x:row>
    <x:row r="6">
      <x:c r="A6" s="264" t="str">
        <x:v>Assessment</x:v>
      </x:c>
      <x:c r="B6" s="264" t="str">
        <x:v>Desktop shortlist &amp; GIS</x:v>
      </x:c>
      <x:c r="C6" s="264" t="n">
        <x:v>1</x:v>
      </x:c>
      <x:c r="D6" s="264" t="n">
        <x:v>1</x:v>
      </x:c>
      <x:c r="E6" s="264" t="str">
        <x:v>lot</x:v>
      </x:c>
      <x:c r="F6" s="288" t="n">
        <x:v>1</x:v>
      </x:c>
      <x:c r="G6" s="288" t="n">
        <x:v>1</x:v>
      </x:c>
      <x:c r="H6" s="288" t="n">
        <x:v>30</x:v>
      </x:c>
      <x:c r="I6" s="288" t="n">
        <x:f>F6*H6</x:f>
        <x:v>30</x:v>
      </x:c>
      <x:c r="J6" s="288" t="n">
        <x:f>G6*H6</x:f>
        <x:v>30</x:v>
      </x:c>
      <x:c r="K6" s="287" t="n">
        <x:f>0</x:f>
        <x:v>0</x:v>
      </x:c>
      <x:c r="L6" s="287" t="n">
        <x:f>0</x:f>
        <x:v>0</x:v>
      </x:c>
      <x:c r="M6" s="264" t="str">
        <x:v>Professional service</x:v>
      </x:c>
      <x:c r="N6" s="288" t="n">
        <x:f>IF(AND(1&gt;=$C6,1&lt;=$D6),IF('02_Assumptions'!$C$8=4,$J6,$I6)/($D6-$C6+1),0)</x:f>
        <x:v>30</x:v>
      </x:c>
      <x:c r="O6" s="288" t="n">
        <x:f>IF(AND(2&gt;=$C6,2&lt;=$D6),IF('02_Assumptions'!$C$8=4,$J6,$I6)/($D6-$C6+1),0)</x:f>
        <x:v>0</x:v>
      </x:c>
      <x:c r="P6" s="288" t="n">
        <x:f>IF(AND(3&gt;=$C6,3&lt;=$D6),IF('02_Assumptions'!$C$8=4,$J6,$I6)/($D6-$C6+1),0)</x:f>
        <x:v>0</x:v>
      </x:c>
      <x:c r="Q6" s="288" t="n">
        <x:f>IF(AND(4&gt;=$C6,4&lt;=$D6),IF('02_Assumptions'!$C$8=4,$J6,$I6)/($D6-$C6+1),0)</x:f>
        <x:v>0</x:v>
      </x:c>
      <x:c r="R6" s="288" t="n">
        <x:f>IF(AND(5&gt;=$C6,5&lt;=$D6),IF('02_Assumptions'!$C$8=4,$J6,$I6)/($D6-$C6+1),0)</x:f>
        <x:v>0</x:v>
      </x:c>
      <x:c r="S6" s="288" t="n">
        <x:f>IF(AND(6&gt;=$C6,6&lt;=$D6),IF('02_Assumptions'!$C$8=4,$J6,$I6)/($D6-$C6+1),0)</x:f>
        <x:v>0</x:v>
      </x:c>
      <x:c r="T6" s="288" t="n">
        <x:f>IF(AND(7&gt;=$C6,7&lt;=$D6),IF('02_Assumptions'!$C$8=4,$J6,$I6)/($D6-$C6+1),0)</x:f>
        <x:v>0</x:v>
      </x:c>
      <x:c r="U6" s="288" t="n">
        <x:f>IF(AND(8&gt;=$C6,8&lt;=$D6),IF('02_Assumptions'!$C$8=4,$J6,$I6)/($D6-$C6+1),0)</x:f>
        <x:v>0</x:v>
      </x:c>
      <x:c r="V6" s="288" t="n">
        <x:f>IF(AND(9&gt;=$C6,9&lt;=$D6),IF('02_Assumptions'!$C$8=4,$J6,$I6)/($D6-$C6+1),0)</x:f>
        <x:v>0</x:v>
      </x:c>
      <x:c r="W6" s="288" t="n">
        <x:f>IF(AND(10&gt;=$C6,10&lt;=$D6),IF('02_Assumptions'!$C$8=4,$J6,$I6)/($D6-$C6+1),0)</x:f>
        <x:v>0</x:v>
      </x:c>
      <x:c r="X6" s="288" t="n">
        <x:f>IF(AND(11&gt;=$C6,11&lt;=$D6),IF('02_Assumptions'!$C$8=4,$J6,$I6)/($D6-$C6+1),0)</x:f>
        <x:v>0</x:v>
      </x:c>
      <x:c r="Y6" s="288" t="n">
        <x:f>IF(AND(12&gt;=$C6,12&lt;=$D6),IF('02_Assumptions'!$C$8=4,$J6,$I6)/($D6-$C6+1),0)</x:f>
        <x:v>0</x:v>
      </x:c>
      <x:c r="Z6" s="288" t="n">
        <x:f>IF('02_Assumptions'!$C$8=4,J6,I6)/(D6-C6+1)/'02_Assumptions'!$C$9</x:f>
        <x:v>1.2</x:v>
      </x:c>
    </x:row>
    <x:row r="7">
      <x:c r="A7" s="264" t="str">
        <x:v>Assessment</x:v>
      </x:c>
      <x:c r="B7" s="264" t="str">
        <x:v>Legal/tenure due diligence</x:v>
      </x:c>
      <x:c r="C7" s="264" t="n">
        <x:v>1</x:v>
      </x:c>
      <x:c r="D7" s="264" t="n">
        <x:v>2</x:v>
      </x:c>
      <x:c r="E7" s="264" t="str">
        <x:v>site</x:v>
      </x:c>
      <x:c r="F7" s="288" t="n">
        <x:v>1</x:v>
      </x:c>
      <x:c r="G7" s="288" t="n">
        <x:v>4</x:v>
      </x:c>
      <x:c r="H7" s="288" t="n">
        <x:v>40</x:v>
      </x:c>
      <x:c r="I7" s="288" t="n">
        <x:f>F7*H7</x:f>
        <x:v>40</x:v>
      </x:c>
      <x:c r="J7" s="288" t="n">
        <x:f>G7*H7</x:f>
        <x:v>160</x:v>
      </x:c>
      <x:c r="K7" s="287" t="n">
        <x:f>0</x:f>
        <x:v>0</x:v>
      </x:c>
      <x:c r="L7" s="287" t="n">
        <x:f>0</x:f>
        <x:v>0</x:v>
      </x:c>
      <x:c r="M7" s="264" t="str">
        <x:v>Legal fee in CAPEX</x:v>
      </x:c>
      <x:c r="N7" s="288" t="n">
        <x:f>IF(AND(1&gt;=$C7,1&lt;=$D7),IF('02_Assumptions'!$C$8=4,$J7,$I7)/($D7-$C7+1),0)</x:f>
        <x:v>20</x:v>
      </x:c>
      <x:c r="O7" s="288" t="n">
        <x:f>IF(AND(2&gt;=$C7,2&lt;=$D7),IF('02_Assumptions'!$C$8=4,$J7,$I7)/($D7-$C7+1),0)</x:f>
        <x:v>20</x:v>
      </x:c>
      <x:c r="P7" s="288" t="n">
        <x:f>IF(AND(3&gt;=$C7,3&lt;=$D7),IF('02_Assumptions'!$C$8=4,$J7,$I7)/($D7-$C7+1),0)</x:f>
        <x:v>0</x:v>
      </x:c>
      <x:c r="Q7" s="288" t="n">
        <x:f>IF(AND(4&gt;=$C7,4&lt;=$D7),IF('02_Assumptions'!$C$8=4,$J7,$I7)/($D7-$C7+1),0)</x:f>
        <x:v>0</x:v>
      </x:c>
      <x:c r="R7" s="288" t="n">
        <x:f>IF(AND(5&gt;=$C7,5&lt;=$D7),IF('02_Assumptions'!$C$8=4,$J7,$I7)/($D7-$C7+1),0)</x:f>
        <x:v>0</x:v>
      </x:c>
      <x:c r="S7" s="288" t="n">
        <x:f>IF(AND(6&gt;=$C7,6&lt;=$D7),IF('02_Assumptions'!$C$8=4,$J7,$I7)/($D7-$C7+1),0)</x:f>
        <x:v>0</x:v>
      </x:c>
      <x:c r="T7" s="288" t="n">
        <x:f>IF(AND(7&gt;=$C7,7&lt;=$D7),IF('02_Assumptions'!$C$8=4,$J7,$I7)/($D7-$C7+1),0)</x:f>
        <x:v>0</x:v>
      </x:c>
      <x:c r="U7" s="288" t="n">
        <x:f>IF(AND(8&gt;=$C7,8&lt;=$D7),IF('02_Assumptions'!$C$8=4,$J7,$I7)/($D7-$C7+1),0)</x:f>
        <x:v>0</x:v>
      </x:c>
      <x:c r="V7" s="288" t="n">
        <x:f>IF(AND(9&gt;=$C7,9&lt;=$D7),IF('02_Assumptions'!$C$8=4,$J7,$I7)/($D7-$C7+1),0)</x:f>
        <x:v>0</x:v>
      </x:c>
      <x:c r="W7" s="288" t="n">
        <x:f>IF(AND(10&gt;=$C7,10&lt;=$D7),IF('02_Assumptions'!$C$8=4,$J7,$I7)/($D7-$C7+1),0)</x:f>
        <x:v>0</x:v>
      </x:c>
      <x:c r="X7" s="288" t="n">
        <x:f>IF(AND(11&gt;=$C7,11&lt;=$D7),IF('02_Assumptions'!$C$8=4,$J7,$I7)/($D7-$C7+1),0)</x:f>
        <x:v>0</x:v>
      </x:c>
      <x:c r="Y7" s="288" t="n">
        <x:f>IF(AND(12&gt;=$C7,12&lt;=$D7),IF('02_Assumptions'!$C$8=4,$J7,$I7)/($D7-$C7+1),0)</x:f>
        <x:v>0</x:v>
      </x:c>
      <x:c r="Z7" s="288" t="n">
        <x:f>IF('02_Assumptions'!$C$8=4,J7,I7)/(D7-C7+1)/'02_Assumptions'!$C$9</x:f>
        <x:v>0.8</x:v>
      </x:c>
    </x:row>
    <x:row r="8">
      <x:c r="A8" s="264" t="str">
        <x:v>Assessment</x:v>
      </x:c>
      <x:c r="B8" s="264" t="str">
        <x:v>Reconnaissance &amp; community check</x:v>
      </x:c>
      <x:c r="C8" s="264" t="n">
        <x:v>1</x:v>
      </x:c>
      <x:c r="D8" s="264" t="n">
        <x:v>2</x:v>
      </x:c>
      <x:c r="E8" s="264" t="str">
        <x:v>site</x:v>
      </x:c>
      <x:c r="F8" s="288" t="n">
        <x:v>1</x:v>
      </x:c>
      <x:c r="G8" s="288" t="n">
        <x:v>4</x:v>
      </x:c>
      <x:c r="H8" s="288" t="n">
        <x:v>30</x:v>
      </x:c>
      <x:c r="I8" s="288" t="n">
        <x:f>F8*H8</x:f>
        <x:v>30</x:v>
      </x:c>
      <x:c r="J8" s="288" t="n">
        <x:f>G8*H8</x:f>
        <x:v>120</x:v>
      </x:c>
      <x:c r="K8" s="287" t="n">
        <x:f>0</x:f>
        <x:v>0</x:v>
      </x:c>
      <x:c r="L8" s="287" t="n">
        <x:f>0</x:f>
        <x:v>0</x:v>
      </x:c>
      <x:c r="M8" s="264" t="str">
        <x:v>Travel package in CAPEX</x:v>
      </x:c>
      <x:c r="N8" s="288" t="n">
        <x:f>IF(AND(1&gt;=$C8,1&lt;=$D8),IF('02_Assumptions'!$C$8=4,$J8,$I8)/($D8-$C8+1),0)</x:f>
        <x:v>15</x:v>
      </x:c>
      <x:c r="O8" s="288" t="n">
        <x:f>IF(AND(2&gt;=$C8,2&lt;=$D8),IF('02_Assumptions'!$C$8=4,$J8,$I8)/($D8-$C8+1),0)</x:f>
        <x:v>15</x:v>
      </x:c>
      <x:c r="P8" s="288" t="n">
        <x:f>IF(AND(3&gt;=$C8,3&lt;=$D8),IF('02_Assumptions'!$C$8=4,$J8,$I8)/($D8-$C8+1),0)</x:f>
        <x:v>0</x:v>
      </x:c>
      <x:c r="Q8" s="288" t="n">
        <x:f>IF(AND(4&gt;=$C8,4&lt;=$D8),IF('02_Assumptions'!$C$8=4,$J8,$I8)/($D8-$C8+1),0)</x:f>
        <x:v>0</x:v>
      </x:c>
      <x:c r="R8" s="288" t="n">
        <x:f>IF(AND(5&gt;=$C8,5&lt;=$D8),IF('02_Assumptions'!$C$8=4,$J8,$I8)/($D8-$C8+1),0)</x:f>
        <x:v>0</x:v>
      </x:c>
      <x:c r="S8" s="288" t="n">
        <x:f>IF(AND(6&gt;=$C8,6&lt;=$D8),IF('02_Assumptions'!$C$8=4,$J8,$I8)/($D8-$C8+1),0)</x:f>
        <x:v>0</x:v>
      </x:c>
      <x:c r="T8" s="288" t="n">
        <x:f>IF(AND(7&gt;=$C8,7&lt;=$D8),IF('02_Assumptions'!$C$8=4,$J8,$I8)/($D8-$C8+1),0)</x:f>
        <x:v>0</x:v>
      </x:c>
      <x:c r="U8" s="288" t="n">
        <x:f>IF(AND(8&gt;=$C8,8&lt;=$D8),IF('02_Assumptions'!$C$8=4,$J8,$I8)/($D8-$C8+1),0)</x:f>
        <x:v>0</x:v>
      </x:c>
      <x:c r="V8" s="288" t="n">
        <x:f>IF(AND(9&gt;=$C8,9&lt;=$D8),IF('02_Assumptions'!$C$8=4,$J8,$I8)/($D8-$C8+1),0)</x:f>
        <x:v>0</x:v>
      </x:c>
      <x:c r="W8" s="288" t="n">
        <x:f>IF(AND(10&gt;=$C8,10&lt;=$D8),IF('02_Assumptions'!$C$8=4,$J8,$I8)/($D8-$C8+1),0)</x:f>
        <x:v>0</x:v>
      </x:c>
      <x:c r="X8" s="288" t="n">
        <x:f>IF(AND(11&gt;=$C8,11&lt;=$D8),IF('02_Assumptions'!$C$8=4,$J8,$I8)/($D8-$C8+1),0)</x:f>
        <x:v>0</x:v>
      </x:c>
      <x:c r="Y8" s="288" t="n">
        <x:f>IF(AND(12&gt;=$C8,12&lt;=$D8),IF('02_Assumptions'!$C$8=4,$J8,$I8)/($D8-$C8+1),0)</x:f>
        <x:v>0</x:v>
      </x:c>
      <x:c r="Z8" s="288" t="n">
        <x:f>IF('02_Assumptions'!$C$8=4,J8,I8)/(D8-C8+1)/'02_Assumptions'!$C$9</x:f>
        <x:v>0.6</x:v>
      </x:c>
    </x:row>
    <x:row r="9">
      <x:c r="A9" s="264" t="str">
        <x:v>Survey</x:v>
      </x:c>
      <x:c r="B9" s="264" t="str">
        <x:v>Drone/boundary/topo survey</x:v>
      </x:c>
      <x:c r="C9" s="264" t="n">
        <x:v>2</x:v>
      </x:c>
      <x:c r="D9" s="264" t="n">
        <x:v>3</x:v>
      </x:c>
      <x:c r="E9" s="264" t="str">
        <x:v>ha</x:v>
      </x:c>
      <x:c r="F9" s="288" t="n">
        <x:f>'02_Assumptions'!$C$6</x:f>
        <x:v>100</x:v>
      </x:c>
      <x:c r="G9" s="288" t="n">
        <x:f>'02_Assumptions'!$C$6</x:f>
        <x:v>100</x:v>
      </x:c>
      <x:c r="H9" s="288" t="n">
        <x:v>0.2</x:v>
      </x:c>
      <x:c r="I9" s="288" t="n">
        <x:f>F9*H9</x:f>
        <x:v>20</x:v>
      </x:c>
      <x:c r="J9" s="288" t="n">
        <x:f>G9*H9</x:f>
        <x:v>20</x:v>
      </x:c>
      <x:c r="K9" s="287" t="n">
        <x:f>0</x:f>
        <x:v>0</x:v>
      </x:c>
      <x:c r="L9" s="287" t="n">
        <x:f>0</x:f>
        <x:v>0</x:v>
      </x:c>
      <x:c r="M9" s="264" t="str">
        <x:v>Professional service</x:v>
      </x:c>
      <x:c r="N9" s="288" t="n">
        <x:f>IF(AND(1&gt;=$C9,1&lt;=$D9),IF('02_Assumptions'!$C$8=4,$J9,$I9)/($D9-$C9+1),0)</x:f>
        <x:v>0</x:v>
      </x:c>
      <x:c r="O9" s="288" t="n">
        <x:f>IF(AND(2&gt;=$C9,2&lt;=$D9),IF('02_Assumptions'!$C$8=4,$J9,$I9)/($D9-$C9+1),0)</x:f>
        <x:v>10</x:v>
      </x:c>
      <x:c r="P9" s="288" t="n">
        <x:f>IF(AND(3&gt;=$C9,3&lt;=$D9),IF('02_Assumptions'!$C$8=4,$J9,$I9)/($D9-$C9+1),0)</x:f>
        <x:v>10</x:v>
      </x:c>
      <x:c r="Q9" s="288" t="n">
        <x:f>IF(AND(4&gt;=$C9,4&lt;=$D9),IF('02_Assumptions'!$C$8=4,$J9,$I9)/($D9-$C9+1),0)</x:f>
        <x:v>0</x:v>
      </x:c>
      <x:c r="R9" s="288" t="n">
        <x:f>IF(AND(5&gt;=$C9,5&lt;=$D9),IF('02_Assumptions'!$C$8=4,$J9,$I9)/($D9-$C9+1),0)</x:f>
        <x:v>0</x:v>
      </x:c>
      <x:c r="S9" s="288" t="n">
        <x:f>IF(AND(6&gt;=$C9,6&lt;=$D9),IF('02_Assumptions'!$C$8=4,$J9,$I9)/($D9-$C9+1),0)</x:f>
        <x:v>0</x:v>
      </x:c>
      <x:c r="T9" s="288" t="n">
        <x:f>IF(AND(7&gt;=$C9,7&lt;=$D9),IF('02_Assumptions'!$C$8=4,$J9,$I9)/($D9-$C9+1),0)</x:f>
        <x:v>0</x:v>
      </x:c>
      <x:c r="U9" s="288" t="n">
        <x:f>IF(AND(8&gt;=$C9,8&lt;=$D9),IF('02_Assumptions'!$C$8=4,$J9,$I9)/($D9-$C9+1),0)</x:f>
        <x:v>0</x:v>
      </x:c>
      <x:c r="V9" s="288" t="n">
        <x:f>IF(AND(9&gt;=$C9,9&lt;=$D9),IF('02_Assumptions'!$C$8=4,$J9,$I9)/($D9-$C9+1),0)</x:f>
        <x:v>0</x:v>
      </x:c>
      <x:c r="W9" s="288" t="n">
        <x:f>IF(AND(10&gt;=$C9,10&lt;=$D9),IF('02_Assumptions'!$C$8=4,$J9,$I9)/($D9-$C9+1),0)</x:f>
        <x:v>0</x:v>
      </x:c>
      <x:c r="X9" s="288" t="n">
        <x:f>IF(AND(11&gt;=$C9,11&lt;=$D9),IF('02_Assumptions'!$C$8=4,$J9,$I9)/($D9-$C9+1),0)</x:f>
        <x:v>0</x:v>
      </x:c>
      <x:c r="Y9" s="288" t="n">
        <x:f>IF(AND(12&gt;=$C9,12&lt;=$D9),IF('02_Assumptions'!$C$8=4,$J9,$I9)/($D9-$C9+1),0)</x:f>
        <x:v>0</x:v>
      </x:c>
      <x:c r="Z9" s="288" t="n">
        <x:f>IF('02_Assumptions'!$C$8=4,J9,I9)/(D9-C9+1)/'02_Assumptions'!$C$9</x:f>
        <x:v>0.4</x:v>
      </x:c>
    </x:row>
    <x:row r="10">
      <x:c r="A10" s="264" t="str">
        <x:v>Survey</x:v>
      </x:c>
      <x:c r="B10" s="264" t="str">
        <x:v>Soil composite sampling</x:v>
      </x:c>
      <x:c r="C10" s="264" t="n">
        <x:v>2</x:v>
      </x:c>
      <x:c r="D10" s="264" t="n">
        <x:v>3</x:v>
      </x:c>
      <x:c r="E10" s="264" t="str">
        <x:v>sample</x:v>
      </x:c>
      <x:c r="F10" s="288" t="n">
        <x:f>'02_Assumptions'!$C$6/'02_Assumptions'!$C$96</x:f>
        <x:v>40</x:v>
      </x:c>
      <x:c r="G10" s="288" t="n">
        <x:f>'02_Assumptions'!$C$6/'02_Assumptions'!$C$96+12</x:f>
        <x:v>52</x:v>
      </x:c>
      <x:c r="H10" s="288" t="n">
        <x:v>1</x:v>
      </x:c>
      <x:c r="I10" s="288" t="n">
        <x:f>F10*H10</x:f>
        <x:v>40</x:v>
      </x:c>
      <x:c r="J10" s="288" t="n">
        <x:f>G10*H10</x:f>
        <x:v>52</x:v>
      </x:c>
      <x:c r="K10" s="287" t="n">
        <x:f>0</x:f>
        <x:v>0</x:v>
      </x:c>
      <x:c r="L10" s="287" t="n">
        <x:f>0</x:f>
        <x:v>0</x:v>
      </x:c>
      <x:c r="M10" s="264" t="str">
        <x:v>Lab/survey package</x:v>
      </x:c>
      <x:c r="N10" s="288" t="n">
        <x:f>IF(AND(1&gt;=$C10,1&lt;=$D10),IF('02_Assumptions'!$C$8=4,$J10,$I10)/($D10-$C10+1),0)</x:f>
        <x:v>0</x:v>
      </x:c>
      <x:c r="O10" s="288" t="n">
        <x:f>IF(AND(2&gt;=$C10,2&lt;=$D10),IF('02_Assumptions'!$C$8=4,$J10,$I10)/($D10-$C10+1),0)</x:f>
        <x:v>20</x:v>
      </x:c>
      <x:c r="P10" s="288" t="n">
        <x:f>IF(AND(3&gt;=$C10,3&lt;=$D10),IF('02_Assumptions'!$C$8=4,$J10,$I10)/($D10-$C10+1),0)</x:f>
        <x:v>20</x:v>
      </x:c>
      <x:c r="Q10" s="288" t="n">
        <x:f>IF(AND(4&gt;=$C10,4&lt;=$D10),IF('02_Assumptions'!$C$8=4,$J10,$I10)/($D10-$C10+1),0)</x:f>
        <x:v>0</x:v>
      </x:c>
      <x:c r="R10" s="288" t="n">
        <x:f>IF(AND(5&gt;=$C10,5&lt;=$D10),IF('02_Assumptions'!$C$8=4,$J10,$I10)/($D10-$C10+1),0)</x:f>
        <x:v>0</x:v>
      </x:c>
      <x:c r="S10" s="288" t="n">
        <x:f>IF(AND(6&gt;=$C10,6&lt;=$D10),IF('02_Assumptions'!$C$8=4,$J10,$I10)/($D10-$C10+1),0)</x:f>
        <x:v>0</x:v>
      </x:c>
      <x:c r="T10" s="288" t="n">
        <x:f>IF(AND(7&gt;=$C10,7&lt;=$D10),IF('02_Assumptions'!$C$8=4,$J10,$I10)/($D10-$C10+1),0)</x:f>
        <x:v>0</x:v>
      </x:c>
      <x:c r="U10" s="288" t="n">
        <x:f>IF(AND(8&gt;=$C10,8&lt;=$D10),IF('02_Assumptions'!$C$8=4,$J10,$I10)/($D10-$C10+1),0)</x:f>
        <x:v>0</x:v>
      </x:c>
      <x:c r="V10" s="288" t="n">
        <x:f>IF(AND(9&gt;=$C10,9&lt;=$D10),IF('02_Assumptions'!$C$8=4,$J10,$I10)/($D10-$C10+1),0)</x:f>
        <x:v>0</x:v>
      </x:c>
      <x:c r="W10" s="288" t="n">
        <x:f>IF(AND(10&gt;=$C10,10&lt;=$D10),IF('02_Assumptions'!$C$8=4,$J10,$I10)/($D10-$C10+1),0)</x:f>
        <x:v>0</x:v>
      </x:c>
      <x:c r="X10" s="288" t="n">
        <x:f>IF(AND(11&gt;=$C10,11&lt;=$D10),IF('02_Assumptions'!$C$8=4,$J10,$I10)/($D10-$C10+1),0)</x:f>
        <x:v>0</x:v>
      </x:c>
      <x:c r="Y10" s="288" t="n">
        <x:f>IF(AND(12&gt;=$C10,12&lt;=$D10),IF('02_Assumptions'!$C$8=4,$J10,$I10)/($D10-$C10+1),0)</x:f>
        <x:v>0</x:v>
      </x:c>
      <x:c r="Z10" s="288" t="n">
        <x:f>IF('02_Assumptions'!$C$8=4,J10,I10)/(D10-C10+1)/'02_Assumptions'!$C$9</x:f>
        <x:v>0.8</x:v>
      </x:c>
    </x:row>
    <x:row r="11">
      <x:c r="A11" s="264" t="str">
        <x:v>Safeguard</x:v>
      </x:c>
      <x:c r="B11" s="264" t="str">
        <x:v>E&amp;S/HCV baseline</x:v>
      </x:c>
      <x:c r="C11" s="264" t="n">
        <x:v>2</x:v>
      </x:c>
      <x:c r="D11" s="264" t="n">
        <x:v>3</x:v>
      </x:c>
      <x:c r="E11" s="264" t="str">
        <x:v>site</x:v>
      </x:c>
      <x:c r="F11" s="288" t="n">
        <x:v>1</x:v>
      </x:c>
      <x:c r="G11" s="288" t="n">
        <x:v>4</x:v>
      </x:c>
      <x:c r="H11" s="288" t="n">
        <x:v>60</x:v>
      </x:c>
      <x:c r="I11" s="288" t="n">
        <x:f>F11*H11</x:f>
        <x:v>60</x:v>
      </x:c>
      <x:c r="J11" s="288" t="n">
        <x:f>G11*H11</x:f>
        <x:v>240</x:v>
      </x:c>
      <x:c r="K11" s="287" t="n">
        <x:f>0</x:f>
        <x:v>0</x:v>
      </x:c>
      <x:c r="L11" s="287" t="n">
        <x:f>0</x:f>
        <x:v>0</x:v>
      </x:c>
      <x:c r="M11" s="264" t="str">
        <x:v>Consultant package</x:v>
      </x:c>
      <x:c r="N11" s="288" t="n">
        <x:f>IF(AND(1&gt;=$C11,1&lt;=$D11),IF('02_Assumptions'!$C$8=4,$J11,$I11)/($D11-$C11+1),0)</x:f>
        <x:v>0</x:v>
      </x:c>
      <x:c r="O11" s="288" t="n">
        <x:f>IF(AND(2&gt;=$C11,2&lt;=$D11),IF('02_Assumptions'!$C$8=4,$J11,$I11)/($D11-$C11+1),0)</x:f>
        <x:v>30</x:v>
      </x:c>
      <x:c r="P11" s="288" t="n">
        <x:f>IF(AND(3&gt;=$C11,3&lt;=$D11),IF('02_Assumptions'!$C$8=4,$J11,$I11)/($D11-$C11+1),0)</x:f>
        <x:v>30</x:v>
      </x:c>
      <x:c r="Q11" s="288" t="n">
        <x:f>IF(AND(4&gt;=$C11,4&lt;=$D11),IF('02_Assumptions'!$C$8=4,$J11,$I11)/($D11-$C11+1),0)</x:f>
        <x:v>0</x:v>
      </x:c>
      <x:c r="R11" s="288" t="n">
        <x:f>IF(AND(5&gt;=$C11,5&lt;=$D11),IF('02_Assumptions'!$C$8=4,$J11,$I11)/($D11-$C11+1),0)</x:f>
        <x:v>0</x:v>
      </x:c>
      <x:c r="S11" s="288" t="n">
        <x:f>IF(AND(6&gt;=$C11,6&lt;=$D11),IF('02_Assumptions'!$C$8=4,$J11,$I11)/($D11-$C11+1),0)</x:f>
        <x:v>0</x:v>
      </x:c>
      <x:c r="T11" s="288" t="n">
        <x:f>IF(AND(7&gt;=$C11,7&lt;=$D11),IF('02_Assumptions'!$C$8=4,$J11,$I11)/($D11-$C11+1),0)</x:f>
        <x:v>0</x:v>
      </x:c>
      <x:c r="U11" s="288" t="n">
        <x:f>IF(AND(8&gt;=$C11,8&lt;=$D11),IF('02_Assumptions'!$C$8=4,$J11,$I11)/($D11-$C11+1),0)</x:f>
        <x:v>0</x:v>
      </x:c>
      <x:c r="V11" s="288" t="n">
        <x:f>IF(AND(9&gt;=$C11,9&lt;=$D11),IF('02_Assumptions'!$C$8=4,$J11,$I11)/($D11-$C11+1),0)</x:f>
        <x:v>0</x:v>
      </x:c>
      <x:c r="W11" s="288" t="n">
        <x:f>IF(AND(10&gt;=$C11,10&lt;=$D11),IF('02_Assumptions'!$C$8=4,$J11,$I11)/($D11-$C11+1),0)</x:f>
        <x:v>0</x:v>
      </x:c>
      <x:c r="X11" s="288" t="n">
        <x:f>IF(AND(11&gt;=$C11,11&lt;=$D11),IF('02_Assumptions'!$C$8=4,$J11,$I11)/($D11-$C11+1),0)</x:f>
        <x:v>0</x:v>
      </x:c>
      <x:c r="Y11" s="288" t="n">
        <x:f>IF(AND(12&gt;=$C11,12&lt;=$D11),IF('02_Assumptions'!$C$8=4,$J11,$I11)/($D11-$C11+1),0)</x:f>
        <x:v>0</x:v>
      </x:c>
      <x:c r="Z11" s="288" t="n">
        <x:f>IF('02_Assumptions'!$C$8=4,J11,I11)/(D11-C11+1)/'02_Assumptions'!$C$9</x:f>
        <x:v>1.2</x:v>
      </x:c>
    </x:row>
    <x:row r="12">
      <x:c r="A12" s="264" t="str">
        <x:v>Land prep</x:v>
      </x:c>
      <x:c r="B12" s="264" t="str">
        <x:v>HCV marking &amp; exclusion</x:v>
      </x:c>
      <x:c r="C12" s="264" t="n">
        <x:v>3</x:v>
      </x:c>
      <x:c r="D12" s="264" t="n">
        <x:v>4</x:v>
      </x:c>
      <x:c r="E12" s="264" t="str">
        <x:v>ha</x:v>
      </x:c>
      <x:c r="F12" s="288" t="n">
        <x:f>'02_Assumptions'!$C$6</x:f>
        <x:v>100</x:v>
      </x:c>
      <x:c r="G12" s="288" t="n">
        <x:f>'02_Assumptions'!$C$6</x:f>
        <x:v>100</x:v>
      </x:c>
      <x:c r="H12" s="288" t="n">
        <x:v>2</x:v>
      </x:c>
      <x:c r="I12" s="288" t="n">
        <x:f>F12*H12</x:f>
        <x:v>200</x:v>
      </x:c>
      <x:c r="J12" s="288" t="n">
        <x:f>G12*H12</x:f>
        <x:v>200</x:v>
      </x:c>
      <x:c r="K12" s="287" t="n">
        <x:f>I12*'02_Assumptions'!$C$60</x:f>
        <x:v>24000000</x:v>
      </x:c>
      <x:c r="L12" s="287" t="n">
        <x:f>J12*'02_Assumptions'!$C$60</x:f>
        <x:v>24000000</x:v>
      </x:c>
      <x:c r="M12" s="264" t="str">
        <x:v>Direct field crew</x:v>
      </x:c>
      <x:c r="N12" s="288" t="n">
        <x:f>IF(AND(1&gt;=$C12,1&lt;=$D12),IF('02_Assumptions'!$C$8=4,$J12,$I12)/($D12-$C12+1),0)</x:f>
        <x:v>0</x:v>
      </x:c>
      <x:c r="O12" s="288" t="n">
        <x:f>IF(AND(2&gt;=$C12,2&lt;=$D12),IF('02_Assumptions'!$C$8=4,$J12,$I12)/($D12-$C12+1),0)</x:f>
        <x:v>0</x:v>
      </x:c>
      <x:c r="P12" s="288" t="n">
        <x:f>IF(AND(3&gt;=$C12,3&lt;=$D12),IF('02_Assumptions'!$C$8=4,$J12,$I12)/($D12-$C12+1),0)</x:f>
        <x:v>100</x:v>
      </x:c>
      <x:c r="Q12" s="288" t="n">
        <x:f>IF(AND(4&gt;=$C12,4&lt;=$D12),IF('02_Assumptions'!$C$8=4,$J12,$I12)/($D12-$C12+1),0)</x:f>
        <x:v>100</x:v>
      </x:c>
      <x:c r="R12" s="288" t="n">
        <x:f>IF(AND(5&gt;=$C12,5&lt;=$D12),IF('02_Assumptions'!$C$8=4,$J12,$I12)/($D12-$C12+1),0)</x:f>
        <x:v>0</x:v>
      </x:c>
      <x:c r="S12" s="288" t="n">
        <x:f>IF(AND(6&gt;=$C12,6&lt;=$D12),IF('02_Assumptions'!$C$8=4,$J12,$I12)/($D12-$C12+1),0)</x:f>
        <x:v>0</x:v>
      </x:c>
      <x:c r="T12" s="288" t="n">
        <x:f>IF(AND(7&gt;=$C12,7&lt;=$D12),IF('02_Assumptions'!$C$8=4,$J12,$I12)/($D12-$C12+1),0)</x:f>
        <x:v>0</x:v>
      </x:c>
      <x:c r="U12" s="288" t="n">
        <x:f>IF(AND(8&gt;=$C12,8&lt;=$D12),IF('02_Assumptions'!$C$8=4,$J12,$I12)/($D12-$C12+1),0)</x:f>
        <x:v>0</x:v>
      </x:c>
      <x:c r="V12" s="288" t="n">
        <x:f>IF(AND(9&gt;=$C12,9&lt;=$D12),IF('02_Assumptions'!$C$8=4,$J12,$I12)/($D12-$C12+1),0)</x:f>
        <x:v>0</x:v>
      </x:c>
      <x:c r="W12" s="288" t="n">
        <x:f>IF(AND(10&gt;=$C12,10&lt;=$D12),IF('02_Assumptions'!$C$8=4,$J12,$I12)/($D12-$C12+1),0)</x:f>
        <x:v>0</x:v>
      </x:c>
      <x:c r="X12" s="288" t="n">
        <x:f>IF(AND(11&gt;=$C12,11&lt;=$D12),IF('02_Assumptions'!$C$8=4,$J12,$I12)/($D12-$C12+1),0)</x:f>
        <x:v>0</x:v>
      </x:c>
      <x:c r="Y12" s="288" t="n">
        <x:f>IF(AND(12&gt;=$C12,12&lt;=$D12),IF('02_Assumptions'!$C$8=4,$J12,$I12)/($D12-$C12+1),0)</x:f>
        <x:v>0</x:v>
      </x:c>
      <x:c r="Z12" s="288" t="n">
        <x:f>IF('02_Assumptions'!$C$8=4,J12,I12)/(D12-C12+1)/'02_Assumptions'!$C$9</x:f>
        <x:v>4</x:v>
      </x:c>
    </x:row>
    <x:row r="13">
      <x:c r="A13" s="264" t="str">
        <x:v>Land prep</x:v>
      </x:c>
      <x:c r="B13" s="264" t="str">
        <x:v>Selective zero-burn clearing</x:v>
      </x:c>
      <x:c r="C13" s="264" t="n">
        <x:v>4</x:v>
      </x:c>
      <x:c r="D13" s="264" t="n">
        <x:v>6</x:v>
      </x:c>
      <x:c r="E13" s="264" t="str">
        <x:v>ha</x:v>
      </x:c>
      <x:c r="F13" s="288" t="n">
        <x:f>'02_Assumptions'!$C$6</x:f>
        <x:v>100</x:v>
      </x:c>
      <x:c r="G13" s="288" t="n">
        <x:f>'02_Assumptions'!$C$6</x:f>
        <x:v>100</x:v>
      </x:c>
      <x:c r="H13" s="288" t="n">
        <x:v>18</x:v>
      </x:c>
      <x:c r="I13" s="288" t="n">
        <x:f>F13*H13</x:f>
        <x:v>1800</x:v>
      </x:c>
      <x:c r="J13" s="288" t="n">
        <x:f>G13*H13</x:f>
        <x:v>1800</x:v>
      </x:c>
      <x:c r="K13" s="287" t="n">
        <x:f>I13*'02_Assumptions'!$C$60</x:f>
        <x:v>216000000</x:v>
      </x:c>
      <x:c r="L13" s="287" t="n">
        <x:f>J13*'02_Assumptions'!$C$60</x:f>
        <x:v>216000000</x:v>
      </x:c>
      <x:c r="M13" s="264" t="str">
        <x:v>Manual crew; machines contracted separately</x:v>
      </x:c>
      <x:c r="N13" s="288" t="n">
        <x:f>IF(AND(1&gt;=$C13,1&lt;=$D13),IF('02_Assumptions'!$C$8=4,$J13,$I13)/($D13-$C13+1),0)</x:f>
        <x:v>0</x:v>
      </x:c>
      <x:c r="O13" s="288" t="n">
        <x:f>IF(AND(2&gt;=$C13,2&lt;=$D13),IF('02_Assumptions'!$C$8=4,$J13,$I13)/($D13-$C13+1),0)</x:f>
        <x:v>0</x:v>
      </x:c>
      <x:c r="P13" s="288" t="n">
        <x:f>IF(AND(3&gt;=$C13,3&lt;=$D13),IF('02_Assumptions'!$C$8=4,$J13,$I13)/($D13-$C13+1),0)</x:f>
        <x:v>0</x:v>
      </x:c>
      <x:c r="Q13" s="288" t="n">
        <x:f>IF(AND(4&gt;=$C13,4&lt;=$D13),IF('02_Assumptions'!$C$8=4,$J13,$I13)/($D13-$C13+1),0)</x:f>
        <x:v>600</x:v>
      </x:c>
      <x:c r="R13" s="288" t="n">
        <x:f>IF(AND(5&gt;=$C13,5&lt;=$D13),IF('02_Assumptions'!$C$8=4,$J13,$I13)/($D13-$C13+1),0)</x:f>
        <x:v>600</x:v>
      </x:c>
      <x:c r="S13" s="288" t="n">
        <x:f>IF(AND(6&gt;=$C13,6&lt;=$D13),IF('02_Assumptions'!$C$8=4,$J13,$I13)/($D13-$C13+1),0)</x:f>
        <x:v>600</x:v>
      </x:c>
      <x:c r="T13" s="288" t="n">
        <x:f>IF(AND(7&gt;=$C13,7&lt;=$D13),IF('02_Assumptions'!$C$8=4,$J13,$I13)/($D13-$C13+1),0)</x:f>
        <x:v>0</x:v>
      </x:c>
      <x:c r="U13" s="288" t="n">
        <x:f>IF(AND(8&gt;=$C13,8&lt;=$D13),IF('02_Assumptions'!$C$8=4,$J13,$I13)/($D13-$C13+1),0)</x:f>
        <x:v>0</x:v>
      </x:c>
      <x:c r="V13" s="288" t="n">
        <x:f>IF(AND(9&gt;=$C13,9&lt;=$D13),IF('02_Assumptions'!$C$8=4,$J13,$I13)/($D13-$C13+1),0)</x:f>
        <x:v>0</x:v>
      </x:c>
      <x:c r="W13" s="288" t="n">
        <x:f>IF(AND(10&gt;=$C13,10&lt;=$D13),IF('02_Assumptions'!$C$8=4,$J13,$I13)/($D13-$C13+1),0)</x:f>
        <x:v>0</x:v>
      </x:c>
      <x:c r="X13" s="288" t="n">
        <x:f>IF(AND(11&gt;=$C13,11&lt;=$D13),IF('02_Assumptions'!$C$8=4,$J13,$I13)/($D13-$C13+1),0)</x:f>
        <x:v>0</x:v>
      </x:c>
      <x:c r="Y13" s="288" t="n">
        <x:f>IF(AND(12&gt;=$C13,12&lt;=$D13),IF('02_Assumptions'!$C$8=4,$J13,$I13)/($D13-$C13+1),0)</x:f>
        <x:v>0</x:v>
      </x:c>
      <x:c r="Z13" s="288" t="n">
        <x:f>IF('02_Assumptions'!$C$8=4,J13,I13)/(D13-C13+1)/'02_Assumptions'!$C$9</x:f>
        <x:v>24</x:v>
      </x:c>
    </x:row>
    <x:row r="14">
      <x:c r="A14" s="264" t="str">
        <x:v>Land prep</x:v>
      </x:c>
      <x:c r="B14" s="264" t="str">
        <x:v>Biomass chipping/stacking/mulch</x:v>
      </x:c>
      <x:c r="C14" s="264" t="n">
        <x:v>4</x:v>
      </x:c>
      <x:c r="D14" s="264" t="n">
        <x:v>7</x:v>
      </x:c>
      <x:c r="E14" s="264" t="str">
        <x:v>ha</x:v>
      </x:c>
      <x:c r="F14" s="288" t="n">
        <x:f>'02_Assumptions'!$C$6</x:f>
        <x:v>100</x:v>
      </x:c>
      <x:c r="G14" s="288" t="n">
        <x:f>'02_Assumptions'!$C$6</x:f>
        <x:v>100</x:v>
      </x:c>
      <x:c r="H14" s="288" t="n">
        <x:v>8</x:v>
      </x:c>
      <x:c r="I14" s="288" t="n">
        <x:f>F14*H14</x:f>
        <x:v>800</x:v>
      </x:c>
      <x:c r="J14" s="288" t="n">
        <x:f>G14*H14</x:f>
        <x:v>800</x:v>
      </x:c>
      <x:c r="K14" s="287" t="n">
        <x:f>I14*'02_Assumptions'!$C$60</x:f>
        <x:v>96000000</x:v>
      </x:c>
      <x:c r="L14" s="287" t="n">
        <x:f>J14*'02_Assumptions'!$C$60</x:f>
        <x:v>96000000</x:v>
      </x:c>
      <x:c r="M14" s="264" t="str">
        <x:v>No burning</x:v>
      </x:c>
      <x:c r="N14" s="288" t="n">
        <x:f>IF(AND(1&gt;=$C14,1&lt;=$D14),IF('02_Assumptions'!$C$8=4,$J14,$I14)/($D14-$C14+1),0)</x:f>
        <x:v>0</x:v>
      </x:c>
      <x:c r="O14" s="288" t="n">
        <x:f>IF(AND(2&gt;=$C14,2&lt;=$D14),IF('02_Assumptions'!$C$8=4,$J14,$I14)/($D14-$C14+1),0)</x:f>
        <x:v>0</x:v>
      </x:c>
      <x:c r="P14" s="288" t="n">
        <x:f>IF(AND(3&gt;=$C14,3&lt;=$D14),IF('02_Assumptions'!$C$8=4,$J14,$I14)/($D14-$C14+1),0)</x:f>
        <x:v>0</x:v>
      </x:c>
      <x:c r="Q14" s="288" t="n">
        <x:f>IF(AND(4&gt;=$C14,4&lt;=$D14),IF('02_Assumptions'!$C$8=4,$J14,$I14)/($D14-$C14+1),0)</x:f>
        <x:v>200</x:v>
      </x:c>
      <x:c r="R14" s="288" t="n">
        <x:f>IF(AND(5&gt;=$C14,5&lt;=$D14),IF('02_Assumptions'!$C$8=4,$J14,$I14)/($D14-$C14+1),0)</x:f>
        <x:v>200</x:v>
      </x:c>
      <x:c r="S14" s="288" t="n">
        <x:f>IF(AND(6&gt;=$C14,6&lt;=$D14),IF('02_Assumptions'!$C$8=4,$J14,$I14)/($D14-$C14+1),0)</x:f>
        <x:v>200</x:v>
      </x:c>
      <x:c r="T14" s="288" t="n">
        <x:f>IF(AND(7&gt;=$C14,7&lt;=$D14),IF('02_Assumptions'!$C$8=4,$J14,$I14)/($D14-$C14+1),0)</x:f>
        <x:v>200</x:v>
      </x:c>
      <x:c r="U14" s="288" t="n">
        <x:f>IF(AND(8&gt;=$C14,8&lt;=$D14),IF('02_Assumptions'!$C$8=4,$J14,$I14)/($D14-$C14+1),0)</x:f>
        <x:v>0</x:v>
      </x:c>
      <x:c r="V14" s="288" t="n">
        <x:f>IF(AND(9&gt;=$C14,9&lt;=$D14),IF('02_Assumptions'!$C$8=4,$J14,$I14)/($D14-$C14+1),0)</x:f>
        <x:v>0</x:v>
      </x:c>
      <x:c r="W14" s="288" t="n">
        <x:f>IF(AND(10&gt;=$C14,10&lt;=$D14),IF('02_Assumptions'!$C$8=4,$J14,$I14)/($D14-$C14+1),0)</x:f>
        <x:v>0</x:v>
      </x:c>
      <x:c r="X14" s="288" t="n">
        <x:f>IF(AND(11&gt;=$C14,11&lt;=$D14),IF('02_Assumptions'!$C$8=4,$J14,$I14)/($D14-$C14+1),0)</x:f>
        <x:v>0</x:v>
      </x:c>
      <x:c r="Y14" s="288" t="n">
        <x:f>IF(AND(12&gt;=$C14,12&lt;=$D14),IF('02_Assumptions'!$C$8=4,$J14,$I14)/($D14-$C14+1),0)</x:f>
        <x:v>0</x:v>
      </x:c>
      <x:c r="Z14" s="288" t="n">
        <x:f>IF('02_Assumptions'!$C$8=4,J14,I14)/(D14-C14+1)/'02_Assumptions'!$C$9</x:f>
        <x:v>8</x:v>
      </x:c>
    </x:row>
    <x:row r="15">
      <x:c r="A15" s="264" t="str">
        <x:v>Layout</x:v>
      </x:c>
      <x:c r="B15" s="264" t="str">
        <x:v>Staking rows/contours</x:v>
      </x:c>
      <x:c r="C15" s="264" t="n">
        <x:v>5</x:v>
      </x:c>
      <x:c r="D15" s="264" t="n">
        <x:v>7</x:v>
      </x:c>
      <x:c r="E15" s="264" t="str">
        <x:v>ha net</x:v>
      </x:c>
      <x:c r="F15" s="288" t="n">
        <x:f>'02_Assumptions'!$C$6*'02_Assumptions'!$C$7</x:f>
        <x:v>88</x:v>
      </x:c>
      <x:c r="G15" s="288" t="n">
        <x:f>'02_Assumptions'!$C$6*'02_Assumptions'!$C$7</x:f>
        <x:v>88</x:v>
      </x:c>
      <x:c r="H15" s="288" t="n">
        <x:v>5</x:v>
      </x:c>
      <x:c r="I15" s="288" t="n">
        <x:f>F15*H15</x:f>
        <x:v>440</x:v>
      </x:c>
      <x:c r="J15" s="288" t="n">
        <x:f>G15*H15</x:f>
        <x:v>440</x:v>
      </x:c>
      <x:c r="K15" s="287" t="n">
        <x:f>I15*'02_Assumptions'!$C$60</x:f>
        <x:v>52800000</x:v>
      </x:c>
      <x:c r="L15" s="287" t="n">
        <x:f>J15*'02_Assumptions'!$C$60</x:f>
        <x:v>52800000</x:v>
      </x:c>
      <x:c r="M15" s="264" t="str">
        <x:v>Survey pegs/rope</x:v>
      </x:c>
      <x:c r="N15" s="288" t="n">
        <x:f>IF(AND(1&gt;=$C15,1&lt;=$D15),IF('02_Assumptions'!$C$8=4,$J15,$I15)/($D15-$C15+1),0)</x:f>
        <x:v>0</x:v>
      </x:c>
      <x:c r="O15" s="288" t="n">
        <x:f>IF(AND(2&gt;=$C15,2&lt;=$D15),IF('02_Assumptions'!$C$8=4,$J15,$I15)/($D15-$C15+1),0)</x:f>
        <x:v>0</x:v>
      </x:c>
      <x:c r="P15" s="288" t="n">
        <x:f>IF(AND(3&gt;=$C15,3&lt;=$D15),IF('02_Assumptions'!$C$8=4,$J15,$I15)/($D15-$C15+1),0)</x:f>
        <x:v>0</x:v>
      </x:c>
      <x:c r="Q15" s="288" t="n">
        <x:f>IF(AND(4&gt;=$C15,4&lt;=$D15),IF('02_Assumptions'!$C$8=4,$J15,$I15)/($D15-$C15+1),0)</x:f>
        <x:v>0</x:v>
      </x:c>
      <x:c r="R15" s="288" t="n">
        <x:f>IF(AND(5&gt;=$C15,5&lt;=$D15),IF('02_Assumptions'!$C$8=4,$J15,$I15)/($D15-$C15+1),0)</x:f>
        <x:v>146.66666666666666</x:v>
      </x:c>
      <x:c r="S15" s="288" t="n">
        <x:f>IF(AND(6&gt;=$C15,6&lt;=$D15),IF('02_Assumptions'!$C$8=4,$J15,$I15)/($D15-$C15+1),0)</x:f>
        <x:v>146.66666666666666</x:v>
      </x:c>
      <x:c r="T15" s="288" t="n">
        <x:f>IF(AND(7&gt;=$C15,7&lt;=$D15),IF('02_Assumptions'!$C$8=4,$J15,$I15)/($D15-$C15+1),0)</x:f>
        <x:v>146.66666666666666</x:v>
      </x:c>
      <x:c r="U15" s="288" t="n">
        <x:f>IF(AND(8&gt;=$C15,8&lt;=$D15),IF('02_Assumptions'!$C$8=4,$J15,$I15)/($D15-$C15+1),0)</x:f>
        <x:v>0</x:v>
      </x:c>
      <x:c r="V15" s="288" t="n">
        <x:f>IF(AND(9&gt;=$C15,9&lt;=$D15),IF('02_Assumptions'!$C$8=4,$J15,$I15)/($D15-$C15+1),0)</x:f>
        <x:v>0</x:v>
      </x:c>
      <x:c r="W15" s="288" t="n">
        <x:f>IF(AND(10&gt;=$C15,10&lt;=$D15),IF('02_Assumptions'!$C$8=4,$J15,$I15)/($D15-$C15+1),0)</x:f>
        <x:v>0</x:v>
      </x:c>
      <x:c r="X15" s="288" t="n">
        <x:f>IF(AND(11&gt;=$C15,11&lt;=$D15),IF('02_Assumptions'!$C$8=4,$J15,$I15)/($D15-$C15+1),0)</x:f>
        <x:v>0</x:v>
      </x:c>
      <x:c r="Y15" s="288" t="n">
        <x:f>IF(AND(12&gt;=$C15,12&lt;=$D15),IF('02_Assumptions'!$C$8=4,$J15,$I15)/($D15-$C15+1),0)</x:f>
        <x:v>0</x:v>
      </x:c>
      <x:c r="Z15" s="288" t="n">
        <x:f>IF('02_Assumptions'!$C$8=4,J15,I15)/(D15-C15+1)/'02_Assumptions'!$C$9</x:f>
        <x:v>5.866666666666666</x:v>
      </x:c>
    </x:row>
    <x:row r="16">
      <x:c r="A16" s="264" t="str">
        <x:v>Soil</x:v>
      </x:c>
      <x:c r="B16" s="264" t="str">
        <x:v>Spread compost/manure/dolomite</x:v>
      </x:c>
      <x:c r="C16" s="264" t="n">
        <x:v>6</x:v>
      </x:c>
      <x:c r="D16" s="264" t="n">
        <x:v>8</x:v>
      </x:c>
      <x:c r="E16" s="264" t="str">
        <x:v>ha net</x:v>
      </x:c>
      <x:c r="F16" s="288" t="n">
        <x:f>'02_Assumptions'!$C$6*'02_Assumptions'!$C$7</x:f>
        <x:v>88</x:v>
      </x:c>
      <x:c r="G16" s="288" t="n">
        <x:f>'02_Assumptions'!$C$6*'02_Assumptions'!$C$7</x:f>
        <x:v>88</x:v>
      </x:c>
      <x:c r="H16" s="288" t="n">
        <x:v>8</x:v>
      </x:c>
      <x:c r="I16" s="288" t="n">
        <x:f>F16*H16</x:f>
        <x:v>704</x:v>
      </x:c>
      <x:c r="J16" s="288" t="n">
        <x:f>G16*H16</x:f>
        <x:v>704</x:v>
      </x:c>
      <x:c r="K16" s="287" t="n">
        <x:f>I16*'02_Assumptions'!$C$60</x:f>
        <x:v>84480000</x:v>
      </x:c>
      <x:c r="L16" s="287" t="n">
        <x:f>J16*'02_Assumptions'!$C$60</x:f>
        <x:v>84480000</x:v>
      </x:c>
      <x:c r="M16" s="264" t="str">
        <x:v>Tractor + hand spread</x:v>
      </x:c>
      <x:c r="N16" s="288" t="n">
        <x:f>IF(AND(1&gt;=$C16,1&lt;=$D16),IF('02_Assumptions'!$C$8=4,$J16,$I16)/($D16-$C16+1),0)</x:f>
        <x:v>0</x:v>
      </x:c>
      <x:c r="O16" s="288" t="n">
        <x:f>IF(AND(2&gt;=$C16,2&lt;=$D16),IF('02_Assumptions'!$C$8=4,$J16,$I16)/($D16-$C16+1),0)</x:f>
        <x:v>0</x:v>
      </x:c>
      <x:c r="P16" s="288" t="n">
        <x:f>IF(AND(3&gt;=$C16,3&lt;=$D16),IF('02_Assumptions'!$C$8=4,$J16,$I16)/($D16-$C16+1),0)</x:f>
        <x:v>0</x:v>
      </x:c>
      <x:c r="Q16" s="288" t="n">
        <x:f>IF(AND(4&gt;=$C16,4&lt;=$D16),IF('02_Assumptions'!$C$8=4,$J16,$I16)/($D16-$C16+1),0)</x:f>
        <x:v>0</x:v>
      </x:c>
      <x:c r="R16" s="288" t="n">
        <x:f>IF(AND(5&gt;=$C16,5&lt;=$D16),IF('02_Assumptions'!$C$8=4,$J16,$I16)/($D16-$C16+1),0)</x:f>
        <x:v>0</x:v>
      </x:c>
      <x:c r="S16" s="288" t="n">
        <x:f>IF(AND(6&gt;=$C16,6&lt;=$D16),IF('02_Assumptions'!$C$8=4,$J16,$I16)/($D16-$C16+1),0)</x:f>
        <x:v>234.66666666666666</x:v>
      </x:c>
      <x:c r="T16" s="288" t="n">
        <x:f>IF(AND(7&gt;=$C16,7&lt;=$D16),IF('02_Assumptions'!$C$8=4,$J16,$I16)/($D16-$C16+1),0)</x:f>
        <x:v>234.66666666666666</x:v>
      </x:c>
      <x:c r="U16" s="288" t="n">
        <x:f>IF(AND(8&gt;=$C16,8&lt;=$D16),IF('02_Assumptions'!$C$8=4,$J16,$I16)/($D16-$C16+1),0)</x:f>
        <x:v>234.66666666666666</x:v>
      </x:c>
      <x:c r="V16" s="288" t="n">
        <x:f>IF(AND(9&gt;=$C16,9&lt;=$D16),IF('02_Assumptions'!$C$8=4,$J16,$I16)/($D16-$C16+1),0)</x:f>
        <x:v>0</x:v>
      </x:c>
      <x:c r="W16" s="288" t="n">
        <x:f>IF(AND(10&gt;=$C16,10&lt;=$D16),IF('02_Assumptions'!$C$8=4,$J16,$I16)/($D16-$C16+1),0)</x:f>
        <x:v>0</x:v>
      </x:c>
      <x:c r="X16" s="288" t="n">
        <x:f>IF(AND(11&gt;=$C16,11&lt;=$D16),IF('02_Assumptions'!$C$8=4,$J16,$I16)/($D16-$C16+1),0)</x:f>
        <x:v>0</x:v>
      </x:c>
      <x:c r="Y16" s="288" t="n">
        <x:f>IF(AND(12&gt;=$C16,12&lt;=$D16),IF('02_Assumptions'!$C$8=4,$J16,$I16)/($D16-$C16+1),0)</x:f>
        <x:v>0</x:v>
      </x:c>
      <x:c r="Z16" s="288" t="n">
        <x:f>IF('02_Assumptions'!$C$8=4,J16,I16)/(D16-C16+1)/'02_Assumptions'!$C$9</x:f>
        <x:v>9.386666666666667</x:v>
      </x:c>
    </x:row>
    <x:row r="17">
      <x:c r="A17" s="264" t="str">
        <x:v>Planting</x:v>
      </x:c>
      <x:c r="B17" s="264" t="str">
        <x:v>Tree holes 60x60x60</x:v>
      </x:c>
      <x:c r="C17" s="264" t="n">
        <x:v>6</x:v>
      </x:c>
      <x:c r="D17" s="264" t="n">
        <x:v>8</x:v>
      </x:c>
      <x:c r="E17" s="264" t="str">
        <x:v>hole</x:v>
      </x:c>
      <x:c r="F17" s="288" t="n">
        <x:f>'04_Planting_Design'!$D$8+'04_Planting_Design'!$F$8</x:f>
        <x:v>9944</x:v>
      </x:c>
      <x:c r="G17" s="288" t="n">
        <x:f>'04_Planting_Design'!$D$8+'04_Planting_Design'!$F$8</x:f>
        <x:v>9944</x:v>
      </x:c>
      <x:c r="H17" s="288" t="n">
        <x:v>0.08</x:v>
      </x:c>
      <x:c r="I17" s="288" t="n">
        <x:f>F17*H17</x:f>
        <x:v>795.52</x:v>
      </x:c>
      <x:c r="J17" s="288" t="n">
        <x:f>G17*H17</x:f>
        <x:v>795.52</x:v>
      </x:c>
      <x:c r="K17" s="287" t="n">
        <x:f>I17*'02_Assumptions'!$C$60</x:f>
        <x:v>95462400</x:v>
      </x:c>
      <x:c r="L17" s="287" t="n">
        <x:f>J17*'02_Assumptions'!$C$60</x:f>
        <x:v>95462400</x:v>
      </x:c>
      <x:c r="M17" s="264" t="str">
        <x:v>Earth auger + manual finishing</x:v>
      </x:c>
      <x:c r="N17" s="288" t="n">
        <x:f>IF(AND(1&gt;=$C17,1&lt;=$D17),IF('02_Assumptions'!$C$8=4,$J17,$I17)/($D17-$C17+1),0)</x:f>
        <x:v>0</x:v>
      </x:c>
      <x:c r="O17" s="288" t="n">
        <x:f>IF(AND(2&gt;=$C17,2&lt;=$D17),IF('02_Assumptions'!$C$8=4,$J17,$I17)/($D17-$C17+1),0)</x:f>
        <x:v>0</x:v>
      </x:c>
      <x:c r="P17" s="288" t="n">
        <x:f>IF(AND(3&gt;=$C17,3&lt;=$D17),IF('02_Assumptions'!$C$8=4,$J17,$I17)/($D17-$C17+1),0)</x:f>
        <x:v>0</x:v>
      </x:c>
      <x:c r="Q17" s="288" t="n">
        <x:f>IF(AND(4&gt;=$C17,4&lt;=$D17),IF('02_Assumptions'!$C$8=4,$J17,$I17)/($D17-$C17+1),0)</x:f>
        <x:v>0</x:v>
      </x:c>
      <x:c r="R17" s="288" t="n">
        <x:f>IF(AND(5&gt;=$C17,5&lt;=$D17),IF('02_Assumptions'!$C$8=4,$J17,$I17)/($D17-$C17+1),0)</x:f>
        <x:v>0</x:v>
      </x:c>
      <x:c r="S17" s="288" t="n">
        <x:f>IF(AND(6&gt;=$C17,6&lt;=$D17),IF('02_Assumptions'!$C$8=4,$J17,$I17)/($D17-$C17+1),0)</x:f>
        <x:v>265.17333333333335</x:v>
      </x:c>
      <x:c r="T17" s="288" t="n">
        <x:f>IF(AND(7&gt;=$C17,7&lt;=$D17),IF('02_Assumptions'!$C$8=4,$J17,$I17)/($D17-$C17+1),0)</x:f>
        <x:v>265.17333333333335</x:v>
      </x:c>
      <x:c r="U17" s="288" t="n">
        <x:f>IF(AND(8&gt;=$C17,8&lt;=$D17),IF('02_Assumptions'!$C$8=4,$J17,$I17)/($D17-$C17+1),0)</x:f>
        <x:v>265.17333333333335</x:v>
      </x:c>
      <x:c r="V17" s="288" t="n">
        <x:f>IF(AND(9&gt;=$C17,9&lt;=$D17),IF('02_Assumptions'!$C$8=4,$J17,$I17)/($D17-$C17+1),0)</x:f>
        <x:v>0</x:v>
      </x:c>
      <x:c r="W17" s="288" t="n">
        <x:f>IF(AND(10&gt;=$C17,10&lt;=$D17),IF('02_Assumptions'!$C$8=4,$J17,$I17)/($D17-$C17+1),0)</x:f>
        <x:v>0</x:v>
      </x:c>
      <x:c r="X17" s="288" t="n">
        <x:f>IF(AND(11&gt;=$C17,11&lt;=$D17),IF('02_Assumptions'!$C$8=4,$J17,$I17)/($D17-$C17+1),0)</x:f>
        <x:v>0</x:v>
      </x:c>
      <x:c r="Y17" s="288" t="n">
        <x:f>IF(AND(12&gt;=$C17,12&lt;=$D17),IF('02_Assumptions'!$C$8=4,$J17,$I17)/($D17-$C17+1),0)</x:f>
        <x:v>0</x:v>
      </x:c>
      <x:c r="Z17" s="288" t="n">
        <x:f>IF('02_Assumptions'!$C$8=4,J17,I17)/(D17-C17+1)/'02_Assumptions'!$C$9</x:f>
        <x:v>10.606933333333334</x:v>
      </x:c>
    </x:row>
    <x:row r="18">
      <x:c r="A18" s="264" t="str">
        <x:v>Planting</x:v>
      </x:c>
      <x:c r="B18" s="264" t="str">
        <x:v>Banana holes 40x40x40</x:v>
      </x:c>
      <x:c r="C18" s="264" t="n">
        <x:v>6</x:v>
      </x:c>
      <x:c r="D18" s="264" t="n">
        <x:v>9</x:v>
      </x:c>
      <x:c r="E18" s="264" t="str">
        <x:v>hole</x:v>
      </x:c>
      <x:c r="F18" s="288" t="n">
        <x:f>'04_Planting_Design'!$H$8</x:f>
        <x:v>44000</x:v>
      </x:c>
      <x:c r="G18" s="288" t="n">
        <x:f>'04_Planting_Design'!$H$8</x:f>
        <x:v>44000</x:v>
      </x:c>
      <x:c r="H18" s="288" t="n">
        <x:v>0.025</x:v>
      </x:c>
      <x:c r="I18" s="288" t="n">
        <x:f>F18*H18</x:f>
        <x:v>1100</x:v>
      </x:c>
      <x:c r="J18" s="288" t="n">
        <x:f>G18*H18</x:f>
        <x:v>1100</x:v>
      </x:c>
      <x:c r="K18" s="287" t="n">
        <x:f>I18*'02_Assumptions'!$C$60</x:f>
        <x:v>132000000</x:v>
      </x:c>
      <x:c r="L18" s="287" t="n">
        <x:f>J18*'02_Assumptions'!$C$60</x:f>
        <x:v>132000000</x:v>
      </x:c>
      <x:c r="M18" s="264" t="str">
        <x:v>Auger/manual</x:v>
      </x:c>
      <x:c r="N18" s="288" t="n">
        <x:f>IF(AND(1&gt;=$C18,1&lt;=$D18),IF('02_Assumptions'!$C$8=4,$J18,$I18)/($D18-$C18+1),0)</x:f>
        <x:v>0</x:v>
      </x:c>
      <x:c r="O18" s="288" t="n">
        <x:f>IF(AND(2&gt;=$C18,2&lt;=$D18),IF('02_Assumptions'!$C$8=4,$J18,$I18)/($D18-$C18+1),0)</x:f>
        <x:v>0</x:v>
      </x:c>
      <x:c r="P18" s="288" t="n">
        <x:f>IF(AND(3&gt;=$C18,3&lt;=$D18),IF('02_Assumptions'!$C$8=4,$J18,$I18)/($D18-$C18+1),0)</x:f>
        <x:v>0</x:v>
      </x:c>
      <x:c r="Q18" s="288" t="n">
        <x:f>IF(AND(4&gt;=$C18,4&lt;=$D18),IF('02_Assumptions'!$C$8=4,$J18,$I18)/($D18-$C18+1),0)</x:f>
        <x:v>0</x:v>
      </x:c>
      <x:c r="R18" s="288" t="n">
        <x:f>IF(AND(5&gt;=$C18,5&lt;=$D18),IF('02_Assumptions'!$C$8=4,$J18,$I18)/($D18-$C18+1),0)</x:f>
        <x:v>0</x:v>
      </x:c>
      <x:c r="S18" s="288" t="n">
        <x:f>IF(AND(6&gt;=$C18,6&lt;=$D18),IF('02_Assumptions'!$C$8=4,$J18,$I18)/($D18-$C18+1),0)</x:f>
        <x:v>275</x:v>
      </x:c>
      <x:c r="T18" s="288" t="n">
        <x:f>IF(AND(7&gt;=$C18,7&lt;=$D18),IF('02_Assumptions'!$C$8=4,$J18,$I18)/($D18-$C18+1),0)</x:f>
        <x:v>275</x:v>
      </x:c>
      <x:c r="U18" s="288" t="n">
        <x:f>IF(AND(8&gt;=$C18,8&lt;=$D18),IF('02_Assumptions'!$C$8=4,$J18,$I18)/($D18-$C18+1),0)</x:f>
        <x:v>275</x:v>
      </x:c>
      <x:c r="V18" s="288" t="n">
        <x:f>IF(AND(9&gt;=$C18,9&lt;=$D18),IF('02_Assumptions'!$C$8=4,$J18,$I18)/($D18-$C18+1),0)</x:f>
        <x:v>275</x:v>
      </x:c>
      <x:c r="W18" s="288" t="n">
        <x:f>IF(AND(10&gt;=$C18,10&lt;=$D18),IF('02_Assumptions'!$C$8=4,$J18,$I18)/($D18-$C18+1),0)</x:f>
        <x:v>0</x:v>
      </x:c>
      <x:c r="X18" s="288" t="n">
        <x:f>IF(AND(11&gt;=$C18,11&lt;=$D18),IF('02_Assumptions'!$C$8=4,$J18,$I18)/($D18-$C18+1),0)</x:f>
        <x:v>0</x:v>
      </x:c>
      <x:c r="Y18" s="288" t="n">
        <x:f>IF(AND(12&gt;=$C18,12&lt;=$D18),IF('02_Assumptions'!$C$8=4,$J18,$I18)/($D18-$C18+1),0)</x:f>
        <x:v>0</x:v>
      </x:c>
      <x:c r="Z18" s="288" t="n">
        <x:f>IF('02_Assumptions'!$C$8=4,J18,I18)/(D18-C18+1)/'02_Assumptions'!$C$9</x:f>
        <x:v>11</x:v>
      </x:c>
    </x:row>
    <x:row r="19">
      <x:c r="A19" s="264" t="str">
        <x:v>Planting</x:v>
      </x:c>
      <x:c r="B19" s="264" t="str">
        <x:v>Plant coconut &amp; durian</x:v>
      </x:c>
      <x:c r="C19" s="264" t="n">
        <x:v>8</x:v>
      </x:c>
      <x:c r="D19" s="264" t="n">
        <x:v>10</x:v>
      </x:c>
      <x:c r="E19" s="264" t="str">
        <x:v>plant</x:v>
      </x:c>
      <x:c r="F19" s="288" t="n">
        <x:f>'04_Planting_Design'!$D$8+'04_Planting_Design'!$F$8</x:f>
        <x:v>9944</x:v>
      </x:c>
      <x:c r="G19" s="288" t="n">
        <x:f>'04_Planting_Design'!$D$8+'04_Planting_Design'!$F$8</x:f>
        <x:v>9944</x:v>
      </x:c>
      <x:c r="H19" s="288" t="n">
        <x:v>0.04</x:v>
      </x:c>
      <x:c r="I19" s="288" t="n">
        <x:f>F19*H19</x:f>
        <x:v>397.76</x:v>
      </x:c>
      <x:c r="J19" s="288" t="n">
        <x:f>G19*H19</x:f>
        <x:v>397.76</x:v>
      </x:c>
      <x:c r="K19" s="287" t="n">
        <x:f>I19*'02_Assumptions'!$C$60</x:f>
        <x:v>47731200</x:v>
      </x:c>
      <x:c r="L19" s="287" t="n">
        <x:f>J19*'02_Assumptions'!$C$60</x:f>
        <x:v>47731200</x:v>
      </x:c>
      <x:c r="M19" s="264" t="str">
        <x:v>Handle graft union carefully</x:v>
      </x:c>
      <x:c r="N19" s="288" t="n">
        <x:f>IF(AND(1&gt;=$C19,1&lt;=$D19),IF('02_Assumptions'!$C$8=4,$J19,$I19)/($D19-$C19+1),0)</x:f>
        <x:v>0</x:v>
      </x:c>
      <x:c r="O19" s="288" t="n">
        <x:f>IF(AND(2&gt;=$C19,2&lt;=$D19),IF('02_Assumptions'!$C$8=4,$J19,$I19)/($D19-$C19+1),0)</x:f>
        <x:v>0</x:v>
      </x:c>
      <x:c r="P19" s="288" t="n">
        <x:f>IF(AND(3&gt;=$C19,3&lt;=$D19),IF('02_Assumptions'!$C$8=4,$J19,$I19)/($D19-$C19+1),0)</x:f>
        <x:v>0</x:v>
      </x:c>
      <x:c r="Q19" s="288" t="n">
        <x:f>IF(AND(4&gt;=$C19,4&lt;=$D19),IF('02_Assumptions'!$C$8=4,$J19,$I19)/($D19-$C19+1),0)</x:f>
        <x:v>0</x:v>
      </x:c>
      <x:c r="R19" s="288" t="n">
        <x:f>IF(AND(5&gt;=$C19,5&lt;=$D19),IF('02_Assumptions'!$C$8=4,$J19,$I19)/($D19-$C19+1),0)</x:f>
        <x:v>0</x:v>
      </x:c>
      <x:c r="S19" s="288" t="n">
        <x:f>IF(AND(6&gt;=$C19,6&lt;=$D19),IF('02_Assumptions'!$C$8=4,$J19,$I19)/($D19-$C19+1),0)</x:f>
        <x:v>0</x:v>
      </x:c>
      <x:c r="T19" s="288" t="n">
        <x:f>IF(AND(7&gt;=$C19,7&lt;=$D19),IF('02_Assumptions'!$C$8=4,$J19,$I19)/($D19-$C19+1),0)</x:f>
        <x:v>0</x:v>
      </x:c>
      <x:c r="U19" s="288" t="n">
        <x:f>IF(AND(8&gt;=$C19,8&lt;=$D19),IF('02_Assumptions'!$C$8=4,$J19,$I19)/($D19-$C19+1),0)</x:f>
        <x:v>132.58666666666667</x:v>
      </x:c>
      <x:c r="V19" s="288" t="n">
        <x:f>IF(AND(9&gt;=$C19,9&lt;=$D19),IF('02_Assumptions'!$C$8=4,$J19,$I19)/($D19-$C19+1),0)</x:f>
        <x:v>132.58666666666667</x:v>
      </x:c>
      <x:c r="W19" s="288" t="n">
        <x:f>IF(AND(10&gt;=$C19,10&lt;=$D19),IF('02_Assumptions'!$C$8=4,$J19,$I19)/($D19-$C19+1),0)</x:f>
        <x:v>132.58666666666667</x:v>
      </x:c>
      <x:c r="X19" s="288" t="n">
        <x:f>IF(AND(11&gt;=$C19,11&lt;=$D19),IF('02_Assumptions'!$C$8=4,$J19,$I19)/($D19-$C19+1),0)</x:f>
        <x:v>0</x:v>
      </x:c>
      <x:c r="Y19" s="288" t="n">
        <x:f>IF(AND(12&gt;=$C19,12&lt;=$D19),IF('02_Assumptions'!$C$8=4,$J19,$I19)/($D19-$C19+1),0)</x:f>
        <x:v>0</x:v>
      </x:c>
      <x:c r="Z19" s="288" t="n">
        <x:f>IF('02_Assumptions'!$C$8=4,J19,I19)/(D19-C19+1)/'02_Assumptions'!$C$9</x:f>
        <x:v>5.303466666666667</x:v>
      </x:c>
    </x:row>
    <x:row r="20">
      <x:c r="A20" s="264" t="str">
        <x:v>Planting</x:v>
      </x:c>
      <x:c r="B20" s="264" t="str">
        <x:v>Plant banana</x:v>
      </x:c>
      <x:c r="C20" s="264" t="n">
        <x:v>8</x:v>
      </x:c>
      <x:c r="D20" s="264" t="n">
        <x:v>10</x:v>
      </x:c>
      <x:c r="E20" s="264" t="str">
        <x:v>plant</x:v>
      </x:c>
      <x:c r="F20" s="288" t="n">
        <x:f>'04_Planting_Design'!$H$8</x:f>
        <x:v>44000</x:v>
      </x:c>
      <x:c r="G20" s="288" t="n">
        <x:f>'04_Planting_Design'!$H$8</x:f>
        <x:v>44000</x:v>
      </x:c>
      <x:c r="H20" s="288" t="n">
        <x:v>0.015</x:v>
      </x:c>
      <x:c r="I20" s="288" t="n">
        <x:f>F20*H20</x:f>
        <x:v>660</x:v>
      </x:c>
      <x:c r="J20" s="288" t="n">
        <x:f>G20*H20</x:f>
        <x:v>660</x:v>
      </x:c>
      <x:c r="K20" s="287" t="n">
        <x:f>I20*'02_Assumptions'!$C$60</x:f>
        <x:v>79200000</x:v>
      </x:c>
      <x:c r="L20" s="287" t="n">
        <x:f>J20*'02_Assumptions'!$C$60</x:f>
        <x:v>79200000</x:v>
      </x:c>
      <x:c r="M20" s="264" t="str">
        <x:v>Two planting waves</x:v>
      </x:c>
      <x:c r="N20" s="288" t="n">
        <x:f>IF(AND(1&gt;=$C20,1&lt;=$D20),IF('02_Assumptions'!$C$8=4,$J20,$I20)/($D20-$C20+1),0)</x:f>
        <x:v>0</x:v>
      </x:c>
      <x:c r="O20" s="288" t="n">
        <x:f>IF(AND(2&gt;=$C20,2&lt;=$D20),IF('02_Assumptions'!$C$8=4,$J20,$I20)/($D20-$C20+1),0)</x:f>
        <x:v>0</x:v>
      </x:c>
      <x:c r="P20" s="288" t="n">
        <x:f>IF(AND(3&gt;=$C20,3&lt;=$D20),IF('02_Assumptions'!$C$8=4,$J20,$I20)/($D20-$C20+1),0)</x:f>
        <x:v>0</x:v>
      </x:c>
      <x:c r="Q20" s="288" t="n">
        <x:f>IF(AND(4&gt;=$C20,4&lt;=$D20),IF('02_Assumptions'!$C$8=4,$J20,$I20)/($D20-$C20+1),0)</x:f>
        <x:v>0</x:v>
      </x:c>
      <x:c r="R20" s="288" t="n">
        <x:f>IF(AND(5&gt;=$C20,5&lt;=$D20),IF('02_Assumptions'!$C$8=4,$J20,$I20)/($D20-$C20+1),0)</x:f>
        <x:v>0</x:v>
      </x:c>
      <x:c r="S20" s="288" t="n">
        <x:f>IF(AND(6&gt;=$C20,6&lt;=$D20),IF('02_Assumptions'!$C$8=4,$J20,$I20)/($D20-$C20+1),0)</x:f>
        <x:v>0</x:v>
      </x:c>
      <x:c r="T20" s="288" t="n">
        <x:f>IF(AND(7&gt;=$C20,7&lt;=$D20),IF('02_Assumptions'!$C$8=4,$J20,$I20)/($D20-$C20+1),0)</x:f>
        <x:v>0</x:v>
      </x:c>
      <x:c r="U20" s="288" t="n">
        <x:f>IF(AND(8&gt;=$C20,8&lt;=$D20),IF('02_Assumptions'!$C$8=4,$J20,$I20)/($D20-$C20+1),0)</x:f>
        <x:v>220</x:v>
      </x:c>
      <x:c r="V20" s="288" t="n">
        <x:f>IF(AND(9&gt;=$C20,9&lt;=$D20),IF('02_Assumptions'!$C$8=4,$J20,$I20)/($D20-$C20+1),0)</x:f>
        <x:v>220</x:v>
      </x:c>
      <x:c r="W20" s="288" t="n">
        <x:f>IF(AND(10&gt;=$C20,10&lt;=$D20),IF('02_Assumptions'!$C$8=4,$J20,$I20)/($D20-$C20+1),0)</x:f>
        <x:v>220</x:v>
      </x:c>
      <x:c r="X20" s="288" t="n">
        <x:f>IF(AND(11&gt;=$C20,11&lt;=$D20),IF('02_Assumptions'!$C$8=4,$J20,$I20)/($D20-$C20+1),0)</x:f>
        <x:v>0</x:v>
      </x:c>
      <x:c r="Y20" s="288" t="n">
        <x:f>IF(AND(12&gt;=$C20,12&lt;=$D20),IF('02_Assumptions'!$C$8=4,$J20,$I20)/($D20-$C20+1),0)</x:f>
        <x:v>0</x:v>
      </x:c>
      <x:c r="Z20" s="288" t="n">
        <x:f>IF('02_Assumptions'!$C$8=4,J20,I20)/(D20-C20+1)/'02_Assumptions'!$C$9</x:f>
        <x:v>8.8</x:v>
      </x:c>
    </x:row>
    <x:row r="21">
      <x:c r="A21" s="264" t="str">
        <x:v>Ecology</x:v>
      </x:c>
      <x:c r="B21" s="264" t="str">
        <x:v>Plant gamal/indigofera/serai</x:v>
      </x:c>
      <x:c r="C21" s="264" t="n">
        <x:v>8</x:v>
      </x:c>
      <x:c r="D21" s="264" t="n">
        <x:v>10</x:v>
      </x:c>
      <x:c r="E21" s="264" t="str">
        <x:v>plant</x:v>
      </x:c>
      <x:c r="F21" s="288" t="n">
        <x:f>'04_Planting_Design'!$I$8+'04_Planting_Design'!$J$8+'04_Planting_Design'!$K$8</x:f>
        <x:v>74800</x:v>
      </x:c>
      <x:c r="G21" s="288" t="n">
        <x:f>'04_Planting_Design'!$I$8+'04_Planting_Design'!$J$8+'04_Planting_Design'!$K$8</x:f>
        <x:v>74800</x:v>
      </x:c>
      <x:c r="H21" s="288" t="n">
        <x:v>0.006</x:v>
      </x:c>
      <x:c r="I21" s="288" t="n">
        <x:f>F21*H21</x:f>
        <x:v>448.8</x:v>
      </x:c>
      <x:c r="J21" s="288" t="n">
        <x:f>G21*H21</x:f>
        <x:v>448.8</x:v>
      </x:c>
      <x:c r="K21" s="287" t="n">
        <x:f>I21*'02_Assumptions'!$C$60</x:f>
        <x:v>53856000</x:v>
      </x:c>
      <x:c r="L21" s="287" t="n">
        <x:f>J21*'02_Assumptions'!$C$60</x:f>
        <x:v>53856000</x:v>
      </x:c>
      <x:c r="M21" s="264" t="str">
        <x:v>Support species</x:v>
      </x:c>
      <x:c r="N21" s="288" t="n">
        <x:f>IF(AND(1&gt;=$C21,1&lt;=$D21),IF('02_Assumptions'!$C$8=4,$J21,$I21)/($D21-$C21+1),0)</x:f>
        <x:v>0</x:v>
      </x:c>
      <x:c r="O21" s="288" t="n">
        <x:f>IF(AND(2&gt;=$C21,2&lt;=$D21),IF('02_Assumptions'!$C$8=4,$J21,$I21)/($D21-$C21+1),0)</x:f>
        <x:v>0</x:v>
      </x:c>
      <x:c r="P21" s="288" t="n">
        <x:f>IF(AND(3&gt;=$C21,3&lt;=$D21),IF('02_Assumptions'!$C$8=4,$J21,$I21)/($D21-$C21+1),0)</x:f>
        <x:v>0</x:v>
      </x:c>
      <x:c r="Q21" s="288" t="n">
        <x:f>IF(AND(4&gt;=$C21,4&lt;=$D21),IF('02_Assumptions'!$C$8=4,$J21,$I21)/($D21-$C21+1),0)</x:f>
        <x:v>0</x:v>
      </x:c>
      <x:c r="R21" s="288" t="n">
        <x:f>IF(AND(5&gt;=$C21,5&lt;=$D21),IF('02_Assumptions'!$C$8=4,$J21,$I21)/($D21-$C21+1),0)</x:f>
        <x:v>0</x:v>
      </x:c>
      <x:c r="S21" s="288" t="n">
        <x:f>IF(AND(6&gt;=$C21,6&lt;=$D21),IF('02_Assumptions'!$C$8=4,$J21,$I21)/($D21-$C21+1),0)</x:f>
        <x:v>0</x:v>
      </x:c>
      <x:c r="T21" s="288" t="n">
        <x:f>IF(AND(7&gt;=$C21,7&lt;=$D21),IF('02_Assumptions'!$C$8=4,$J21,$I21)/($D21-$C21+1),0)</x:f>
        <x:v>0</x:v>
      </x:c>
      <x:c r="U21" s="288" t="n">
        <x:f>IF(AND(8&gt;=$C21,8&lt;=$D21),IF('02_Assumptions'!$C$8=4,$J21,$I21)/($D21-$C21+1),0)</x:f>
        <x:v>149.6</x:v>
      </x:c>
      <x:c r="V21" s="288" t="n">
        <x:f>IF(AND(9&gt;=$C21,9&lt;=$D21),IF('02_Assumptions'!$C$8=4,$J21,$I21)/($D21-$C21+1),0)</x:f>
        <x:v>149.6</x:v>
      </x:c>
      <x:c r="W21" s="288" t="n">
        <x:f>IF(AND(10&gt;=$C21,10&lt;=$D21),IF('02_Assumptions'!$C$8=4,$J21,$I21)/($D21-$C21+1),0)</x:f>
        <x:v>149.6</x:v>
      </x:c>
      <x:c r="X21" s="288" t="n">
        <x:f>IF(AND(11&gt;=$C21,11&lt;=$D21),IF('02_Assumptions'!$C$8=4,$J21,$I21)/($D21-$C21+1),0)</x:f>
        <x:v>0</x:v>
      </x:c>
      <x:c r="Y21" s="288" t="n">
        <x:f>IF(AND(12&gt;=$C21,12&lt;=$D21),IF('02_Assumptions'!$C$8=4,$J21,$I21)/($D21-$C21+1),0)</x:f>
        <x:v>0</x:v>
      </x:c>
      <x:c r="Z21" s="288" t="n">
        <x:f>IF('02_Assumptions'!$C$8=4,J21,I21)/(D21-C21+1)/'02_Assumptions'!$C$9</x:f>
        <x:v>5.984</x:v>
      </x:c>
    </x:row>
    <x:row r="22">
      <x:c r="A22" s="264" t="str">
        <x:v>Water</x:v>
      </x:c>
      <x:c r="B22" s="264" t="str">
        <x:v>Install/commission irrigation</x:v>
      </x:c>
      <x:c r="C22" s="264" t="n">
        <x:v>6</x:v>
      </x:c>
      <x:c r="D22" s="264" t="n">
        <x:v>9</x:v>
      </x:c>
      <x:c r="E22" s="264" t="str">
        <x:v>site</x:v>
      </x:c>
      <x:c r="F22" s="288" t="n">
        <x:v>1</x:v>
      </x:c>
      <x:c r="G22" s="288" t="n">
        <x:v>4</x:v>
      </x:c>
      <x:c r="H22" s="288" t="n">
        <x:v>120</x:v>
      </x:c>
      <x:c r="I22" s="288" t="n">
        <x:f>F22*H22</x:f>
        <x:v>120</x:v>
      </x:c>
      <x:c r="J22" s="288" t="n">
        <x:f>G22*H22</x:f>
        <x:v>480</x:v>
      </x:c>
      <x:c r="K22" s="287" t="n">
        <x:f>I22*'02_Assumptions'!$C$60</x:f>
        <x:v>14400000</x:v>
      </x:c>
      <x:c r="L22" s="287" t="n">
        <x:f>J22*'02_Assumptions'!$C$60</x:f>
        <x:v>57600000</x:v>
      </x:c>
      <x:c r="M22" s="264" t="str">
        <x:v>Portable pumps, tanks, mainline</x:v>
      </x:c>
      <x:c r="N22" s="288" t="n">
        <x:f>IF(AND(1&gt;=$C22,1&lt;=$D22),IF('02_Assumptions'!$C$8=4,$J22,$I22)/($D22-$C22+1),0)</x:f>
        <x:v>0</x:v>
      </x:c>
      <x:c r="O22" s="288" t="n">
        <x:f>IF(AND(2&gt;=$C22,2&lt;=$D22),IF('02_Assumptions'!$C$8=4,$J22,$I22)/($D22-$C22+1),0)</x:f>
        <x:v>0</x:v>
      </x:c>
      <x:c r="P22" s="288" t="n">
        <x:f>IF(AND(3&gt;=$C22,3&lt;=$D22),IF('02_Assumptions'!$C$8=4,$J22,$I22)/($D22-$C22+1),0)</x:f>
        <x:v>0</x:v>
      </x:c>
      <x:c r="Q22" s="288" t="n">
        <x:f>IF(AND(4&gt;=$C22,4&lt;=$D22),IF('02_Assumptions'!$C$8=4,$J22,$I22)/($D22-$C22+1),0)</x:f>
        <x:v>0</x:v>
      </x:c>
      <x:c r="R22" s="288" t="n">
        <x:f>IF(AND(5&gt;=$C22,5&lt;=$D22),IF('02_Assumptions'!$C$8=4,$J22,$I22)/($D22-$C22+1),0)</x:f>
        <x:v>0</x:v>
      </x:c>
      <x:c r="S22" s="288" t="n">
        <x:f>IF(AND(6&gt;=$C22,6&lt;=$D22),IF('02_Assumptions'!$C$8=4,$J22,$I22)/($D22-$C22+1),0)</x:f>
        <x:v>30</x:v>
      </x:c>
      <x:c r="T22" s="288" t="n">
        <x:f>IF(AND(7&gt;=$C22,7&lt;=$D22),IF('02_Assumptions'!$C$8=4,$J22,$I22)/($D22-$C22+1),0)</x:f>
        <x:v>30</x:v>
      </x:c>
      <x:c r="U22" s="288" t="n">
        <x:f>IF(AND(8&gt;=$C22,8&lt;=$D22),IF('02_Assumptions'!$C$8=4,$J22,$I22)/($D22-$C22+1),0)</x:f>
        <x:v>30</x:v>
      </x:c>
      <x:c r="V22" s="288" t="n">
        <x:f>IF(AND(9&gt;=$C22,9&lt;=$D22),IF('02_Assumptions'!$C$8=4,$J22,$I22)/($D22-$C22+1),0)</x:f>
        <x:v>30</x:v>
      </x:c>
      <x:c r="W22" s="288" t="n">
        <x:f>IF(AND(10&gt;=$C22,10&lt;=$D22),IF('02_Assumptions'!$C$8=4,$J22,$I22)/($D22-$C22+1),0)</x:f>
        <x:v>0</x:v>
      </x:c>
      <x:c r="X22" s="288" t="n">
        <x:f>IF(AND(11&gt;=$C22,11&lt;=$D22),IF('02_Assumptions'!$C$8=4,$J22,$I22)/($D22-$C22+1),0)</x:f>
        <x:v>0</x:v>
      </x:c>
      <x:c r="Y22" s="288" t="n">
        <x:f>IF(AND(12&gt;=$C22,12&lt;=$D22),IF('02_Assumptions'!$C$8=4,$J22,$I22)/($D22-$C22+1),0)</x:f>
        <x:v>0</x:v>
      </x:c>
      <x:c r="Z22" s="288" t="n">
        <x:f>IF('02_Assumptions'!$C$8=4,J22,I22)/(D22-C22+1)/'02_Assumptions'!$C$9</x:f>
        <x:v>1.2</x:v>
      </x:c>
    </x:row>
    <x:row r="23">
      <x:c r="A23" s="264" t="str">
        <x:v>Planting</x:v>
      </x:c>
      <x:c r="B23" s="264" t="str">
        <x:v>Gap filling/sulaman</x:v>
      </x:c>
      <x:c r="C23" s="264" t="n">
        <x:v>10</x:v>
      </x:c>
      <x:c r="D23" s="264" t="n">
        <x:v>12</x:v>
      </x:c>
      <x:c r="E23" s="264" t="str">
        <x:v>ha net</x:v>
      </x:c>
      <x:c r="F23" s="288" t="n">
        <x:f>'02_Assumptions'!$C$6*'02_Assumptions'!$C$7</x:f>
        <x:v>88</x:v>
      </x:c>
      <x:c r="G23" s="288" t="n">
        <x:f>'02_Assumptions'!$C$6*'02_Assumptions'!$C$7</x:f>
        <x:v>88</x:v>
      </x:c>
      <x:c r="H23" s="288" t="n">
        <x:v>8</x:v>
      </x:c>
      <x:c r="I23" s="288" t="n">
        <x:f>F23*H23</x:f>
        <x:v>704</x:v>
      </x:c>
      <x:c r="J23" s="288" t="n">
        <x:f>G23*H23</x:f>
        <x:v>704</x:v>
      </x:c>
      <x:c r="K23" s="287" t="n">
        <x:f>I23*'02_Assumptions'!$C$60</x:f>
        <x:v>84480000</x:v>
      </x:c>
      <x:c r="L23" s="287" t="n">
        <x:f>J23*'02_Assumptions'!$C$60</x:f>
        <x:v>84480000</x:v>
      </x:c>
      <x:c r="M23" s="264" t="str">
        <x:v>Use reserved seedlings</x:v>
      </x:c>
      <x:c r="N23" s="288" t="n">
        <x:f>IF(AND(1&gt;=$C23,1&lt;=$D23),IF('02_Assumptions'!$C$8=4,$J23,$I23)/($D23-$C23+1),0)</x:f>
        <x:v>0</x:v>
      </x:c>
      <x:c r="O23" s="288" t="n">
        <x:f>IF(AND(2&gt;=$C23,2&lt;=$D23),IF('02_Assumptions'!$C$8=4,$J23,$I23)/($D23-$C23+1),0)</x:f>
        <x:v>0</x:v>
      </x:c>
      <x:c r="P23" s="288" t="n">
        <x:f>IF(AND(3&gt;=$C23,3&lt;=$D23),IF('02_Assumptions'!$C$8=4,$J23,$I23)/($D23-$C23+1),0)</x:f>
        <x:v>0</x:v>
      </x:c>
      <x:c r="Q23" s="288" t="n">
        <x:f>IF(AND(4&gt;=$C23,4&lt;=$D23),IF('02_Assumptions'!$C$8=4,$J23,$I23)/($D23-$C23+1),0)</x:f>
        <x:v>0</x:v>
      </x:c>
      <x:c r="R23" s="288" t="n">
        <x:f>IF(AND(5&gt;=$C23,5&lt;=$D23),IF('02_Assumptions'!$C$8=4,$J23,$I23)/($D23-$C23+1),0)</x:f>
        <x:v>0</x:v>
      </x:c>
      <x:c r="S23" s="288" t="n">
        <x:f>IF(AND(6&gt;=$C23,6&lt;=$D23),IF('02_Assumptions'!$C$8=4,$J23,$I23)/($D23-$C23+1),0)</x:f>
        <x:v>0</x:v>
      </x:c>
      <x:c r="T23" s="288" t="n">
        <x:f>IF(AND(7&gt;=$C23,7&lt;=$D23),IF('02_Assumptions'!$C$8=4,$J23,$I23)/($D23-$C23+1),0)</x:f>
        <x:v>0</x:v>
      </x:c>
      <x:c r="U23" s="288" t="n">
        <x:f>IF(AND(8&gt;=$C23,8&lt;=$D23),IF('02_Assumptions'!$C$8=4,$J23,$I23)/($D23-$C23+1),0)</x:f>
        <x:v>0</x:v>
      </x:c>
      <x:c r="V23" s="288" t="n">
        <x:f>IF(AND(9&gt;=$C23,9&lt;=$D23),IF('02_Assumptions'!$C$8=4,$J23,$I23)/($D23-$C23+1),0)</x:f>
        <x:v>0</x:v>
      </x:c>
      <x:c r="W23" s="288" t="n">
        <x:f>IF(AND(10&gt;=$C23,10&lt;=$D23),IF('02_Assumptions'!$C$8=4,$J23,$I23)/($D23-$C23+1),0)</x:f>
        <x:v>234.66666666666666</x:v>
      </x:c>
      <x:c r="X23" s="288" t="n">
        <x:f>IF(AND(11&gt;=$C23,11&lt;=$D23),IF('02_Assumptions'!$C$8=4,$J23,$I23)/($D23-$C23+1),0)</x:f>
        <x:v>234.66666666666666</x:v>
      </x:c>
      <x:c r="Y23" s="288" t="n">
        <x:f>IF(AND(12&gt;=$C23,12&lt;=$D23),IF('02_Assumptions'!$C$8=4,$J23,$I23)/($D23-$C23+1),0)</x:f>
        <x:v>234.66666666666666</x:v>
      </x:c>
      <x:c r="Z23" s="288" t="n">
        <x:f>IF('02_Assumptions'!$C$8=4,J23,I23)/(D23-C23+1)/'02_Assumptions'!$C$9</x:f>
        <x:v>9.386666666666667</x:v>
      </x:c>
    </x:row>
    <x:row r="24">
      <x:c r="A24" s="264" t="str">
        <x:v>Ecology</x:v>
      </x:c>
      <x:c r="B24" s="264" t="str">
        <x:v>Sow cover crops/insectary</x:v>
      </x:c>
      <x:c r="C24" s="264" t="n">
        <x:v>8</x:v>
      </x:c>
      <x:c r="D24" s="264" t="n">
        <x:v>11</x:v>
      </x:c>
      <x:c r="E24" s="264" t="str">
        <x:v>ha net</x:v>
      </x:c>
      <x:c r="F24" s="288" t="n">
        <x:f>'02_Assumptions'!$C$6*'02_Assumptions'!$C$7</x:f>
        <x:v>88</x:v>
      </x:c>
      <x:c r="G24" s="288" t="n">
        <x:f>'02_Assumptions'!$C$6*'02_Assumptions'!$C$7</x:f>
        <x:v>88</x:v>
      </x:c>
      <x:c r="H24" s="288" t="n">
        <x:v>6</x:v>
      </x:c>
      <x:c r="I24" s="288" t="n">
        <x:f>F24*H24</x:f>
        <x:v>528</x:v>
      </x:c>
      <x:c r="J24" s="288" t="n">
        <x:f>G24*H24</x:f>
        <x:v>528</x:v>
      </x:c>
      <x:c r="K24" s="287" t="n">
        <x:f>I24*'02_Assumptions'!$C$60</x:f>
        <x:v>63360000</x:v>
      </x:c>
      <x:c r="L24" s="287" t="n">
        <x:f>J24*'02_Assumptions'!$C$60</x:f>
        <x:v>63360000</x:v>
      </x:c>
      <x:c r="M24" s="264" t="str">
        <x:v>Staggered strips</x:v>
      </x:c>
      <x:c r="N24" s="288" t="n">
        <x:f>IF(AND(1&gt;=$C24,1&lt;=$D24),IF('02_Assumptions'!$C$8=4,$J24,$I24)/($D24-$C24+1),0)</x:f>
        <x:v>0</x:v>
      </x:c>
      <x:c r="O24" s="288" t="n">
        <x:f>IF(AND(2&gt;=$C24,2&lt;=$D24),IF('02_Assumptions'!$C$8=4,$J24,$I24)/($D24-$C24+1),0)</x:f>
        <x:v>0</x:v>
      </x:c>
      <x:c r="P24" s="288" t="n">
        <x:f>IF(AND(3&gt;=$C24,3&lt;=$D24),IF('02_Assumptions'!$C$8=4,$J24,$I24)/($D24-$C24+1),0)</x:f>
        <x:v>0</x:v>
      </x:c>
      <x:c r="Q24" s="288" t="n">
        <x:f>IF(AND(4&gt;=$C24,4&lt;=$D24),IF('02_Assumptions'!$C$8=4,$J24,$I24)/($D24-$C24+1),0)</x:f>
        <x:v>0</x:v>
      </x:c>
      <x:c r="R24" s="288" t="n">
        <x:f>IF(AND(5&gt;=$C24,5&lt;=$D24),IF('02_Assumptions'!$C$8=4,$J24,$I24)/($D24-$C24+1),0)</x:f>
        <x:v>0</x:v>
      </x:c>
      <x:c r="S24" s="288" t="n">
        <x:f>IF(AND(6&gt;=$C24,6&lt;=$D24),IF('02_Assumptions'!$C$8=4,$J24,$I24)/($D24-$C24+1),0)</x:f>
        <x:v>0</x:v>
      </x:c>
      <x:c r="T24" s="288" t="n">
        <x:f>IF(AND(7&gt;=$C24,7&lt;=$D24),IF('02_Assumptions'!$C$8=4,$J24,$I24)/($D24-$C24+1),0)</x:f>
        <x:v>0</x:v>
      </x:c>
      <x:c r="U24" s="288" t="n">
        <x:f>IF(AND(8&gt;=$C24,8&lt;=$D24),IF('02_Assumptions'!$C$8=4,$J24,$I24)/($D24-$C24+1),0)</x:f>
        <x:v>132</x:v>
      </x:c>
      <x:c r="V24" s="288" t="n">
        <x:f>IF(AND(9&gt;=$C24,9&lt;=$D24),IF('02_Assumptions'!$C$8=4,$J24,$I24)/($D24-$C24+1),0)</x:f>
        <x:v>132</x:v>
      </x:c>
      <x:c r="W24" s="288" t="n">
        <x:f>IF(AND(10&gt;=$C24,10&lt;=$D24),IF('02_Assumptions'!$C$8=4,$J24,$I24)/($D24-$C24+1),0)</x:f>
        <x:v>132</x:v>
      </x:c>
      <x:c r="X24" s="288" t="n">
        <x:f>IF(AND(11&gt;=$C24,11&lt;=$D24),IF('02_Assumptions'!$C$8=4,$J24,$I24)/($D24-$C24+1),0)</x:f>
        <x:v>132</x:v>
      </x:c>
      <x:c r="Y24" s="288" t="n">
        <x:f>IF(AND(12&gt;=$C24,12&lt;=$D24),IF('02_Assumptions'!$C$8=4,$J24,$I24)/($D24-$C24+1),0)</x:f>
        <x:v>0</x:v>
      </x:c>
      <x:c r="Z24" s="288" t="n">
        <x:f>IF('02_Assumptions'!$C$8=4,J24,I24)/(D24-C24+1)/'02_Assumptions'!$C$9</x:f>
        <x:v>5.28</x:v>
      </x:c>
    </x:row>
    <x:row r="25">
      <x:c r="A25" s="264" t="str">
        <x:v>Maintenance</x:v>
      </x:c>
      <x:c r="B25" s="264" t="str">
        <x:v>Initial weeding/scouting/mulch</x:v>
      </x:c>
      <x:c r="C25" s="264" t="n">
        <x:v>9</x:v>
      </x:c>
      <x:c r="D25" s="264" t="n">
        <x:v>12</x:v>
      </x:c>
      <x:c r="E25" s="264" t="str">
        <x:v>ha net</x:v>
      </x:c>
      <x:c r="F25" s="288" t="n">
        <x:f>'02_Assumptions'!$C$6*'02_Assumptions'!$C$7</x:f>
        <x:v>88</x:v>
      </x:c>
      <x:c r="G25" s="288" t="n">
        <x:f>'02_Assumptions'!$C$6*'02_Assumptions'!$C$7</x:f>
        <x:v>88</x:v>
      </x:c>
      <x:c r="H25" s="288" t="n">
        <x:v>12</x:v>
      </x:c>
      <x:c r="I25" s="288" t="n">
        <x:f>F25*H25</x:f>
        <x:v>1056</x:v>
      </x:c>
      <x:c r="J25" s="288" t="n">
        <x:f>G25*H25</x:f>
        <x:v>1056</x:v>
      </x:c>
      <x:c r="K25" s="287" t="n">
        <x:f>I25*'02_Assumptions'!$C$60</x:f>
        <x:v>126720000</x:v>
      </x:c>
      <x:c r="L25" s="287" t="n">
        <x:f>J25*'02_Assumptions'!$C$60</x:f>
        <x:v>126720000</x:v>
      </x:c>
      <x:c r="M25" s="264" t="str">
        <x:v>Survival protection</x:v>
      </x:c>
      <x:c r="N25" s="288" t="n">
        <x:f>IF(AND(1&gt;=$C25,1&lt;=$D25),IF('02_Assumptions'!$C$8=4,$J25,$I25)/($D25-$C25+1),0)</x:f>
        <x:v>0</x:v>
      </x:c>
      <x:c r="O25" s="288" t="n">
        <x:f>IF(AND(2&gt;=$C25,2&lt;=$D25),IF('02_Assumptions'!$C$8=4,$J25,$I25)/($D25-$C25+1),0)</x:f>
        <x:v>0</x:v>
      </x:c>
      <x:c r="P25" s="288" t="n">
        <x:f>IF(AND(3&gt;=$C25,3&lt;=$D25),IF('02_Assumptions'!$C$8=4,$J25,$I25)/($D25-$C25+1),0)</x:f>
        <x:v>0</x:v>
      </x:c>
      <x:c r="Q25" s="288" t="n">
        <x:f>IF(AND(4&gt;=$C25,4&lt;=$D25),IF('02_Assumptions'!$C$8=4,$J25,$I25)/($D25-$C25+1),0)</x:f>
        <x:v>0</x:v>
      </x:c>
      <x:c r="R25" s="288" t="n">
        <x:f>IF(AND(5&gt;=$C25,5&lt;=$D25),IF('02_Assumptions'!$C$8=4,$J25,$I25)/($D25-$C25+1),0)</x:f>
        <x:v>0</x:v>
      </x:c>
      <x:c r="S25" s="288" t="n">
        <x:f>IF(AND(6&gt;=$C25,6&lt;=$D25),IF('02_Assumptions'!$C$8=4,$J25,$I25)/($D25-$C25+1),0)</x:f>
        <x:v>0</x:v>
      </x:c>
      <x:c r="T25" s="288" t="n">
        <x:f>IF(AND(7&gt;=$C25,7&lt;=$D25),IF('02_Assumptions'!$C$8=4,$J25,$I25)/($D25-$C25+1),0)</x:f>
        <x:v>0</x:v>
      </x:c>
      <x:c r="U25" s="288" t="n">
        <x:f>IF(AND(8&gt;=$C25,8&lt;=$D25),IF('02_Assumptions'!$C$8=4,$J25,$I25)/($D25-$C25+1),0)</x:f>
        <x:v>0</x:v>
      </x:c>
      <x:c r="V25" s="288" t="n">
        <x:f>IF(AND(9&gt;=$C25,9&lt;=$D25),IF('02_Assumptions'!$C$8=4,$J25,$I25)/($D25-$C25+1),0)</x:f>
        <x:v>264</x:v>
      </x:c>
      <x:c r="W25" s="288" t="n">
        <x:f>IF(AND(10&gt;=$C25,10&lt;=$D25),IF('02_Assumptions'!$C$8=4,$J25,$I25)/($D25-$C25+1),0)</x:f>
        <x:v>264</x:v>
      </x:c>
      <x:c r="X25" s="288" t="n">
        <x:f>IF(AND(11&gt;=$C25,11&lt;=$D25),IF('02_Assumptions'!$C$8=4,$J25,$I25)/($D25-$C25+1),0)</x:f>
        <x:v>264</x:v>
      </x:c>
      <x:c r="Y25" s="288" t="n">
        <x:f>IF(AND(12&gt;=$C25,12&lt;=$D25),IF('02_Assumptions'!$C$8=4,$J25,$I25)/($D25-$C25+1),0)</x:f>
        <x:v>264</x:v>
      </x:c>
      <x:c r="Z25" s="288" t="n">
        <x:f>IF('02_Assumptions'!$C$8=4,J25,I25)/(D25-C25+1)/'02_Assumptions'!$C$9</x:f>
        <x:v>10.56</x:v>
      </x:c>
    </x:row>
    <x:row r="26">
      <x:c r="A26" s="289" t="str">
        <x:v>TOTAL BIAYA TENAGA LAPANG LANGSUNG</x:v>
      </x:c>
      <x:c r="B26" s="289"/>
      <x:c r="C26" s="289"/>
      <x:c r="D26" s="289"/>
      <x:c r="E26" s="289"/>
      <x:c r="F26" s="289"/>
      <x:c r="G26" s="289"/>
      <x:c r="H26" s="289"/>
      <x:c r="I26" s="289"/>
      <x:c r="J26" s="289"/>
      <x:c r="K26" s="289" t="n">
        <x:f>SUM(K6:K25)</x:f>
        <x:v>1170489600</x:v>
      </x:c>
      <x:c r="L26" s="289" t="n">
        <x:f>SUM(L6:L25)</x:f>
        <x:v>1213689600</x:v>
      </x:c>
      <x:c r="M26" s="264"/>
      <x:c r="N26" s="264"/>
      <x:c r="O26" s="264"/>
      <x:c r="P26" s="264"/>
      <x:c r="Q26" s="264"/>
      <x:c r="R26" s="264"/>
      <x:c r="S26" s="264"/>
      <x:c r="T26" s="264"/>
      <x:c r="U26" s="264"/>
      <x:c r="V26" s="264"/>
      <x:c r="W26" s="264"/>
      <x:c r="X26" s="264"/>
      <x:c r="Y26" s="264"/>
      <x:c r="Z26" s="264"/>
    </x:row>
    <x:row r="27">
      <x:c r="A27" s="290" t="str">
        <x:v>HOK BULANAN — SKENARIO TERPILIH</x:v>
      </x:c>
      <x:c r="B27" s="290"/>
      <x:c r="C27" s="290"/>
      <x:c r="D27" s="290"/>
      <x:c r="E27" s="290"/>
      <x:c r="F27" s="290"/>
      <x:c r="G27" s="290"/>
      <x:c r="H27" s="290"/>
      <x:c r="I27" s="290"/>
      <x:c r="J27" s="290"/>
      <x:c r="K27" s="290"/>
      <x:c r="L27" s="290"/>
      <x:c r="M27" s="290"/>
      <x:c r="N27" s="290" t="n">
        <x:f>SUM(N6:N25)</x:f>
        <x:v>65</x:v>
      </x:c>
      <x:c r="O27" s="290" t="n">
        <x:f>SUM(O6:O25)</x:f>
        <x:v>95</x:v>
      </x:c>
      <x:c r="P27" s="290" t="n">
        <x:f>SUM(P6:P25)</x:f>
        <x:v>160</x:v>
      </x:c>
      <x:c r="Q27" s="290" t="n">
        <x:f>SUM(Q6:Q25)</x:f>
        <x:v>900</x:v>
      </x:c>
      <x:c r="R27" s="290" t="n">
        <x:f>SUM(R6:R25)</x:f>
        <x:v>946.6666666666666</x:v>
      </x:c>
      <x:c r="S27" s="290" t="n">
        <x:f>SUM(S6:S25)</x:f>
        <x:v>1751.5066666666667</x:v>
      </x:c>
      <x:c r="T27" s="290" t="n">
        <x:f>SUM(T6:T25)</x:f>
        <x:v>1151.5066666666667</x:v>
      </x:c>
      <x:c r="U27" s="290" t="n">
        <x:f>SUM(U6:U25)</x:f>
        <x:v>1439.0266666666666</x:v>
      </x:c>
      <x:c r="V27" s="290" t="n">
        <x:f>SUM(V6:V25)</x:f>
        <x:v>1203.1866666666667</x:v>
      </x:c>
      <x:c r="W27" s="290" t="n">
        <x:f>SUM(W6:W25)</x:f>
        <x:v>1132.8533333333335</x:v>
      </x:c>
      <x:c r="X27" s="290" t="n">
        <x:f>SUM(X6:X25)</x:f>
        <x:v>630.6666666666666</x:v>
      </x:c>
      <x:c r="Y27" s="290" t="n">
        <x:f>SUM(Y6:Y25)</x:f>
        <x:v>498.66666666666663</x:v>
      </x:c>
      <x:c r="Z27" s="290" t="n">
        <x:f>MAX(N27:Y27)/'02_Assumptions'!$C$9</x:f>
        <x:v>70.06026666666666</x:v>
      </x:c>
    </x:row>
    <x:row r="28">
      <x:c r="A28" s="264"/>
      <x:c r="B28" s="264"/>
      <x:c r="C28" s="264"/>
      <x:c r="D28" s="264"/>
      <x:c r="E28" s="264"/>
      <x:c r="F28" s="264"/>
      <x:c r="G28" s="264"/>
      <x:c r="H28" s="264"/>
      <x:c r="I28" s="264"/>
      <x:c r="J28" s="264"/>
      <x:c r="K28" s="264"/>
      <x:c r="L28" s="264"/>
      <x:c r="M28" s="264"/>
      <x:c r="N28" s="264"/>
      <x:c r="O28" s="264"/>
      <x:c r="P28" s="264"/>
      <x:c r="Q28" s="264"/>
      <x:c r="R28" s="264"/>
      <x:c r="S28" s="264"/>
      <x:c r="T28" s="264"/>
      <x:c r="U28" s="264"/>
      <x:c r="V28" s="264"/>
      <x:c r="W28" s="264"/>
      <x:c r="X28" s="264"/>
      <x:c r="Y28" s="264"/>
      <x:c r="Z28" s="264"/>
    </x:row>
    <x:row r="29">
      <x:c r="A29" s="264"/>
      <x:c r="B29" s="264"/>
      <x:c r="C29" s="264"/>
      <x:c r="D29" s="264"/>
      <x:c r="E29" s="264"/>
      <x:c r="F29" s="264"/>
      <x:c r="G29" s="264"/>
      <x:c r="H29" s="264"/>
      <x:c r="I29" s="264"/>
      <x:c r="J29" s="264"/>
      <x:c r="K29" s="264"/>
      <x:c r="L29" s="264"/>
      <x:c r="M29" s="264"/>
      <x:c r="N29" s="264"/>
      <x:c r="O29" s="264"/>
      <x:c r="P29" s="264"/>
      <x:c r="Q29" s="264"/>
      <x:c r="R29" s="264"/>
      <x:c r="S29" s="264"/>
      <x:c r="T29" s="264"/>
      <x:c r="U29" s="264"/>
      <x:c r="V29" s="264"/>
      <x:c r="W29" s="264"/>
      <x:c r="X29" s="264"/>
      <x:c r="Y29" s="264"/>
      <x:c r="Z29" s="264"/>
    </x:row>
    <x:row r="30" ht="20" customHeight="1">
      <x:c r="A30" s="69" t="str">
        <x:v>B. Kebutuhan HOK pemeliharaan tahunan — HOK panen sudah masuk biaya per unit</x:v>
      </x:c>
      <x:c r="B30" s="69"/>
      <x:c r="C30" s="69"/>
      <x:c r="D30" s="69"/>
      <x:c r="E30" s="69"/>
      <x:c r="F30" s="69"/>
      <x:c r="G30" s="69"/>
      <x:c r="H30" s="69"/>
      <x:c r="I30" s="69"/>
      <x:c r="J30" s="69"/>
      <x:c r="K30" s="69"/>
      <x:c r="L30" s="69"/>
      <x:c r="M30" s="264"/>
      <x:c r="N30" s="264"/>
      <x:c r="O30" s="264"/>
      <x:c r="P30" s="264"/>
      <x:c r="Q30" s="264"/>
      <x:c r="R30" s="264"/>
      <x:c r="S30" s="264"/>
      <x:c r="T30" s="264"/>
      <x:c r="U30" s="264"/>
      <x:c r="V30" s="264"/>
      <x:c r="W30" s="264"/>
      <x:c r="X30" s="264"/>
      <x:c r="Y30" s="264"/>
      <x:c r="Z30" s="264"/>
    </x:row>
    <x:row r="31" ht="30" customHeight="1">
      <x:c r="A31" s="34" t="str">
        <x:v>Aktivitas</x:v>
      </x:c>
      <x:c r="B31" s="35" t="str">
        <x:v>T1</x:v>
      </x:c>
      <x:c r="C31" s="35" t="str">
        <x:v>T2</x:v>
      </x:c>
      <x:c r="D31" s="35" t="str">
        <x:v>T3</x:v>
      </x:c>
      <x:c r="E31" s="35" t="str">
        <x:v>T4</x:v>
      </x:c>
      <x:c r="F31" s="35" t="str">
        <x:v>T5</x:v>
      </x:c>
      <x:c r="G31" s="35" t="str">
        <x:v>T6</x:v>
      </x:c>
      <x:c r="H31" s="35" t="str">
        <x:v>T7</x:v>
      </x:c>
      <x:c r="I31" s="35" t="str">
        <x:v>T8</x:v>
      </x:c>
      <x:c r="J31" s="35" t="str">
        <x:v>T9</x:v>
      </x:c>
      <x:c r="K31" s="35" t="str">
        <x:v>T10</x:v>
      </x:c>
      <x:c r="L31" s="36" t="str">
        <x:v>Satuan</x:v>
      </x:c>
      <x:c r="M31" s="264"/>
      <x:c r="N31" s="264"/>
      <x:c r="O31" s="264"/>
      <x:c r="P31" s="264"/>
      <x:c r="Q31" s="264"/>
      <x:c r="R31" s="264"/>
      <x:c r="S31" s="264"/>
      <x:c r="T31" s="264"/>
      <x:c r="U31" s="264"/>
      <x:c r="V31" s="264"/>
      <x:c r="W31" s="264"/>
      <x:c r="X31" s="264"/>
      <x:c r="Y31" s="264"/>
      <x:c r="Z31" s="264"/>
    </x:row>
    <x:row r="32">
      <x:c r="A32" s="264" t="str">
        <x:v>Weeding/groundcover management</x:v>
      </x:c>
      <x:c r="B32" s="264" t="n">
        <x:v>28</x:v>
      </x:c>
      <x:c r="C32" s="264" t="n">
        <x:v>26</x:v>
      </x:c>
      <x:c r="D32" s="264" t="n">
        <x:v>24</x:v>
      </x:c>
      <x:c r="E32" s="264" t="n">
        <x:v>22</x:v>
      </x:c>
      <x:c r="F32" s="264" t="n">
        <x:v>20</x:v>
      </x:c>
      <x:c r="G32" s="264" t="n">
        <x:v>18</x:v>
      </x:c>
      <x:c r="H32" s="264" t="n">
        <x:v>16</x:v>
      </x:c>
      <x:c r="I32" s="264" t="n">
        <x:v>15</x:v>
      </x:c>
      <x:c r="J32" s="264" t="n">
        <x:v>15</x:v>
      </x:c>
      <x:c r="K32" s="264" t="n">
        <x:v>15</x:v>
      </x:c>
      <x:c r="L32" s="264" t="str">
        <x:v>HOK/ha</x:v>
      </x:c>
      <x:c r="M32" s="264"/>
      <x:c r="N32" s="264"/>
      <x:c r="O32" s="264"/>
      <x:c r="P32" s="264"/>
      <x:c r="Q32" s="264"/>
      <x:c r="R32" s="264"/>
      <x:c r="S32" s="264"/>
      <x:c r="T32" s="264"/>
      <x:c r="U32" s="264"/>
      <x:c r="V32" s="264"/>
      <x:c r="W32" s="264"/>
      <x:c r="X32" s="264"/>
      <x:c r="Y32" s="264"/>
      <x:c r="Z32" s="264"/>
    </x:row>
    <x:row r="33">
      <x:c r="A33" s="264" t="str">
        <x:v>Banana suckering &amp; sanitation</x:v>
      </x:c>
      <x:c r="B33" s="264" t="n">
        <x:v>18</x:v>
      </x:c>
      <x:c r="C33" s="264" t="n">
        <x:v>16.2</x:v>
      </x:c>
      <x:c r="D33" s="264" t="n">
        <x:v>12.6</x:v>
      </x:c>
      <x:c r="E33" s="264" t="n">
        <x:v>8.1</x:v>
      </x:c>
      <x:c r="F33" s="264" t="n">
        <x:v>4.5</x:v>
      </x:c>
      <x:c r="G33" s="264" t="n">
        <x:v>2.7</x:v>
      </x:c>
      <x:c r="H33" s="264" t="n">
        <x:v>1.8</x:v>
      </x:c>
      <x:c r="I33" s="264" t="n">
        <x:v>1.8</x:v>
      </x:c>
      <x:c r="J33" s="264" t="n">
        <x:v>1.8</x:v>
      </x:c>
      <x:c r="K33" s="264" t="n">
        <x:v>1.8</x:v>
      </x:c>
      <x:c r="L33" s="264" t="str">
        <x:v>HOK/ha</x:v>
      </x:c>
      <x:c r="M33" s="264"/>
      <x:c r="N33" s="264"/>
      <x:c r="O33" s="264"/>
      <x:c r="P33" s="264"/>
      <x:c r="Q33" s="264"/>
      <x:c r="R33" s="264"/>
      <x:c r="S33" s="264"/>
      <x:c r="T33" s="264"/>
      <x:c r="U33" s="264"/>
      <x:c r="V33" s="264"/>
      <x:c r="W33" s="264"/>
      <x:c r="X33" s="264"/>
      <x:c r="Y33" s="264"/>
      <x:c r="Z33" s="264"/>
    </x:row>
    <x:row r="34">
      <x:c r="A34" s="264" t="str">
        <x:v>Fertilizer/compost application</x:v>
      </x:c>
      <x:c r="B34" s="264" t="n">
        <x:v>10</x:v>
      </x:c>
      <x:c r="C34" s="264" t="n">
        <x:v>10</x:v>
      </x:c>
      <x:c r="D34" s="264" t="n">
        <x:v>11</x:v>
      </x:c>
      <x:c r="E34" s="264" t="n">
        <x:v>11</x:v>
      </x:c>
      <x:c r="F34" s="264" t="n">
        <x:v>12</x:v>
      </x:c>
      <x:c r="G34" s="264" t="n">
        <x:v>12</x:v>
      </x:c>
      <x:c r="H34" s="264" t="n">
        <x:v>13</x:v>
      </x:c>
      <x:c r="I34" s="264" t="n">
        <x:v>13</x:v>
      </x:c>
      <x:c r="J34" s="264" t="n">
        <x:v>13</x:v>
      </x:c>
      <x:c r="K34" s="264" t="n">
        <x:v>13</x:v>
      </x:c>
      <x:c r="L34" s="264" t="str">
        <x:v>HOK/ha</x:v>
      </x:c>
      <x:c r="M34" s="264"/>
      <x:c r="N34" s="264"/>
      <x:c r="O34" s="264"/>
      <x:c r="P34" s="264"/>
      <x:c r="Q34" s="264"/>
      <x:c r="R34" s="264"/>
      <x:c r="S34" s="264"/>
      <x:c r="T34" s="264"/>
      <x:c r="U34" s="264"/>
      <x:c r="V34" s="264"/>
      <x:c r="W34" s="264"/>
      <x:c r="X34" s="264"/>
      <x:c r="Y34" s="264"/>
      <x:c r="Z34" s="264"/>
    </x:row>
    <x:row r="35">
      <x:c r="A35" s="264" t="str">
        <x:v>Tree training/pruning</x:v>
      </x:c>
      <x:c r="B35" s="264" t="n">
        <x:v>6</x:v>
      </x:c>
      <x:c r="C35" s="264" t="n">
        <x:v>8</x:v>
      </x:c>
      <x:c r="D35" s="264" t="n">
        <x:v>10</x:v>
      </x:c>
      <x:c r="E35" s="264" t="n">
        <x:v>12</x:v>
      </x:c>
      <x:c r="F35" s="264" t="n">
        <x:v>13</x:v>
      </x:c>
      <x:c r="G35" s="264" t="n">
        <x:v>14</x:v>
      </x:c>
      <x:c r="H35" s="264" t="n">
        <x:v>15</x:v>
      </x:c>
      <x:c r="I35" s="264" t="n">
        <x:v>16</x:v>
      </x:c>
      <x:c r="J35" s="264" t="n">
        <x:v>16</x:v>
      </x:c>
      <x:c r="K35" s="264" t="n">
        <x:v>16</x:v>
      </x:c>
      <x:c r="L35" s="264" t="str">
        <x:v>HOK/ha</x:v>
      </x:c>
      <x:c r="M35" s="264"/>
      <x:c r="N35" s="264"/>
      <x:c r="O35" s="264"/>
      <x:c r="P35" s="264"/>
      <x:c r="Q35" s="264"/>
      <x:c r="R35" s="264"/>
      <x:c r="S35" s="264"/>
      <x:c r="T35" s="264"/>
      <x:c r="U35" s="264"/>
      <x:c r="V35" s="264"/>
      <x:c r="W35" s="264"/>
      <x:c r="X35" s="264"/>
      <x:c r="Y35" s="264"/>
      <x:c r="Z35" s="264"/>
    </x:row>
    <x:row r="36">
      <x:c r="A36" s="264" t="str">
        <x:v>Plant health scouting/biosecurity</x:v>
      </x:c>
      <x:c r="B36" s="264" t="n">
        <x:v>10</x:v>
      </x:c>
      <x:c r="C36" s="264" t="n">
        <x:v>10</x:v>
      </x:c>
      <x:c r="D36" s="264" t="n">
        <x:v>10</x:v>
      </x:c>
      <x:c r="E36" s="264" t="n">
        <x:v>10</x:v>
      </x:c>
      <x:c r="F36" s="264" t="n">
        <x:v>10</x:v>
      </x:c>
      <x:c r="G36" s="264" t="n">
        <x:v>10</x:v>
      </x:c>
      <x:c r="H36" s="264" t="n">
        <x:v>10</x:v>
      </x:c>
      <x:c r="I36" s="264" t="n">
        <x:v>10</x:v>
      </x:c>
      <x:c r="J36" s="264" t="n">
        <x:v>10</x:v>
      </x:c>
      <x:c r="K36" s="264" t="n">
        <x:v>10</x:v>
      </x:c>
      <x:c r="L36" s="264" t="str">
        <x:v>HOK/ha</x:v>
      </x:c>
      <x:c r="M36" s="264"/>
      <x:c r="N36" s="264"/>
      <x:c r="O36" s="264"/>
      <x:c r="P36" s="264"/>
      <x:c r="Q36" s="264"/>
      <x:c r="R36" s="264"/>
      <x:c r="S36" s="264"/>
      <x:c r="T36" s="264"/>
      <x:c r="U36" s="264"/>
      <x:c r="V36" s="264"/>
      <x:c r="W36" s="264"/>
      <x:c r="X36" s="264"/>
      <x:c r="Y36" s="264"/>
      <x:c r="Z36" s="264"/>
    </x:row>
    <x:row r="37">
      <x:c r="A37" s="264" t="str">
        <x:v>Supplemental irrigation</x:v>
      </x:c>
      <x:c r="B37" s="264" t="n">
        <x:v>8</x:v>
      </x:c>
      <x:c r="C37" s="264" t="n">
        <x:v>7</x:v>
      </x:c>
      <x:c r="D37" s="264" t="n">
        <x:v>6</x:v>
      </x:c>
      <x:c r="E37" s="264" t="n">
        <x:v>5</x:v>
      </x:c>
      <x:c r="F37" s="264" t="n">
        <x:v>4</x:v>
      </x:c>
      <x:c r="G37" s="264" t="n">
        <x:v>4</x:v>
      </x:c>
      <x:c r="H37" s="264" t="n">
        <x:v>4</x:v>
      </x:c>
      <x:c r="I37" s="264" t="n">
        <x:v>4</x:v>
      </x:c>
      <x:c r="J37" s="264" t="n">
        <x:v>4</x:v>
      </x:c>
      <x:c r="K37" s="264" t="n">
        <x:v>4</x:v>
      </x:c>
      <x:c r="L37" s="264" t="str">
        <x:v>HOK/ha</x:v>
      </x:c>
      <x:c r="M37" s="264"/>
      <x:c r="N37" s="264"/>
      <x:c r="O37" s="264"/>
      <x:c r="P37" s="264"/>
      <x:c r="Q37" s="264"/>
      <x:c r="R37" s="264"/>
      <x:c r="S37" s="264"/>
      <x:c r="T37" s="264"/>
      <x:c r="U37" s="264"/>
      <x:c r="V37" s="264"/>
      <x:c r="W37" s="264"/>
      <x:c r="X37" s="264"/>
      <x:c r="Y37" s="264"/>
      <x:c r="Z37" s="264"/>
    </x:row>
    <x:row r="38">
      <x:c r="A38" s="264" t="str">
        <x:v>Gap filling/replanting</x:v>
      </x:c>
      <x:c r="B38" s="264" t="n">
        <x:v>8</x:v>
      </x:c>
      <x:c r="C38" s="264" t="n">
        <x:v>4</x:v>
      </x:c>
      <x:c r="D38" s="264" t="n">
        <x:v>2</x:v>
      </x:c>
      <x:c r="E38" s="264" t="n">
        <x:v>1</x:v>
      </x:c>
      <x:c r="F38" s="264" t="n">
        <x:v>1</x:v>
      </x:c>
      <x:c r="G38" s="264" t="n">
        <x:v>1</x:v>
      </x:c>
      <x:c r="H38" s="264" t="n">
        <x:v>1</x:v>
      </x:c>
      <x:c r="I38" s="264" t="n">
        <x:v>1</x:v>
      </x:c>
      <x:c r="J38" s="264" t="n">
        <x:v>1</x:v>
      </x:c>
      <x:c r="K38" s="264" t="n">
        <x:v>1</x:v>
      </x:c>
      <x:c r="L38" s="264" t="str">
        <x:v>HOK/ha</x:v>
      </x:c>
      <x:c r="M38" s="264"/>
      <x:c r="N38" s="264"/>
      <x:c r="O38" s="264"/>
      <x:c r="P38" s="264"/>
      <x:c r="Q38" s="264"/>
      <x:c r="R38" s="264"/>
      <x:c r="S38" s="264"/>
      <x:c r="T38" s="264"/>
      <x:c r="U38" s="264"/>
      <x:c r="V38" s="264"/>
      <x:c r="W38" s="264"/>
      <x:c r="X38" s="264"/>
      <x:c r="Y38" s="264"/>
      <x:c r="Z38" s="264"/>
    </x:row>
    <x:row r="39">
      <x:c r="A39" s="264" t="str">
        <x:v>Manual road/drain upkeep</x:v>
      </x:c>
      <x:c r="B39" s="264" t="n">
        <x:v>4</x:v>
      </x:c>
      <x:c r="C39" s="264" t="n">
        <x:v>4</x:v>
      </x:c>
      <x:c r="D39" s="264" t="n">
        <x:v>4</x:v>
      </x:c>
      <x:c r="E39" s="264" t="n">
        <x:v>4</x:v>
      </x:c>
      <x:c r="F39" s="264" t="n">
        <x:v>4</x:v>
      </x:c>
      <x:c r="G39" s="264" t="n">
        <x:v>4</x:v>
      </x:c>
      <x:c r="H39" s="264" t="n">
        <x:v>4</x:v>
      </x:c>
      <x:c r="I39" s="264" t="n">
        <x:v>4</x:v>
      </x:c>
      <x:c r="J39" s="264" t="n">
        <x:v>4</x:v>
      </x:c>
      <x:c r="K39" s="264" t="n">
        <x:v>4</x:v>
      </x:c>
      <x:c r="L39" s="264" t="str">
        <x:v>HOK/ha</x:v>
      </x:c>
      <x:c r="M39" s="264"/>
      <x:c r="N39" s="264"/>
      <x:c r="O39" s="264"/>
      <x:c r="P39" s="264"/>
      <x:c r="Q39" s="264"/>
      <x:c r="R39" s="264"/>
      <x:c r="S39" s="264"/>
      <x:c r="T39" s="264"/>
      <x:c r="U39" s="264"/>
      <x:c r="V39" s="264"/>
      <x:c r="W39" s="264"/>
      <x:c r="X39" s="264"/>
      <x:c r="Y39" s="264"/>
      <x:c r="Z39" s="264"/>
    </x:row>
    <x:row r="40">
      <x:c r="A40" s="264" t="str">
        <x:v>Mapping/biodiversity field monitoring</x:v>
      </x:c>
      <x:c r="B40" s="264" t="n">
        <x:v>3</x:v>
      </x:c>
      <x:c r="C40" s="264" t="n">
        <x:v>3</x:v>
      </x:c>
      <x:c r="D40" s="264" t="n">
        <x:v>3</x:v>
      </x:c>
      <x:c r="E40" s="264" t="n">
        <x:v>3</x:v>
      </x:c>
      <x:c r="F40" s="264" t="n">
        <x:v>3</x:v>
      </x:c>
      <x:c r="G40" s="264" t="n">
        <x:v>3</x:v>
      </x:c>
      <x:c r="H40" s="264" t="n">
        <x:v>3</x:v>
      </x:c>
      <x:c r="I40" s="264" t="n">
        <x:v>3</x:v>
      </x:c>
      <x:c r="J40" s="264" t="n">
        <x:v>3</x:v>
      </x:c>
      <x:c r="K40" s="264" t="n">
        <x:v>3</x:v>
      </x:c>
      <x:c r="L40" s="264" t="str">
        <x:v>HOK/ha</x:v>
      </x:c>
      <x:c r="M40" s="264"/>
      <x:c r="N40" s="264"/>
      <x:c r="O40" s="264"/>
      <x:c r="P40" s="264"/>
      <x:c r="Q40" s="264"/>
      <x:c r="R40" s="264"/>
      <x:c r="S40" s="264"/>
      <x:c r="T40" s="264"/>
      <x:c r="U40" s="264"/>
      <x:c r="V40" s="264"/>
      <x:c r="W40" s="264"/>
      <x:c r="X40" s="264"/>
      <x:c r="Y40" s="264"/>
      <x:c r="Z40" s="264"/>
    </x:row>
    <x:row r="41">
      <x:c r="A41" s="291" t="str">
        <x:v>TOTAL HOK PROYEK</x:v>
      </x:c>
      <x:c r="B41" s="291" t="n">
        <x:f>SUM(B32:B40)*'02_Assumptions'!$C$6*'02_Assumptions'!$C$7</x:f>
        <x:v>8360</x:v>
      </x:c>
      <x:c r="C41" s="291" t="n">
        <x:f>SUM(C32:C40)*'02_Assumptions'!$C$6*'02_Assumptions'!$C$7</x:f>
        <x:v>7761.6</x:v>
      </x:c>
      <x:c r="D41" s="291" t="n">
        <x:f>SUM(D32:D40)*'02_Assumptions'!$C$6*'02_Assumptions'!$C$7</x:f>
        <x:v>7268.8</x:v>
      </x:c>
      <x:c r="E41" s="291" t="n">
        <x:f>SUM(E32:E40)*'02_Assumptions'!$C$6*'02_Assumptions'!$C$7</x:f>
        <x:v>6696.799999999999</x:v>
      </x:c>
      <x:c r="F41" s="291" t="n">
        <x:f>SUM(F32:F40)*'02_Assumptions'!$C$6*'02_Assumptions'!$C$7</x:f>
        <x:v>6292</x:v>
      </x:c>
      <x:c r="G41" s="291" t="n">
        <x:f>SUM(G32:G40)*'02_Assumptions'!$C$6*'02_Assumptions'!$C$7</x:f>
        <x:v>6045.6</x:v>
      </x:c>
      <x:c r="H41" s="291" t="n">
        <x:f>SUM(H32:H40)*'02_Assumptions'!$C$6*'02_Assumptions'!$C$7</x:f>
        <x:v>5966.4</x:v>
      </x:c>
      <x:c r="I41" s="291" t="n">
        <x:f>SUM(I32:I40)*'02_Assumptions'!$C$6*'02_Assumptions'!$C$7</x:f>
        <x:v>5966.4</x:v>
      </x:c>
      <x:c r="J41" s="291" t="n">
        <x:f>SUM(J32:J40)*'02_Assumptions'!$C$6*'02_Assumptions'!$C$7</x:f>
        <x:v>5966.4</x:v>
      </x:c>
      <x:c r="K41" s="291" t="n">
        <x:f>SUM(K32:K40)*'02_Assumptions'!$C$6*'02_Assumptions'!$C$7</x:f>
        <x:v>5966.4</x:v>
      </x:c>
      <x:c r="L41" s="291" t="str">
        <x:v>HOK/year</x:v>
      </x:c>
      <x:c r="M41" s="264"/>
      <x:c r="N41" s="264"/>
      <x:c r="O41" s="264"/>
      <x:c r="P41" s="264"/>
      <x:c r="Q41" s="264"/>
      <x:c r="R41" s="264"/>
      <x:c r="S41" s="264"/>
      <x:c r="T41" s="264"/>
      <x:c r="U41" s="264"/>
      <x:c r="V41" s="264"/>
      <x:c r="W41" s="264"/>
      <x:c r="X41" s="264"/>
      <x:c r="Y41" s="264"/>
      <x:c r="Z41" s="264"/>
    </x:row>
    <x:row r="42">
      <x:c r="A42" s="292" t="str">
        <x:v>Rata-rata kru lapang</x:v>
      </x:c>
      <x:c r="B42" s="292" t="n">
        <x:f>B41/'02_Assumptions'!$C$9/12</x:f>
        <x:v>27.866666666666664</x:v>
      </x:c>
      <x:c r="C42" s="292" t="n">
        <x:f>C41/'02_Assumptions'!$C$9/12</x:f>
        <x:v>25.872</x:v>
      </x:c>
      <x:c r="D42" s="292" t="n">
        <x:f>D41/'02_Assumptions'!$C$9/12</x:f>
        <x:v>24.229333333333333</x:v>
      </x:c>
      <x:c r="E42" s="292" t="n">
        <x:f>E41/'02_Assumptions'!$C$9/12</x:f>
        <x:v>22.322666666666663</x:v>
      </x:c>
      <x:c r="F42" s="292" t="n">
        <x:f>F41/'02_Assumptions'!$C$9/12</x:f>
        <x:v>20.973333333333333</x:v>
      </x:c>
      <x:c r="G42" s="292" t="n">
        <x:f>G41/'02_Assumptions'!$C$9/12</x:f>
        <x:v>20.152</x:v>
      </x:c>
      <x:c r="H42" s="292" t="n">
        <x:f>H41/'02_Assumptions'!$C$9/12</x:f>
        <x:v>19.887999999999998</x:v>
      </x:c>
      <x:c r="I42" s="292" t="n">
        <x:f>I41/'02_Assumptions'!$C$9/12</x:f>
        <x:v>19.887999999999998</x:v>
      </x:c>
      <x:c r="J42" s="292" t="n">
        <x:f>J41/'02_Assumptions'!$C$9/12</x:f>
        <x:v>19.887999999999998</x:v>
      </x:c>
      <x:c r="K42" s="292" t="n">
        <x:f>K41/'02_Assumptions'!$C$9/12</x:f>
        <x:v>19.887999999999998</x:v>
      </x:c>
      <x:c r="L42" s="292" t="str">
        <x:v>people</x:v>
      </x:c>
      <x:c r="M42" s="264"/>
      <x:c r="N42" s="264"/>
      <x:c r="O42" s="264"/>
      <x:c r="P42" s="264"/>
      <x:c r="Q42" s="264"/>
      <x:c r="R42" s="264"/>
      <x:c r="S42" s="264"/>
      <x:c r="T42" s="264"/>
      <x:c r="U42" s="264"/>
      <x:c r="V42" s="264"/>
      <x:c r="W42" s="264"/>
      <x:c r="X42" s="264"/>
      <x:c r="Y42" s="264"/>
      <x:c r="Z42" s="264"/>
    </x:row>
    <x:row r="43">
      <x:c r="A43" s="293" t="str">
        <x:v>Kru lapang puncak (1,35×)</x:v>
      </x:c>
      <x:c r="B43" s="293" t="n">
        <x:f>B42*1.35</x:f>
        <x:v>37.62</x:v>
      </x:c>
      <x:c r="C43" s="293" t="n">
        <x:f>C42*1.35</x:f>
        <x:v>34.9272</x:v>
      </x:c>
      <x:c r="D43" s="293" t="n">
        <x:f>D42*1.35</x:f>
        <x:v>32.7096</x:v>
      </x:c>
      <x:c r="E43" s="293" t="n">
        <x:f>E42*1.35</x:f>
        <x:v>30.135599999999997</x:v>
      </x:c>
      <x:c r="F43" s="293" t="n">
        <x:f>F42*1.35</x:f>
        <x:v>28.314</x:v>
      </x:c>
      <x:c r="G43" s="293" t="n">
        <x:f>G42*1.35</x:f>
        <x:v>27.205200000000005</x:v>
      </x:c>
      <x:c r="H43" s="293" t="n">
        <x:f>H42*1.35</x:f>
        <x:v>26.8488</x:v>
      </x:c>
      <x:c r="I43" s="293" t="n">
        <x:f>I42*1.35</x:f>
        <x:v>26.8488</x:v>
      </x:c>
      <x:c r="J43" s="293" t="n">
        <x:f>J42*1.35</x:f>
        <x:v>26.8488</x:v>
      </x:c>
      <x:c r="K43" s="293" t="n">
        <x:f>K42*1.35</x:f>
        <x:v>26.8488</x:v>
      </x:c>
      <x:c r="L43" s="293" t="str">
        <x:v>people</x:v>
      </x:c>
      <x:c r="M43" s="264"/>
      <x:c r="N43" s="264"/>
      <x:c r="O43" s="264"/>
      <x:c r="P43" s="264"/>
      <x:c r="Q43" s="264"/>
      <x:c r="R43" s="264"/>
      <x:c r="S43" s="264"/>
      <x:c r="T43" s="264"/>
      <x:c r="U43" s="264"/>
      <x:c r="V43" s="264"/>
      <x:c r="W43" s="264"/>
      <x:c r="X43" s="264"/>
      <x:c r="Y43" s="264"/>
      <x:c r="Z43" s="264"/>
    </x:row>
  </x:sheetData>
  <x:mergeCells>
    <x:mergeCell ref="A1:X1"/>
    <x:mergeCell ref="A2:X2"/>
    <x:mergeCell ref="A4:X4"/>
    <x:mergeCell ref="A26:J26"/>
    <x:mergeCell ref="A27:M27"/>
    <x:mergeCell ref="A30:L30"/>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29" hidden="0" customWidth="1"/>
    <x:col min="3" max="3" width="34" hidden="0" customWidth="1"/>
    <x:col min="4" max="4" width="14" hidden="0" customWidth="1"/>
    <x:col min="5" max="5" width="14" hidden="0" customWidth="1"/>
    <x:col min="6" max="6" width="12" hidden="0" customWidth="1"/>
    <x:col min="7" max="7" width="12" hidden="0" customWidth="1"/>
    <x:col min="8" max="8" width="17" hidden="0" customWidth="1"/>
    <x:col min="9" max="9" width="18" hidden="0" customWidth="1"/>
    <x:col min="10" max="10" width="18" hidden="0" customWidth="1"/>
    <x:col min="11" max="11" width="13" hidden="0" customWidth="1"/>
    <x:col min="12" max="12" width="25" hidden="0" customWidth="1"/>
    <x:col min="13" max="13" width="27" hidden="0" customWidth="1"/>
    <x:col min="14" max="14" width="10" hidden="0" customWidth="1"/>
    <x:col min="15" max="15" width="17" hidden="0" customWidth="1"/>
    <x:col min="16" max="16" width="20" hidden="0" customWidth="1"/>
    <x:col min="17" max="17" width="17" hidden="0" customWidth="1"/>
  </x:cols>
  <x:sheetData>
    <x:row r="1" ht="28" customHeight="1">
      <x:c r="A1" s="313" t="str">
        <x:v>Peralatan, Mesin, Kendaraan, dan APD</x:v>
      </x:c>
      <x:c r="B1" s="313"/>
      <x:c r="C1" s="313"/>
      <x:c r="D1" s="313"/>
      <x:c r="E1" s="313"/>
      <x:c r="F1" s="313"/>
      <x:c r="G1" s="313"/>
      <x:c r="H1" s="313"/>
      <x:c r="I1" s="313"/>
      <x:c r="J1" s="313"/>
      <x:c r="K1" s="313"/>
      <x:c r="L1" s="313"/>
      <x:c r="M1" s="313"/>
      <x:c r="N1" s="313"/>
      <x:c r="O1" s="313"/>
      <x:c r="P1" s="313"/>
      <x:c r="Q1" s="313"/>
    </x:row>
    <x:row r="2" ht="38" customHeight="1">
      <x:c r="A2" s="7" t="str">
        <x:v>Rincian alat tangan, mesin, kendaraan, fasilitas keselamatan, jumlah unit, harga, umur pakai, dan siklus penggantian. Kuantitas berubah mengikuti luas dan jumlah lokasi; tentukan pembelian atau sewa berdasarkan utilisasi dan layanan setempat.</x:v>
      </x:c>
      <x:c r="B2" s="7"/>
      <x:c r="C2" s="7"/>
      <x:c r="D2" s="7"/>
      <x:c r="E2" s="7"/>
      <x:c r="F2" s="7"/>
      <x:c r="G2" s="7"/>
      <x:c r="H2" s="7"/>
      <x:c r="I2" s="7"/>
      <x:c r="J2" s="7"/>
      <x:c r="K2" s="7"/>
      <x:c r="L2" s="7"/>
      <x:c r="M2" s="7"/>
      <x:c r="N2" s="7"/>
      <x:c r="O2" s="7"/>
      <x:c r="P2" s="7"/>
      <x:c r="Q2" s="7"/>
    </x:row>
    <x:row r="3">
      <x:c r="A3" s="261"/>
      <x:c r="B3" s="261"/>
      <x:c r="C3" s="261"/>
      <x:c r="D3" s="261"/>
      <x:c r="E3" s="261"/>
      <x:c r="F3" s="261"/>
      <x:c r="G3" s="261"/>
      <x:c r="H3" s="261"/>
      <x:c r="I3" s="261"/>
      <x:c r="J3" s="261"/>
      <x:c r="K3" s="261"/>
      <x:c r="L3" s="261"/>
      <x:c r="M3" s="261"/>
      <x:c r="N3" s="261"/>
      <x:c r="O3" s="261"/>
      <x:c r="P3" s="261"/>
      <x:c r="Q3" s="261"/>
    </x:row>
    <x:row r="4" ht="30" customHeight="1">
      <x:c r="A4" s="34" t="str">
        <x:v>Kategori</x:v>
      </x:c>
      <x:c r="B4" s="35" t="str">
        <x:v>Barang</x:v>
      </x:c>
      <x:c r="C4" s="35" t="str">
        <x:v>Spesifikasi/penggunaan</x:v>
      </x:c>
      <x:c r="D4" s="35" t="str">
        <x:v>Jumlah 1 lokasi</x:v>
      </x:c>
      <x:c r="E4" s="35" t="str">
        <x:v>Jumlah 4 lokasi</x:v>
      </x:c>
      <x:c r="F4" s="35" t="str">
        <x:v>Metode</x:v>
      </x:c>
      <x:c r="G4" s="35" t="str">
        <x:v>Satuan</x:v>
      </x:c>
      <x:c r="H4" s="35" t="str">
        <x:v>Harga satuan</x:v>
      </x:c>
      <x:c r="I4" s="35" t="str">
        <x:v>Total 1 lokasi</x:v>
      </x:c>
      <x:c r="J4" s="35" t="str">
        <x:v>Total 4 lokasi</x:v>
      </x:c>
      <x:c r="K4" s="35" t="str">
        <x:v>Umur manfaat</x:v>
      </x:c>
      <x:c r="L4" s="35" t="str">
        <x:v>Penggantian/perawatan</x:v>
      </x:c>
      <x:c r="M4" s="36" t="str">
        <x:v>Dasar/keyakinan</x:v>
      </x:c>
      <x:c r="N4" s="261" t="str">
        <x:v>Aktif</x:v>
      </x:c>
      <x:c r="O4" s="261" t="str">
        <x:v>Dasar per 100 ha</x:v>
      </x:c>
      <x:c r="P4" s="261" t="str">
        <x:v>Kenaikan per lokasi ekstra</x:v>
      </x:c>
      <x:c r="Q4" s="261" t="str">
        <x:v>Minimum per lokasi</x:v>
      </x:c>
    </x:row>
    <x:row r="5">
      <x:c r="A5" s="264" t="str">
        <x:v>Hand tools</x:v>
      </x:c>
      <x:c r="B5" s="264" t="str">
        <x:v>Cangkul heavy duty</x:v>
      </x:c>
      <x:c r="C5" s="264" t="str">
        <x:v>Soil work and circle weeding</x:v>
      </x:c>
      <x:c r="D5" s="404" t="n">
        <x:f>IF($N5=0,0,ROUNDUP(MAX($O5*'02_Assumptions'!$C$6/100,$Q5),0))</x:f>
        <x:v>120</x:v>
      </x:c>
      <x:c r="E5" s="404" t="n">
        <x:f>IF($N5=0,0,ROUNDUP(MAX($O5*'02_Assumptions'!$C$6/100*(1+$P5*3),$Q5*4),0))</x:f>
        <x:v>140</x:v>
      </x:c>
      <x:c r="F5" s="281" t="str">
        <x:v>Buy</x:v>
      </x:c>
      <x:c r="G5" s="281" t="str">
        <x:v>unit</x:v>
      </x:c>
      <x:c r="H5" s="401" t="n">
        <x:v>180000</x:v>
      </x:c>
      <x:c r="I5" s="405" t="n">
        <x:f>$D5*$H5</x:f>
        <x:v>21600000</x:v>
      </x:c>
      <x:c r="J5" s="405" t="n">
        <x:f>$E5*$H5</x:f>
        <x:v>25200000</x:v>
      </x:c>
      <x:c r="K5" s="264" t="n">
        <x:v>3</x:v>
      </x:c>
      <x:c r="L5" s="264" t="str">
        <x:v>Replace 35% every 3y</x:v>
      </x:c>
      <x:c r="M5" s="264" t="str">
        <x:v>Peak planting crew / Medium</x:v>
      </x:c>
      <x:c r="N5" s="330" t="n">
        <x:v>1</x:v>
      </x:c>
      <x:c r="O5" s="330" t="n">
        <x:v>120</x:v>
      </x:c>
      <x:c r="P5" s="331" t="n">
        <x:v>0.05555555555555558</x:v>
      </x:c>
      <x:c r="Q5" s="330" t="n">
        <x:v>0</x:v>
      </x:c>
    </x:row>
    <x:row r="6">
      <x:c r="A6" s="264" t="str">
        <x:v>Hand tools</x:v>
      </x:c>
      <x:c r="B6" s="264" t="str">
        <x:v>Sekop</x:v>
      </x:c>
      <x:c r="C6" s="264" t="str">
        <x:v>Hole finishing/compost</x:v>
      </x:c>
      <x:c r="D6" s="404" t="n">
        <x:f>IF($N6=0,0,ROUNDUP(MAX($O6*'02_Assumptions'!$C$6/100,$Q6),0))</x:f>
        <x:v>80</x:v>
      </x:c>
      <x:c r="E6" s="404" t="n">
        <x:f>IF($N6=0,0,ROUNDUP(MAX($O6*'02_Assumptions'!$C$6/100*(1+$P6*3),$Q6*4),0))</x:f>
        <x:v>100</x:v>
      </x:c>
      <x:c r="F6" s="281" t="str">
        <x:v>Buy</x:v>
      </x:c>
      <x:c r="G6" s="281" t="str">
        <x:v>unit</x:v>
      </x:c>
      <x:c r="H6" s="401" t="n">
        <x:v>200000</x:v>
      </x:c>
      <x:c r="I6" s="405" t="n">
        <x:f>$D6*$H6</x:f>
        <x:v>16000000</x:v>
      </x:c>
      <x:c r="J6" s="405" t="n">
        <x:f>$E6*$H6</x:f>
        <x:v>20000000</x:v>
      </x:c>
      <x:c r="K6" s="264" t="n">
        <x:v>3</x:v>
      </x:c>
      <x:c r="L6" s="264" t="str">
        <x:v>Replace 35% every 3y</x:v>
      </x:c>
      <x:c r="M6" s="264" t="str">
        <x:v>Crew allocation / Medium</x:v>
      </x:c>
      <x:c r="N6" s="330" t="n">
        <x:v>1</x:v>
      </x:c>
      <x:c r="O6" s="330" t="n">
        <x:v>80</x:v>
      </x:c>
      <x:c r="P6" s="331" t="n">
        <x:v>0.08333333333333333</x:v>
      </x:c>
      <x:c r="Q6" s="330" t="n">
        <x:v>0</x:v>
      </x:c>
    </x:row>
    <x:row r="7">
      <x:c r="A7" s="264" t="str">
        <x:v>Hand tools</x:v>
      </x:c>
      <x:c r="B7" s="264" t="str">
        <x:v>Garpu tanah</x:v>
      </x:c>
      <x:c r="C7" s="264" t="str">
        <x:v>Compost/mulch</x:v>
      </x:c>
      <x:c r="D7" s="404" t="n">
        <x:f>IF($N7=0,0,ROUNDUP(MAX($O7*'02_Assumptions'!$C$6/100,$Q7),0))</x:f>
        <x:v>40</x:v>
      </x:c>
      <x:c r="E7" s="404" t="n">
        <x:f>IF($N7=0,0,ROUNDUP(MAX($O7*'02_Assumptions'!$C$6/100*(1+$P7*3),$Q7*4),0))</x:f>
        <x:v>50</x:v>
      </x:c>
      <x:c r="F7" s="281" t="str">
        <x:v>Buy</x:v>
      </x:c>
      <x:c r="G7" s="281" t="str">
        <x:v>unit</x:v>
      </x:c>
      <x:c r="H7" s="401" t="n">
        <x:v>250000</x:v>
      </x:c>
      <x:c r="I7" s="405" t="n">
        <x:f>$D7*$H7</x:f>
        <x:v>10000000</x:v>
      </x:c>
      <x:c r="J7" s="405" t="n">
        <x:f>$E7*$H7</x:f>
        <x:v>12500000</x:v>
      </x:c>
      <x:c r="K7" s="264" t="n">
        <x:v>4</x:v>
      </x:c>
      <x:c r="L7" s="264" t="str">
        <x:v>Replace as damaged</x:v>
      </x:c>
      <x:c r="M7" s="264" t="str">
        <x:v>Crew allocation / Medium</x:v>
      </x:c>
      <x:c r="N7" s="330" t="n">
        <x:v>1</x:v>
      </x:c>
      <x:c r="O7" s="330" t="n">
        <x:v>40</x:v>
      </x:c>
      <x:c r="P7" s="331" t="n">
        <x:v>0.08333333333333333</x:v>
      </x:c>
      <x:c r="Q7" s="330" t="n">
        <x:v>0</x:v>
      </x:c>
    </x:row>
    <x:row r="8">
      <x:c r="A8" s="264" t="str">
        <x:v>Hand tools</x:v>
      </x:c>
      <x:c r="B8" s="264" t="str">
        <x:v>Linggis</x:v>
      </x:c>
      <x:c r="C8" s="264" t="str">
        <x:v>Rocky soil/markers</x:v>
      </x:c>
      <x:c r="D8" s="404" t="n">
        <x:f>IF($N8=0,0,ROUNDUP(MAX($O8*'02_Assumptions'!$C$6/100,$Q8),0))</x:f>
        <x:v>30</x:v>
      </x:c>
      <x:c r="E8" s="404" t="n">
        <x:f>IF($N8=0,0,ROUNDUP(MAX($O8*'02_Assumptions'!$C$6/100*(1+$P8*3),$Q8*4),0))</x:f>
        <x:v>40</x:v>
      </x:c>
      <x:c r="F8" s="281" t="str">
        <x:v>Buy</x:v>
      </x:c>
      <x:c r="G8" s="281" t="str">
        <x:v>unit</x:v>
      </x:c>
      <x:c r="H8" s="401" t="n">
        <x:v>250000</x:v>
      </x:c>
      <x:c r="I8" s="405" t="n">
        <x:f>$D8*$H8</x:f>
        <x:v>7500000</x:v>
      </x:c>
      <x:c r="J8" s="405" t="n">
        <x:f>$E8*$H8</x:f>
        <x:v>10000000</x:v>
      </x:c>
      <x:c r="K8" s="264" t="n">
        <x:v>5</x:v>
      </x:c>
      <x:c r="L8" s="264" t="str">
        <x:v>Replace as damaged</x:v>
      </x:c>
      <x:c r="M8" s="264" t="str">
        <x:v>Crew allocation / Medium</x:v>
      </x:c>
      <x:c r="N8" s="330" t="n">
        <x:v>1</x:v>
      </x:c>
      <x:c r="O8" s="330" t="n">
        <x:v>30</x:v>
      </x:c>
      <x:c r="P8" s="331" t="n">
        <x:v>0.11111111111111109</x:v>
      </x:c>
      <x:c r="Q8" s="330" t="n">
        <x:v>0</x:v>
      </x:c>
    </x:row>
    <x:row r="9">
      <x:c r="A9" s="264" t="str">
        <x:v>Hand tools</x:v>
      </x:c>
      <x:c r="B9" s="264" t="str">
        <x:v>Parang/sabit</x:v>
      </x:c>
      <x:c r="C9" s="264" t="str">
        <x:v>Slashing/sanitation</x:v>
      </x:c>
      <x:c r="D9" s="404" t="n">
        <x:f>IF($N9=0,0,ROUNDUP(MAX($O9*'02_Assumptions'!$C$6/100,$Q9),0))</x:f>
        <x:v>120</x:v>
      </x:c>
      <x:c r="E9" s="404" t="n">
        <x:f>IF($N9=0,0,ROUNDUP(MAX($O9*'02_Assumptions'!$C$6/100*(1+$P9*3),$Q9*4),0))</x:f>
        <x:v>140</x:v>
      </x:c>
      <x:c r="F9" s="281" t="str">
        <x:v>Buy</x:v>
      </x:c>
      <x:c r="G9" s="281" t="str">
        <x:v>unit</x:v>
      </x:c>
      <x:c r="H9" s="401" t="n">
        <x:v>150000</x:v>
      </x:c>
      <x:c r="I9" s="405" t="n">
        <x:f>$D9*$H9</x:f>
        <x:v>18000000</x:v>
      </x:c>
      <x:c r="J9" s="405" t="n">
        <x:f>$E9*$H9</x:f>
        <x:v>21000000</x:v>
      </x:c>
      <x:c r="K9" s="264" t="n">
        <x:v>2</x:v>
      </x:c>
      <x:c r="L9" s="264" t="str">
        <x:v>Replace 50% every 2y</x:v>
      </x:c>
      <x:c r="M9" s="264" t="str">
        <x:v>Peak crew / Medium</x:v>
      </x:c>
      <x:c r="N9" s="330" t="n">
        <x:v>1</x:v>
      </x:c>
      <x:c r="O9" s="330" t="n">
        <x:v>120</x:v>
      </x:c>
      <x:c r="P9" s="331" t="n">
        <x:v>0.05555555555555558</x:v>
      </x:c>
      <x:c r="Q9" s="330" t="n">
        <x:v>0</x:v>
      </x:c>
    </x:row>
    <x:row r="10">
      <x:c r="A10" s="264" t="str">
        <x:v>Hand tools</x:v>
      </x:c>
      <x:c r="B10" s="264" t="str">
        <x:v>Gergaji pangkas</x:v>
      </x:c>
      <x:c r="C10" s="264" t="str">
        <x:v>Tree training</x:v>
      </x:c>
      <x:c r="D10" s="404" t="n">
        <x:f>IF($N10=0,0,ROUNDUP(MAX($O10*'02_Assumptions'!$C$6/100,$Q10),0))</x:f>
        <x:v>20</x:v>
      </x:c>
      <x:c r="E10" s="404" t="n">
        <x:f>IF($N10=0,0,ROUNDUP(MAX($O10*'02_Assumptions'!$C$6/100*(1+$P10*3),$Q10*4),0))</x:f>
        <x:v>28</x:v>
      </x:c>
      <x:c r="F10" s="281" t="str">
        <x:v>Buy</x:v>
      </x:c>
      <x:c r="G10" s="281" t="str">
        <x:v>unit</x:v>
      </x:c>
      <x:c r="H10" s="401" t="n">
        <x:v>350000</x:v>
      </x:c>
      <x:c r="I10" s="405" t="n">
        <x:f>$D10*$H10</x:f>
        <x:v>7000000</x:v>
      </x:c>
      <x:c r="J10" s="405" t="n">
        <x:f>$E10*$H10</x:f>
        <x:v>9800000</x:v>
      </x:c>
      <x:c r="K10" s="264" t="n">
        <x:v>4</x:v>
      </x:c>
      <x:c r="L10" s="264" t="str">
        <x:v>Sharpen annually</x:v>
      </x:c>
      <x:c r="M10" s="264" t="str">
        <x:v>1 per field team / Medium</x:v>
      </x:c>
      <x:c r="N10" s="330" t="n">
        <x:v>1</x:v>
      </x:c>
      <x:c r="O10" s="330" t="n">
        <x:v>20</x:v>
      </x:c>
      <x:c r="P10" s="331" t="n">
        <x:v>0.1333333333333333</x:v>
      </x:c>
      <x:c r="Q10" s="330" t="n">
        <x:v>0</x:v>
      </x:c>
    </x:row>
    <x:row r="11">
      <x:c r="A11" s="264" t="str">
        <x:v>Hand tools</x:v>
      </x:c>
      <x:c r="B11" s="264" t="str">
        <x:v>Gunting pangkas</x:v>
      </x:c>
      <x:c r="C11" s="264" t="str">
        <x:v>Sanitary pruning</x:v>
      </x:c>
      <x:c r="D11" s="404" t="n">
        <x:f>IF($N11=0,0,ROUNDUP(MAX($O11*'02_Assumptions'!$C$6/100,$Q11),0))</x:f>
        <x:v>40</x:v>
      </x:c>
      <x:c r="E11" s="404" t="n">
        <x:f>IF($N11=0,0,ROUNDUP(MAX($O11*'02_Assumptions'!$C$6/100*(1+$P11*3),$Q11*4),0))</x:f>
        <x:v>50</x:v>
      </x:c>
      <x:c r="F11" s="281" t="str">
        <x:v>Buy</x:v>
      </x:c>
      <x:c r="G11" s="281" t="str">
        <x:v>unit</x:v>
      </x:c>
      <x:c r="H11" s="401" t="n">
        <x:v>250000</x:v>
      </x:c>
      <x:c r="I11" s="405" t="n">
        <x:f>$D11*$H11</x:f>
        <x:v>10000000</x:v>
      </x:c>
      <x:c r="J11" s="405" t="n">
        <x:f>$E11*$H11</x:f>
        <x:v>12500000</x:v>
      </x:c>
      <x:c r="K11" s="264" t="n">
        <x:v>3</x:v>
      </x:c>
      <x:c r="L11" s="264" t="str">
        <x:v>Disinfect between blocks</x:v>
      </x:c>
      <x:c r="M11" s="264" t="str">
        <x:v>1 per small team / Medium</x:v>
      </x:c>
      <x:c r="N11" s="330" t="n">
        <x:v>1</x:v>
      </x:c>
      <x:c r="O11" s="330" t="n">
        <x:v>40</x:v>
      </x:c>
      <x:c r="P11" s="331" t="n">
        <x:v>0.08333333333333333</x:v>
      </x:c>
      <x:c r="Q11" s="330" t="n">
        <x:v>0</x:v>
      </x:c>
    </x:row>
    <x:row r="12">
      <x:c r="A12" s="264" t="str">
        <x:v>Hand tools</x:v>
      </x:c>
      <x:c r="B12" s="264" t="str">
        <x:v>Pole pruner</x:v>
      </x:c>
      <x:c r="C12" s="264" t="str">
        <x:v>Coconut/durian canopy</x:v>
      </x:c>
      <x:c r="D12" s="404" t="n">
        <x:f>IF($N12=0,0,ROUNDUP(MAX($O12*'02_Assumptions'!$C$6/100,$Q12),0))</x:f>
        <x:v>20</x:v>
      </x:c>
      <x:c r="E12" s="404" t="n">
        <x:f>IF($N12=0,0,ROUNDUP(MAX($O12*'02_Assumptions'!$C$6/100*(1+$P12*3),$Q12*4),0))</x:f>
        <x:v>28</x:v>
      </x:c>
      <x:c r="F12" s="281" t="str">
        <x:v>Buy</x:v>
      </x:c>
      <x:c r="G12" s="281" t="str">
        <x:v>unit</x:v>
      </x:c>
      <x:c r="H12" s="401" t="n">
        <x:v>1500000</x:v>
      </x:c>
      <x:c r="I12" s="405" t="n">
        <x:f>$D12*$H12</x:f>
        <x:v>30000000</x:v>
      </x:c>
      <x:c r="J12" s="405" t="n">
        <x:f>$E12*$H12</x:f>
        <x:v>42000000</x:v>
      </x:c>
      <x:c r="K12" s="264" t="n">
        <x:v>5</x:v>
      </x:c>
      <x:c r="L12" s="264" t="str">
        <x:v>Inspect poles annually</x:v>
      </x:c>
      <x:c r="M12" s="264" t="str">
        <x:v>1 per 5 ha / Low</x:v>
      </x:c>
      <x:c r="N12" s="330" t="n">
        <x:v>1</x:v>
      </x:c>
      <x:c r="O12" s="330" t="n">
        <x:v>20</x:v>
      </x:c>
      <x:c r="P12" s="331" t="n">
        <x:v>0.1333333333333333</x:v>
      </x:c>
      <x:c r="Q12" s="330" t="n">
        <x:v>0</x:v>
      </x:c>
    </x:row>
    <x:row r="13">
      <x:c r="A13" s="264" t="str">
        <x:v>Hand tools</x:v>
      </x:c>
      <x:c r="B13" s="264" t="str">
        <x:v>Tugal/manual auger</x:v>
      </x:c>
      <x:c r="C13" s="264" t="str">
        <x:v>Support plants/cover</x:v>
      </x:c>
      <x:c r="D13" s="404" t="n">
        <x:f>IF($N13=0,0,ROUNDUP(MAX($O13*'02_Assumptions'!$C$6/100,$Q13),0))</x:f>
        <x:v>60</x:v>
      </x:c>
      <x:c r="E13" s="404" t="n">
        <x:f>IF($N13=0,0,ROUNDUP(MAX($O13*'02_Assumptions'!$C$6/100*(1+$P13*3),$Q13*4),0))</x:f>
        <x:v>72</x:v>
      </x:c>
      <x:c r="F13" s="281" t="str">
        <x:v>Buy</x:v>
      </x:c>
      <x:c r="G13" s="281" t="str">
        <x:v>unit</x:v>
      </x:c>
      <x:c r="H13" s="401" t="n">
        <x:v>300000</x:v>
      </x:c>
      <x:c r="I13" s="405" t="n">
        <x:f>$D13*$H13</x:f>
        <x:v>18000000</x:v>
      </x:c>
      <x:c r="J13" s="405" t="n">
        <x:f>$E13*$H13</x:f>
        <x:v>21600000</x:v>
      </x:c>
      <x:c r="K13" s="264" t="n">
        <x:v>4</x:v>
      </x:c>
      <x:c r="L13" s="264" t="str">
        <x:v>Replace as damaged</x:v>
      </x:c>
      <x:c r="M13" s="264" t="str">
        <x:v>Planting crew / Medium</x:v>
      </x:c>
      <x:c r="N13" s="330" t="n">
        <x:v>1</x:v>
      </x:c>
      <x:c r="O13" s="330" t="n">
        <x:v>60</x:v>
      </x:c>
      <x:c r="P13" s="331" t="n">
        <x:v>0.06666666666666665</x:v>
      </x:c>
      <x:c r="Q13" s="330" t="n">
        <x:v>0</x:v>
      </x:c>
    </x:row>
    <x:row r="14">
      <x:c r="A14" s="264" t="str">
        <x:v>Hand tools</x:v>
      </x:c>
      <x:c r="B14" s="264" t="str">
        <x:v>Angkong 100 L</x:v>
      </x:c>
      <x:c r="C14" s="264" t="str">
        <x:v>Material and harvest movement</x:v>
      </x:c>
      <x:c r="D14" s="404" t="n">
        <x:f>IF($N14=0,0,ROUNDUP(MAX($O14*'02_Assumptions'!$C$6/100,$Q14),0))</x:f>
        <x:v>40</x:v>
      </x:c>
      <x:c r="E14" s="404" t="n">
        <x:f>IF($N14=0,0,ROUNDUP(MAX($O14*'02_Assumptions'!$C$6/100*(1+$P14*3),$Q14*4),0))</x:f>
        <x:v>48</x:v>
      </x:c>
      <x:c r="F14" s="281" t="str">
        <x:v>Buy</x:v>
      </x:c>
      <x:c r="G14" s="281" t="str">
        <x:v>unit</x:v>
      </x:c>
      <x:c r="H14" s="401" t="n">
        <x:v>1200000</x:v>
      </x:c>
      <x:c r="I14" s="405" t="n">
        <x:f>$D14*$H14</x:f>
        <x:v>48000000</x:v>
      </x:c>
      <x:c r="J14" s="405" t="n">
        <x:f>$E14*$H14</x:f>
        <x:v>57600000</x:v>
      </x:c>
      <x:c r="K14" s="264" t="n">
        <x:v>4</x:v>
      </x:c>
      <x:c r="L14" s="264" t="str">
        <x:v>Wheel/bearing annual</x:v>
      </x:c>
      <x:c r="M14" s="264" t="str">
        <x:v>1 per 2-3 workers / Medium</x:v>
      </x:c>
      <x:c r="N14" s="330" t="n">
        <x:v>1</x:v>
      </x:c>
      <x:c r="O14" s="330" t="n">
        <x:v>40</x:v>
      </x:c>
      <x:c r="P14" s="331" t="n">
        <x:v>0.06666666666666665</x:v>
      </x:c>
      <x:c r="Q14" s="330" t="n">
        <x:v>0</x:v>
      </x:c>
    </x:row>
    <x:row r="15">
      <x:c r="A15" s="264" t="str">
        <x:v>Measurement</x:v>
      </x:c>
      <x:c r="B15" s="264" t="str">
        <x:v>Tape/rope/staking kit</x:v>
      </x:c>
      <x:c r="C15" s="264" t="str">
        <x:v>Layout</x:v>
      </x:c>
      <x:c r="D15" s="404" t="n">
        <x:f>IF($N15=0,0,ROUNDUP(MAX($O15*'02_Assumptions'!$C$6/100,$Q15),0))</x:f>
        <x:v>20</x:v>
      </x:c>
      <x:c r="E15" s="404" t="n">
        <x:f>IF($N15=0,0,ROUNDUP(MAX($O15*'02_Assumptions'!$C$6/100*(1+$P15*3),$Q15*4),0))</x:f>
        <x:v>24</x:v>
      </x:c>
      <x:c r="F15" s="281" t="str">
        <x:v>Buy</x:v>
      </x:c>
      <x:c r="G15" s="281" t="str">
        <x:v>set</x:v>
      </x:c>
      <x:c r="H15" s="401" t="n">
        <x:v>250000</x:v>
      </x:c>
      <x:c r="I15" s="405" t="n">
        <x:f>$D15*$H15</x:f>
        <x:v>5000000</x:v>
      </x:c>
      <x:c r="J15" s="405" t="n">
        <x:f>$E15*$H15</x:f>
        <x:v>6000000</x:v>
      </x:c>
      <x:c r="K15" s="264" t="n">
        <x:v>3</x:v>
      </x:c>
      <x:c r="L15" s="264" t="str">
        <x:v>Annual replenishment</x:v>
      </x:c>
      <x:c r="M15" s="264" t="str">
        <x:v>Layout teams / Medium</x:v>
      </x:c>
      <x:c r="N15" s="330" t="n">
        <x:v>1</x:v>
      </x:c>
      <x:c r="O15" s="330" t="n">
        <x:v>20</x:v>
      </x:c>
      <x:c r="P15" s="331" t="n">
        <x:v>0.06666666666666665</x:v>
      </x:c>
      <x:c r="Q15" s="330" t="n">
        <x:v>0</x:v>
      </x:c>
    </x:row>
    <x:row r="16">
      <x:c r="A16" s="264" t="str">
        <x:v>Measurement</x:v>
      </x:c>
      <x:c r="B16" s="264" t="str">
        <x:v>Soil auger</x:v>
      </x:c>
      <x:c r="C16" s="264" t="str">
        <x:v>Composite samples</x:v>
      </x:c>
      <x:c r="D16" s="404" t="n">
        <x:f>IF($N16=0,0,ROUNDUP(MAX($O16*'02_Assumptions'!$C$6/100,$Q16),0))</x:f>
        <x:v>4</x:v>
      </x:c>
      <x:c r="E16" s="404" t="n">
        <x:f>IF($N16=0,0,ROUNDUP(MAX($O16*'02_Assumptions'!$C$6/100*(1+$P16*3),$Q16*4),0))</x:f>
        <x:v>8</x:v>
      </x:c>
      <x:c r="F16" s="281" t="str">
        <x:v>Buy</x:v>
      </x:c>
      <x:c r="G16" s="281" t="str">
        <x:v>unit</x:v>
      </x:c>
      <x:c r="H16" s="401" t="n">
        <x:v>3000000</x:v>
      </x:c>
      <x:c r="I16" s="405" t="n">
        <x:f>$D16*$H16</x:f>
        <x:v>12000000</x:v>
      </x:c>
      <x:c r="J16" s="405" t="n">
        <x:f>$E16*$H16</x:f>
        <x:v>24000000</x:v>
      </x:c>
      <x:c r="K16" s="264" t="n">
        <x:v>8</x:v>
      </x:c>
      <x:c r="L16" s="264" t="str">
        <x:v>Clean between sites</x:v>
      </x:c>
      <x:c r="M16" s="264" t="str">
        <x:v>1-2 per site / Medium</x:v>
      </x:c>
      <x:c r="N16" s="330" t="n">
        <x:v>1</x:v>
      </x:c>
      <x:c r="O16" s="330" t="n">
        <x:v>4</x:v>
      </x:c>
      <x:c r="P16" s="331" t="n">
        <x:v>0.3333333333333333</x:v>
      </x:c>
      <x:c r="Q16" s="330" t="n">
        <x:v>0</x:v>
      </x:c>
    </x:row>
    <x:row r="17">
      <x:c r="A17" s="264" t="str">
        <x:v>Measurement</x:v>
      </x:c>
      <x:c r="B17" s="264" t="str">
        <x:v>pH/EC/moisture kit</x:v>
      </x:c>
      <x:c r="C17" s="264" t="str">
        <x:v>Field screening</x:v>
      </x:c>
      <x:c r="D17" s="404" t="n">
        <x:f>IF($N17=0,0,ROUNDUP(MAX($O17*'02_Assumptions'!$C$6/100,$Q17),0))</x:f>
        <x:v>4</x:v>
      </x:c>
      <x:c r="E17" s="404" t="n">
        <x:f>IF($N17=0,0,ROUNDUP(MAX($O17*'02_Assumptions'!$C$6/100*(1+$P17*3),$Q17*4),0))</x:f>
        <x:v>8</x:v>
      </x:c>
      <x:c r="F17" s="281" t="str">
        <x:v>Buy</x:v>
      </x:c>
      <x:c r="G17" s="281" t="str">
        <x:v>set</x:v>
      </x:c>
      <x:c r="H17" s="401" t="n">
        <x:v>5000000</x:v>
      </x:c>
      <x:c r="I17" s="405" t="n">
        <x:f>$D17*$H17</x:f>
        <x:v>20000000</x:v>
      </x:c>
      <x:c r="J17" s="405" t="n">
        <x:f>$E17*$H17</x:f>
        <x:v>40000000</x:v>
      </x:c>
      <x:c r="K17" s="264" t="n">
        <x:v>5</x:v>
      </x:c>
      <x:c r="L17" s="264" t="str">
        <x:v>Calibrate annually</x:v>
      </x:c>
      <x:c r="M17" s="264" t="str">
        <x:v>1-2 per site / Low</x:v>
      </x:c>
      <x:c r="N17" s="330" t="n">
        <x:v>1</x:v>
      </x:c>
      <x:c r="O17" s="330" t="n">
        <x:v>4</x:v>
      </x:c>
      <x:c r="P17" s="331" t="n">
        <x:v>0.3333333333333333</x:v>
      </x:c>
      <x:c r="Q17" s="330" t="n">
        <x:v>0</x:v>
      </x:c>
    </x:row>
    <x:row r="18">
      <x:c r="A18" s="264" t="str">
        <x:v>Measurement</x:v>
      </x:c>
      <x:c r="B18" s="264" t="str">
        <x:v>Handheld GPS</x:v>
      </x:c>
      <x:c r="C18" s="264" t="str">
        <x:v>Field verification</x:v>
      </x:c>
      <x:c r="D18" s="404" t="n">
        <x:f>IF($N18=0,0,ROUNDUP(MAX($O18*'02_Assumptions'!$C$6/100,$Q18),0))</x:f>
        <x:v>2</x:v>
      </x:c>
      <x:c r="E18" s="404" t="n">
        <x:f>IF($N18=0,0,ROUNDUP(MAX($O18*'02_Assumptions'!$C$6/100*(1+$P18*3),$Q18*4),0))</x:f>
        <x:v>4</x:v>
      </x:c>
      <x:c r="F18" s="281" t="str">
        <x:v>Buy</x:v>
      </x:c>
      <x:c r="G18" s="281" t="str">
        <x:v>unit</x:v>
      </x:c>
      <x:c r="H18" s="401" t="n">
        <x:v>8000000</x:v>
      </x:c>
      <x:c r="I18" s="405" t="n">
        <x:f>$D18*$H18</x:f>
        <x:v>16000000</x:v>
      </x:c>
      <x:c r="J18" s="405" t="n">
        <x:f>$E18*$H18</x:f>
        <x:v>32000000</x:v>
      </x:c>
      <x:c r="K18" s="264" t="n">
        <x:v>5</x:v>
      </x:c>
      <x:c r="L18" s="264" t="str">
        <x:v>Battery/map update</x:v>
      </x:c>
      <x:c r="M18" s="264" t="str">
        <x:v>1 per mapping team / Low</x:v>
      </x:c>
      <x:c r="N18" s="330" t="n">
        <x:v>1</x:v>
      </x:c>
      <x:c r="O18" s="330" t="n">
        <x:v>2</x:v>
      </x:c>
      <x:c r="P18" s="331" t="n">
        <x:v>0.3333333333333333</x:v>
      </x:c>
      <x:c r="Q18" s="330" t="n">
        <x:v>0</x:v>
      </x:c>
    </x:row>
    <x:row r="19">
      <x:c r="A19" s="264" t="str">
        <x:v>Measurement</x:v>
      </x:c>
      <x:c r="B19" s="264" t="str">
        <x:v>Automatic weather station</x:v>
      </x:c>
      <x:c r="C19" s="264" t="str">
        <x:v>Rain/temp/wind</x:v>
      </x:c>
      <x:c r="D19" s="404" t="n">
        <x:f>IF($N19=0,0,ROUNDUP(MAX($O19*'02_Assumptions'!$C$6/100,$Q19),0))</x:f>
        <x:v>2</x:v>
      </x:c>
      <x:c r="E19" s="404" t="n">
        <x:f>IF($N19=0,0,ROUNDUP(MAX($O19*'02_Assumptions'!$C$6/100*(1+$P19*3),$Q19*4),0))</x:f>
        <x:v>4</x:v>
      </x:c>
      <x:c r="F19" s="281" t="str">
        <x:v>Buy</x:v>
      </x:c>
      <x:c r="G19" s="281" t="str">
        <x:v>unit</x:v>
      </x:c>
      <x:c r="H19" s="401" t="n">
        <x:v>15000000</x:v>
      </x:c>
      <x:c r="I19" s="405" t="n">
        <x:f>$D19*$H19</x:f>
        <x:v>30000000</x:v>
      </x:c>
      <x:c r="J19" s="405" t="n">
        <x:f>$E19*$H19</x:f>
        <x:v>60000000</x:v>
      </x:c>
      <x:c r="K19" s="264" t="n">
        <x:v>5</x:v>
      </x:c>
      <x:c r="L19" s="264" t="str">
        <x:v>Sensor calibration</x:v>
      </x:c>
      <x:c r="M19" s="264" t="str">
        <x:v>1 per 50 ha / Low</x:v>
      </x:c>
      <x:c r="N19" s="330" t="n">
        <x:v>1</x:v>
      </x:c>
      <x:c r="O19" s="330" t="n">
        <x:v>2</x:v>
      </x:c>
      <x:c r="P19" s="331" t="n">
        <x:v>0.3333333333333333</x:v>
      </x:c>
      <x:c r="Q19" s="330" t="n">
        <x:v>0</x:v>
      </x:c>
    </x:row>
    <x:row r="20">
      <x:c r="A20" s="264" t="str">
        <x:v>Measurement</x:v>
      </x:c>
      <x:c r="B20" s="264" t="str">
        <x:v>Platform scale</x:v>
      </x:c>
      <x:c r="C20" s="264" t="str">
        <x:v>Harvest/inputs</x:v>
      </x:c>
      <x:c r="D20" s="404" t="n">
        <x:f>IF($N20=0,0,ROUNDUP(MAX($O20*'02_Assumptions'!$C$6/100,$Q20),0))</x:f>
        <x:v>4</x:v>
      </x:c>
      <x:c r="E20" s="404" t="n">
        <x:f>IF($N20=0,0,ROUNDUP(MAX($O20*'02_Assumptions'!$C$6/100*(1+$P20*3),$Q20*4),0))</x:f>
        <x:v>8</x:v>
      </x:c>
      <x:c r="F20" s="281" t="str">
        <x:v>Buy</x:v>
      </x:c>
      <x:c r="G20" s="281" t="str">
        <x:v>unit</x:v>
      </x:c>
      <x:c r="H20" s="401" t="n">
        <x:v>5000000</x:v>
      </x:c>
      <x:c r="I20" s="405" t="n">
        <x:f>$D20*$H20</x:f>
        <x:v>20000000</x:v>
      </x:c>
      <x:c r="J20" s="405" t="n">
        <x:f>$E20*$H20</x:f>
        <x:v>40000000</x:v>
      </x:c>
      <x:c r="K20" s="264" t="n">
        <x:v>5</x:v>
      </x:c>
      <x:c r="L20" s="264" t="str">
        <x:v>Calibrate annually</x:v>
      </x:c>
      <x:c r="M20" s="264" t="str">
        <x:v>Block handling / Low</x:v>
      </x:c>
      <x:c r="N20" s="330" t="n">
        <x:v>1</x:v>
      </x:c>
      <x:c r="O20" s="330" t="n">
        <x:v>4</x:v>
      </x:c>
      <x:c r="P20" s="331" t="n">
        <x:v>0.3333333333333333</x:v>
      </x:c>
      <x:c r="Q20" s="330" t="n">
        <x:v>0</x:v>
      </x:c>
    </x:row>
    <x:row r="21">
      <x:c r="A21" s="264" t="str">
        <x:v>Communication</x:v>
      </x:c>
      <x:c r="B21" s="264" t="str">
        <x:v>Two-way radio</x:v>
      </x:c>
      <x:c r="C21" s="264" t="str">
        <x:v>Safety/field coordination</x:v>
      </x:c>
      <x:c r="D21" s="404" t="n">
        <x:f>IF($N21=0,0,ROUNDUP(MAX($O21*'02_Assumptions'!$C$6/100,$Q21),0))</x:f>
        <x:v>20</x:v>
      </x:c>
      <x:c r="E21" s="404" t="n">
        <x:f>IF($N21=0,0,ROUNDUP(MAX($O21*'02_Assumptions'!$C$6/100*(1+$P21*3),$Q21*4),0))</x:f>
        <x:v>32</x:v>
      </x:c>
      <x:c r="F21" s="281" t="str">
        <x:v>Buy</x:v>
      </x:c>
      <x:c r="G21" s="281" t="str">
        <x:v>unit</x:v>
      </x:c>
      <x:c r="H21" s="401" t="n">
        <x:v>1200000</x:v>
      </x:c>
      <x:c r="I21" s="405" t="n">
        <x:f>$D21*$H21</x:f>
        <x:v>24000000</x:v>
      </x:c>
      <x:c r="J21" s="405" t="n">
        <x:f>$E21*$H21</x:f>
        <x:v>38400000</x:v>
      </x:c>
      <x:c r="K21" s="264" t="n">
        <x:v>4</x:v>
      </x:c>
      <x:c r="L21" s="264" t="str">
        <x:v>Battery replacement</x:v>
      </x:c>
      <x:c r="M21" s="264" t="str">
        <x:v>Supervisors/foremen / Low</x:v>
      </x:c>
      <x:c r="N21" s="330" t="n">
        <x:v>1</x:v>
      </x:c>
      <x:c r="O21" s="330" t="n">
        <x:v>20</x:v>
      </x:c>
      <x:c r="P21" s="331" t="n">
        <x:v>0.20000000000000004</x:v>
      </x:c>
      <x:c r="Q21" s="330" t="n">
        <x:v>0</x:v>
      </x:c>
    </x:row>
    <x:row r="22">
      <x:c r="A22" s="264" t="str">
        <x:v>Machines</x:v>
      </x:c>
      <x:c r="B22" s="264" t="str">
        <x:v>Brush cutter 2-stroke</x:v>
      </x:c>
      <x:c r="C22" s="264" t="str">
        <x:v>Mechanical weed control</x:v>
      </x:c>
      <x:c r="D22" s="404" t="n">
        <x:f>IF($N22=0,0,ROUNDUP(MAX($O22*'02_Assumptions'!$C$6/100,$Q22),0))</x:f>
        <x:v>20</x:v>
      </x:c>
      <x:c r="E22" s="404" t="n">
        <x:f>IF($N22=0,0,ROUNDUP(MAX($O22*'02_Assumptions'!$C$6/100*(1+$P22*3),$Q22*4),0))</x:f>
        <x:v>28</x:v>
      </x:c>
      <x:c r="F22" s="281" t="str">
        <x:v>Buy</x:v>
      </x:c>
      <x:c r="G22" s="281" t="str">
        <x:v>unit</x:v>
      </x:c>
      <x:c r="H22" s="401" t="n">
        <x:v>4500000</x:v>
      </x:c>
      <x:c r="I22" s="405" t="n">
        <x:f>$D22*$H22</x:f>
        <x:v>90000000</x:v>
      </x:c>
      <x:c r="J22" s="405" t="n">
        <x:f>$E22*$H22</x:f>
        <x:v>126000000</x:v>
      </x:c>
      <x:c r="K22" s="264" t="n">
        <x:v>5</x:v>
      </x:c>
      <x:c r="L22" s="264" t="str">
        <x:v>Spare parts + 8%/yr</x:v>
      </x:c>
      <x:c r="M22" s="264" t="str">
        <x:v>1 per 4-5 ha / Medium</x:v>
      </x:c>
      <x:c r="N22" s="330" t="n">
        <x:v>1</x:v>
      </x:c>
      <x:c r="O22" s="330" t="n">
        <x:v>20</x:v>
      </x:c>
      <x:c r="P22" s="331" t="n">
        <x:v>0.1333333333333333</x:v>
      </x:c>
      <x:c r="Q22" s="330" t="n">
        <x:v>0</x:v>
      </x:c>
    </x:row>
    <x:row r="23">
      <x:c r="A23" s="264" t="str">
        <x:v>Machines</x:v>
      </x:c>
      <x:c r="B23" s="264" t="str">
        <x:v>Chainsaw</x:v>
      </x:c>
      <x:c r="C23" s="264" t="str">
        <x:v>Selective clearing/sanitation</x:v>
      </x:c>
      <x:c r="D23" s="404" t="n">
        <x:f>IF($N23=0,0,ROUNDUP(MAX($O23*'02_Assumptions'!$C$6/100,$Q23),0))</x:f>
        <x:v>6</x:v>
      </x:c>
      <x:c r="E23" s="404" t="n">
        <x:f>IF($N23=0,0,ROUNDUP(MAX($O23*'02_Assumptions'!$C$6/100*(1+$P23*3),$Q23*4),0))</x:f>
        <x:v>10</x:v>
      </x:c>
      <x:c r="F23" s="281" t="str">
        <x:v>Buy</x:v>
      </x:c>
      <x:c r="G23" s="281" t="str">
        <x:v>unit</x:v>
      </x:c>
      <x:c r="H23" s="401" t="n">
        <x:v>7500000</x:v>
      </x:c>
      <x:c r="I23" s="405" t="n">
        <x:f>$D23*$H23</x:f>
        <x:v>45000000</x:v>
      </x:c>
      <x:c r="J23" s="405" t="n">
        <x:f>$E23*$H23</x:f>
        <x:v>75000000</x:v>
      </x:c>
      <x:c r="K23" s="264" t="n">
        <x:v>5</x:v>
      </x:c>
      <x:c r="L23" s="264" t="str">
        <x:v>Certified operators only</x:v>
      </x:c>
      <x:c r="M23" s="264" t="str">
        <x:v>1-2 per site / Medium</x:v>
      </x:c>
      <x:c r="N23" s="330" t="n">
        <x:v>1</x:v>
      </x:c>
      <x:c r="O23" s="330" t="n">
        <x:v>6</x:v>
      </x:c>
      <x:c r="P23" s="331" t="n">
        <x:v>0.22222222222222224</x:v>
      </x:c>
      <x:c r="Q23" s="330" t="n">
        <x:v>0</x:v>
      </x:c>
    </x:row>
    <x:row r="24">
      <x:c r="A24" s="264" t="str">
        <x:v>Machines</x:v>
      </x:c>
      <x:c r="B24" s="264" t="str">
        <x:v>Earth auger</x:v>
      </x:c>
      <x:c r="C24" s="264" t="str">
        <x:v>Planting holes</x:v>
      </x:c>
      <x:c r="D24" s="404" t="n">
        <x:f>IF($N24=0,0,ROUNDUP(MAX($O24*'02_Assumptions'!$C$6/100,$Q24),0))</x:f>
        <x:v>10</x:v>
      </x:c>
      <x:c r="E24" s="404" t="n">
        <x:f>IF($N24=0,0,ROUNDUP(MAX($O24*'02_Assumptions'!$C$6/100*(1+$P24*3),$Q24*4),0))</x:f>
        <x:v>16</x:v>
      </x:c>
      <x:c r="F24" s="281" t="str">
        <x:v>Buy</x:v>
      </x:c>
      <x:c r="G24" s="281" t="str">
        <x:v>unit</x:v>
      </x:c>
      <x:c r="H24" s="401" t="n">
        <x:v>8000000</x:v>
      </x:c>
      <x:c r="I24" s="405" t="n">
        <x:f>$D24*$H24</x:f>
        <x:v>80000000</x:v>
      </x:c>
      <x:c r="J24" s="405" t="n">
        <x:f>$E24*$H24</x:f>
        <x:v>128000000</x:v>
      </x:c>
      <x:c r="K24" s="264" t="n">
        <x:v>5</x:v>
      </x:c>
      <x:c r="L24" s="264" t="str">
        <x:v>Bits/spares 10%/yr</x:v>
      </x:c>
      <x:c r="M24" s="264" t="str">
        <x:v>Peak hole crew / Medium</x:v>
      </x:c>
      <x:c r="N24" s="330" t="n">
        <x:v>1</x:v>
      </x:c>
      <x:c r="O24" s="330" t="n">
        <x:v>10</x:v>
      </x:c>
      <x:c r="P24" s="331" t="n">
        <x:v>0.20000000000000004</x:v>
      </x:c>
      <x:c r="Q24" s="330" t="n">
        <x:v>0</x:v>
      </x:c>
    </x:row>
    <x:row r="25">
      <x:c r="A25" s="264" t="str">
        <x:v>Machines</x:v>
      </x:c>
      <x:c r="B25" s="264" t="str">
        <x:v>Knapsack sprayer 16 L</x:v>
      </x:c>
      <x:c r="C25" s="264" t="str">
        <x:v>Biological/botanical inputs</x:v>
      </x:c>
      <x:c r="D25" s="404" t="n">
        <x:f>IF($N25=0,0,ROUNDUP(MAX($O25*'02_Assumptions'!$C$6/100,$Q25),0))</x:f>
        <x:v>24</x:v>
      </x:c>
      <x:c r="E25" s="404" t="n">
        <x:f>IF($N25=0,0,ROUNDUP(MAX($O25*'02_Assumptions'!$C$6/100*(1+$P25*3),$Q25*4),0))</x:f>
        <x:v>32</x:v>
      </x:c>
      <x:c r="F25" s="281" t="str">
        <x:v>Buy</x:v>
      </x:c>
      <x:c r="G25" s="281" t="str">
        <x:v>unit</x:v>
      </x:c>
      <x:c r="H25" s="401" t="n">
        <x:v>1500000</x:v>
      </x:c>
      <x:c r="I25" s="405" t="n">
        <x:f>$D25*$H25</x:f>
        <x:v>36000000</x:v>
      </x:c>
      <x:c r="J25" s="405" t="n">
        <x:f>$E25*$H25</x:f>
        <x:v>48000000</x:v>
      </x:c>
      <x:c r="K25" s="264" t="n">
        <x:v>4</x:v>
      </x:c>
      <x:c r="L25" s="264" t="str">
        <x:v>Dedicated units by material</x:v>
      </x:c>
      <x:c r="M25" s="264" t="str">
        <x:v>1 per application team / Medium</x:v>
      </x:c>
      <x:c r="N25" s="330" t="n">
        <x:v>1</x:v>
      </x:c>
      <x:c r="O25" s="330" t="n">
        <x:v>24</x:v>
      </x:c>
      <x:c r="P25" s="331" t="n">
        <x:v>0.11111111111111109</x:v>
      </x:c>
      <x:c r="Q25" s="330" t="n">
        <x:v>0</x:v>
      </x:c>
    </x:row>
    <x:row r="26">
      <x:c r="A26" s="264" t="str">
        <x:v>Machines</x:v>
      </x:c>
      <x:c r="B26" s="264" t="str">
        <x:v>Power sprayer</x:v>
      </x:c>
      <x:c r="C26" s="264" t="str">
        <x:v>Hotspot/large application</x:v>
      </x:c>
      <x:c r="D26" s="404" t="n">
        <x:f>IF($N26=0,0,ROUNDUP(MAX($O26*'02_Assumptions'!$C$6/100,$Q26),0))</x:f>
        <x:v>4</x:v>
      </x:c>
      <x:c r="E26" s="404" t="n">
        <x:f>IF($N26=0,0,ROUNDUP(MAX($O26*'02_Assumptions'!$C$6/100*(1+$P26*3),$Q26*4),0))</x:f>
        <x:v>8</x:v>
      </x:c>
      <x:c r="F26" s="281" t="str">
        <x:v>Buy</x:v>
      </x:c>
      <x:c r="G26" s="281" t="str">
        <x:v>unit</x:v>
      </x:c>
      <x:c r="H26" s="401" t="n">
        <x:v>8000000</x:v>
      </x:c>
      <x:c r="I26" s="405" t="n">
        <x:f>$D26*$H26</x:f>
        <x:v>32000000</x:v>
      </x:c>
      <x:c r="J26" s="405" t="n">
        <x:f>$E26*$H26</x:f>
        <x:v>64000000</x:v>
      </x:c>
      <x:c r="K26" s="264" t="n">
        <x:v>5</x:v>
      </x:c>
      <x:c r="L26" s="264" t="str">
        <x:v>Hose/nozzle annual</x:v>
      </x:c>
      <x:c r="M26" s="264" t="str">
        <x:v>1-2 per site / Low</x:v>
      </x:c>
      <x:c r="N26" s="330" t="n">
        <x:v>1</x:v>
      </x:c>
      <x:c r="O26" s="330" t="n">
        <x:v>4</x:v>
      </x:c>
      <x:c r="P26" s="331" t="n">
        <x:v>0.3333333333333333</x:v>
      </x:c>
      <x:c r="Q26" s="330" t="n">
        <x:v>0</x:v>
      </x:c>
    </x:row>
    <x:row r="27">
      <x:c r="A27" s="264" t="str">
        <x:v>Water</x:v>
      </x:c>
      <x:c r="B27" s="264" t="str">
        <x:v>Portable water pump</x:v>
      </x:c>
      <x:c r="C27" s="264" t="str">
        <x:v>Establishment irrigation</x:v>
      </x:c>
      <x:c r="D27" s="404" t="n">
        <x:f>IF($N27=0,0,ROUNDUP(MAX($O27*'02_Assumptions'!$C$6/100,$Q27),0))</x:f>
        <x:v>4</x:v>
      </x:c>
      <x:c r="E27" s="404" t="n">
        <x:f>IF($N27=0,0,ROUNDUP(MAX($O27*'02_Assumptions'!$C$6/100*(1+$P27*3),$Q27*4),0))</x:f>
        <x:v>8</x:v>
      </x:c>
      <x:c r="F27" s="281" t="str">
        <x:v>Buy</x:v>
      </x:c>
      <x:c r="G27" s="281" t="str">
        <x:v>unit</x:v>
      </x:c>
      <x:c r="H27" s="401" t="n">
        <x:v>12000000</x:v>
      </x:c>
      <x:c r="I27" s="405" t="n">
        <x:f>$D27*$H27</x:f>
        <x:v>48000000</x:v>
      </x:c>
      <x:c r="J27" s="405" t="n">
        <x:f>$E27*$H27</x:f>
        <x:v>96000000</x:v>
      </x:c>
      <x:c r="K27" s="264" t="n">
        <x:v>5</x:v>
      </x:c>
      <x:c r="L27" s="264" t="str">
        <x:v>Service every 250h</x:v>
      </x:c>
      <x:c r="M27" s="264" t="str">
        <x:v>Pond/tank support / Low</x:v>
      </x:c>
      <x:c r="N27" s="330" t="n">
        <x:v>1</x:v>
      </x:c>
      <x:c r="O27" s="330" t="n">
        <x:v>4</x:v>
      </x:c>
      <x:c r="P27" s="331" t="n">
        <x:v>0.3333333333333333</x:v>
      </x:c>
      <x:c r="Q27" s="330" t="n">
        <x:v>0</x:v>
      </x:c>
    </x:row>
    <x:row r="28">
      <x:c r="A28" s="264" t="str">
        <x:v>Processing</x:v>
      </x:c>
      <x:c r="B28" s="264" t="str">
        <x:v>Compost/chipper shredder</x:v>
      </x:c>
      <x:c r="C28" s="264" t="str">
        <x:v>Biomass/compost</x:v>
      </x:c>
      <x:c r="D28" s="404" t="n">
        <x:f>IF($N28=0,0,ROUNDUP(MAX($O28*'02_Assumptions'!$C$6/100,$Q28),0))</x:f>
        <x:v>1</x:v>
      </x:c>
      <x:c r="E28" s="404" t="n">
        <x:f>IF($N28=0,0,ROUNDUP(MAX($O28*'02_Assumptions'!$C$6/100*(1+$P28*3),$Q28*4),0))</x:f>
        <x:v>4</x:v>
      </x:c>
      <x:c r="F28" s="281" t="str">
        <x:v>Buy</x:v>
      </x:c>
      <x:c r="G28" s="281" t="str">
        <x:v>unit</x:v>
      </x:c>
      <x:c r="H28" s="401" t="n">
        <x:v>85000000</x:v>
      </x:c>
      <x:c r="I28" s="405" t="n">
        <x:f>$D28*$H28</x:f>
        <x:v>85000000</x:v>
      </x:c>
      <x:c r="J28" s="405" t="n">
        <x:f>$E28*$H28</x:f>
        <x:v>340000000</x:v>
      </x:c>
      <x:c r="K28" s="264" t="n">
        <x:v>7</x:v>
      </x:c>
      <x:c r="L28" s="264" t="str">
        <x:v>Blade/engine annual</x:v>
      </x:c>
      <x:c r="M28" s="264" t="str">
        <x:v>Central vs satellite sites / Low</x:v>
      </x:c>
      <x:c r="N28" s="330" t="n">
        <x:v>1</x:v>
      </x:c>
      <x:c r="O28" s="330" t="n">
        <x:v>1</x:v>
      </x:c>
      <x:c r="P28" s="331" t="n">
        <x:v>1</x:v>
      </x:c>
      <x:c r="Q28" s="330" t="n">
        <x:v>0</x:v>
      </x:c>
    </x:row>
    <x:row r="29">
      <x:c r="A29" s="264" t="str">
        <x:v>Mechanization</x:v>
      </x:c>
      <x:c r="B29" s="264" t="str">
        <x:v>45 hp tractor + implements</x:v>
      </x:c>
      <x:c r="C29" s="264" t="str">
        <x:v>Ripping, hauling, mowing</x:v>
      </x:c>
      <x:c r="D29" s="404" t="n">
        <x:f>IF($N29=0,0,ROUNDUP(MAX($O29*'02_Assumptions'!$C$6/100,$Q29),0))</x:f>
        <x:v>1</x:v>
      </x:c>
      <x:c r="E29" s="404" t="n">
        <x:f>IF($N29=0,0,ROUNDUP(MAX($O29*'02_Assumptions'!$C$6/100*(1+$P29*3),$Q29*4),0))</x:f>
        <x:v>2</x:v>
      </x:c>
      <x:c r="F29" s="281" t="str">
        <x:v>Buy</x:v>
      </x:c>
      <x:c r="G29" s="281" t="str">
        <x:v>unit</x:v>
      </x:c>
      <x:c r="H29" s="401" t="n">
        <x:v>320000000</x:v>
      </x:c>
      <x:c r="I29" s="405" t="n">
        <x:f>$D29*$H29</x:f>
        <x:v>320000000</x:v>
      </x:c>
      <x:c r="J29" s="405" t="n">
        <x:f>$E29*$H29</x:f>
        <x:v>640000000</x:v>
      </x:c>
      <x:c r="K29" s="264" t="n">
        <x:v>8</x:v>
      </x:c>
      <x:c r="L29" s="264" t="str">
        <x:v>5% annual maintenance</x:v>
      </x:c>
      <x:c r="M29" s="264" t="str">
        <x:v>1 per 50-100 ha / Low</x:v>
      </x:c>
      <x:c r="N29" s="330" t="n">
        <x:v>1</x:v>
      </x:c>
      <x:c r="O29" s="330" t="n">
        <x:v>1</x:v>
      </x:c>
      <x:c r="P29" s="331" t="n">
        <x:v>0.3333333333333333</x:v>
      </x:c>
      <x:c r="Q29" s="330" t="n">
        <x:v>0</x:v>
      </x:c>
    </x:row>
    <x:row r="30">
      <x:c r="A30" s="264" t="str">
        <x:v>Mechanization</x:v>
      </x:c>
      <x:c r="B30" s="264" t="str">
        <x:v>Tractor trailer</x:v>
      </x:c>
      <x:c r="C30" s="264" t="str">
        <x:v>Compost/harvest haul</x:v>
      </x:c>
      <x:c r="D30" s="404" t="n">
        <x:f>IF($N30=0,0,ROUNDUP(MAX($O30*'02_Assumptions'!$C$6/100,$Q30),0))</x:f>
        <x:v>2</x:v>
      </x:c>
      <x:c r="E30" s="404" t="n">
        <x:f>IF($N30=0,0,ROUNDUP(MAX($O30*'02_Assumptions'!$C$6/100*(1+$P30*3),$Q30*4),0))</x:f>
        <x:v>4</x:v>
      </x:c>
      <x:c r="F30" s="281" t="str">
        <x:v>Buy</x:v>
      </x:c>
      <x:c r="G30" s="281" t="str">
        <x:v>unit</x:v>
      </x:c>
      <x:c r="H30" s="401" t="n">
        <x:v>45000000</x:v>
      </x:c>
      <x:c r="I30" s="405" t="n">
        <x:f>$D30*$H30</x:f>
        <x:v>90000000</x:v>
      </x:c>
      <x:c r="J30" s="405" t="n">
        <x:f>$E30*$H30</x:f>
        <x:v>180000000</x:v>
      </x:c>
      <x:c r="K30" s="264" t="n">
        <x:v>8</x:v>
      </x:c>
      <x:c r="L30" s="264" t="str">
        <x:v>Tyres/bearings</x:v>
      </x:c>
      <x:c r="M30" s="264" t="str">
        <x:v>2 per tractor / Low</x:v>
      </x:c>
      <x:c r="N30" s="330" t="n">
        <x:v>1</x:v>
      </x:c>
      <x:c r="O30" s="330" t="n">
        <x:v>2</x:v>
      </x:c>
      <x:c r="P30" s="331" t="n">
        <x:v>0.3333333333333333</x:v>
      </x:c>
      <x:c r="Q30" s="330" t="n">
        <x:v>0</x:v>
      </x:c>
    </x:row>
    <x:row r="31">
      <x:c r="A31" s="264" t="str">
        <x:v>Vehicles</x:v>
      </x:c>
      <x:c r="B31" s="264" t="str">
        <x:v>4x4 pickup</x:v>
      </x:c>
      <x:c r="C31" s="264" t="str">
        <x:v>People, inputs, harvest</x:v>
      </x:c>
      <x:c r="D31" s="404" t="n">
        <x:f>IF($N31=0,0,ROUNDUP(MAX($O31*'02_Assumptions'!$C$6/100,$Q31),0))</x:f>
        <x:v>2</x:v>
      </x:c>
      <x:c r="E31" s="404" t="n">
        <x:f>IF($N31=0,0,ROUNDUP(MAX($O31*'02_Assumptions'!$C$6/100*(1+$P31*3),$Q31*4),0))</x:f>
        <x:v>4</x:v>
      </x:c>
      <x:c r="F31" s="281" t="str">
        <x:v>Buy</x:v>
      </x:c>
      <x:c r="G31" s="281" t="str">
        <x:v>unit</x:v>
      </x:c>
      <x:c r="H31" s="401" t="n">
        <x:v>350000000</x:v>
      </x:c>
      <x:c r="I31" s="405" t="n">
        <x:f>$D31*$H31</x:f>
        <x:v>700000000</x:v>
      </x:c>
      <x:c r="J31" s="405" t="n">
        <x:f>$E31*$H31</x:f>
        <x:v>1400000000</x:v>
      </x:c>
      <x:c r="K31" s="264" t="n">
        <x:v>7</x:v>
      </x:c>
      <x:c r="L31" s="264" t="str">
        <x:v>Fuel/maintenance in OPEX</x:v>
      </x:c>
      <x:c r="M31" s="264" t="str">
        <x:v>Operational allowance / Low</x:v>
      </x:c>
      <x:c r="N31" s="330" t="n">
        <x:v>1</x:v>
      </x:c>
      <x:c r="O31" s="330" t="n">
        <x:v>2</x:v>
      </x:c>
      <x:c r="P31" s="331" t="n">
        <x:v>0.3333333333333333</x:v>
      </x:c>
      <x:c r="Q31" s="330" t="n">
        <x:v>0</x:v>
      </x:c>
    </x:row>
    <x:row r="32">
      <x:c r="A32" s="264" t="str">
        <x:v>Vehicles</x:v>
      </x:c>
      <x:c r="B32" s="264" t="str">
        <x:v>Field motorcycle</x:v>
      </x:c>
      <x:c r="C32" s="264" t="str">
        <x:v>Foremen/scouting</x:v>
      </x:c>
      <x:c r="D32" s="404" t="n">
        <x:f>IF($N32=0,0,ROUNDUP(MAX($O32*'02_Assumptions'!$C$6/100,$Q32),0))</x:f>
        <x:v>6</x:v>
      </x:c>
      <x:c r="E32" s="404" t="n">
        <x:f>IF($N32=0,0,ROUNDUP(MAX($O32*'02_Assumptions'!$C$6/100*(1+$P32*3),$Q32*4),0))</x:f>
        <x:v>10</x:v>
      </x:c>
      <x:c r="F32" s="281" t="str">
        <x:v>Buy</x:v>
      </x:c>
      <x:c r="G32" s="281" t="str">
        <x:v>unit</x:v>
      </x:c>
      <x:c r="H32" s="401" t="n">
        <x:v>28000000</x:v>
      </x:c>
      <x:c r="I32" s="405" t="n">
        <x:f>$D32*$H32</x:f>
        <x:v>168000000</x:v>
      </x:c>
      <x:c r="J32" s="405" t="n">
        <x:f>$E32*$H32</x:f>
        <x:v>280000000</x:v>
      </x:c>
      <x:c r="K32" s="264" t="n">
        <x:v>5</x:v>
      </x:c>
      <x:c r="L32" s="264" t="str">
        <x:v>Service monthly</x:v>
      </x:c>
      <x:c r="M32" s="264" t="str">
        <x:v>Supervisors/foremen / Low</x:v>
      </x:c>
      <x:c r="N32" s="330" t="n">
        <x:v>1</x:v>
      </x:c>
      <x:c r="O32" s="330" t="n">
        <x:v>6</x:v>
      </x:c>
      <x:c r="P32" s="331" t="n">
        <x:v>0.22222222222222224</x:v>
      </x:c>
      <x:c r="Q32" s="330" t="n">
        <x:v>0</x:v>
      </x:c>
    </x:row>
    <x:row r="33">
      <x:c r="A33" s="264" t="str">
        <x:v>Power</x:v>
      </x:c>
      <x:c r="B33" s="264" t="str">
        <x:v>Portable generator</x:v>
      </x:c>
      <x:c r="C33" s="264" t="str">
        <x:v>Nursery/basecamp backup</x:v>
      </x:c>
      <x:c r="D33" s="404" t="n">
        <x:f>IF($N33=0,0,ROUNDUP(MAX($O33*'02_Assumptions'!$C$6/100,$Q33),0))</x:f>
        <x:v>2</x:v>
      </x:c>
      <x:c r="E33" s="404" t="n">
        <x:f>IF($N33=0,0,ROUNDUP(MAX($O33*'02_Assumptions'!$C$6/100*(1+$P33*3),$Q33*4),0))</x:f>
        <x:v>4</x:v>
      </x:c>
      <x:c r="F33" s="281" t="str">
        <x:v>Buy</x:v>
      </x:c>
      <x:c r="G33" s="281" t="str">
        <x:v>unit</x:v>
      </x:c>
      <x:c r="H33" s="401" t="n">
        <x:v>25000000</x:v>
      </x:c>
      <x:c r="I33" s="405" t="n">
        <x:f>$D33*$H33</x:f>
        <x:v>50000000</x:v>
      </x:c>
      <x:c r="J33" s="405" t="n">
        <x:f>$E33*$H33</x:f>
        <x:v>100000000</x:v>
      </x:c>
      <x:c r="K33" s="264" t="n">
        <x:v>5</x:v>
      </x:c>
      <x:c r="L33" s="264" t="str">
        <x:v>Fuel in OPEX</x:v>
      </x:c>
      <x:c r="M33" s="264" t="str">
        <x:v>1 per key facility / Low</x:v>
      </x:c>
      <x:c r="N33" s="330" t="n">
        <x:v>1</x:v>
      </x:c>
      <x:c r="O33" s="330" t="n">
        <x:v>2</x:v>
      </x:c>
      <x:c r="P33" s="331" t="n">
        <x:v>0.3333333333333333</x:v>
      </x:c>
      <x:c r="Q33" s="330" t="n">
        <x:v>0</x:v>
      </x:c>
    </x:row>
    <x:row r="34">
      <x:c r="A34" s="264" t="str">
        <x:v>Safety</x:v>
      </x:c>
      <x:c r="B34" s="264" t="str">
        <x:v>PPE complete set</x:v>
      </x:c>
      <x:c r="C34" s="264" t="str">
        <x:v>Boots, gloves, helmet, glasses, mask</x:v>
      </x:c>
      <x:c r="D34" s="404" t="n">
        <x:f>IF($N34=0,0,ROUNDUP(MAX($O34*'02_Assumptions'!$C$6/100,$Q34),0))</x:f>
        <x:v>150</x:v>
      </x:c>
      <x:c r="E34" s="404" t="n">
        <x:f>IF($N34=0,0,ROUNDUP(MAX($O34*'02_Assumptions'!$C$6/100*(1+$P34*3),$Q34*4),0))</x:f>
        <x:v>180</x:v>
      </x:c>
      <x:c r="F34" s="281" t="str">
        <x:v>Buy</x:v>
      </x:c>
      <x:c r="G34" s="281" t="str">
        <x:v>set</x:v>
      </x:c>
      <x:c r="H34" s="401" t="n">
        <x:v>1200000</x:v>
      </x:c>
      <x:c r="I34" s="405" t="n">
        <x:f>$D34*$H34</x:f>
        <x:v>180000000</x:v>
      </x:c>
      <x:c r="J34" s="405" t="n">
        <x:f>$E34*$H34</x:f>
        <x:v>216000000</x:v>
      </x:c>
      <x:c r="K34" s="264" t="n">
        <x:v>2</x:v>
      </x:c>
      <x:c r="L34" s="264" t="str">
        <x:v>Replace damaged/expired</x:v>
      </x:c>
      <x:c r="M34" s="264" t="str">
        <x:v>Peak crew / Medium</x:v>
      </x:c>
      <x:c r="N34" s="330" t="n">
        <x:v>1</x:v>
      </x:c>
      <x:c r="O34" s="330" t="n">
        <x:v>150</x:v>
      </x:c>
      <x:c r="P34" s="331" t="n">
        <x:v>0.06666666666666665</x:v>
      </x:c>
      <x:c r="Q34" s="330" t="n">
        <x:v>0</x:v>
      </x:c>
    </x:row>
    <x:row r="35">
      <x:c r="A35" s="264" t="str">
        <x:v>Safety</x:v>
      </x:c>
      <x:c r="B35" s="264" t="str">
        <x:v>Fire/first aid/spill kit</x:v>
      </x:c>
      <x:c r="C35" s="264" t="str">
        <x:v>Per site package</x:v>
      </x:c>
      <x:c r="D35" s="404" t="n">
        <x:f>IF($N35=0,0,ROUNDUP(MAX($O35*'02_Assumptions'!$C$6/100,$Q35),0))</x:f>
        <x:v>1</x:v>
      </x:c>
      <x:c r="E35" s="404" t="n">
        <x:f>IF($N35=0,0,ROUNDUP(MAX($O35*'02_Assumptions'!$C$6/100*(1+$P35*3),$Q35*4),0))</x:f>
        <x:v>4</x:v>
      </x:c>
      <x:c r="F35" s="281" t="str">
        <x:v>Buy</x:v>
      </x:c>
      <x:c r="G35" s="281" t="str">
        <x:v>site</x:v>
      </x:c>
      <x:c r="H35" s="401" t="n">
        <x:v>50000000</x:v>
      </x:c>
      <x:c r="I35" s="405" t="n">
        <x:f>$D35*$H35</x:f>
        <x:v>50000000</x:v>
      </x:c>
      <x:c r="J35" s="405" t="n">
        <x:f>$E35*$H35</x:f>
        <x:v>200000000</x:v>
      </x:c>
      <x:c r="K35" s="264" t="n">
        <x:v>3</x:v>
      </x:c>
      <x:c r="L35" s="264" t="str">
        <x:v>Annual inspection</x:v>
      </x:c>
      <x:c r="M35" s="264" t="str">
        <x:v>Mandatory / Medium</x:v>
      </x:c>
      <x:c r="N35" s="330" t="n">
        <x:v>1</x:v>
      </x:c>
      <x:c r="O35" s="330" t="n">
        <x:v>1</x:v>
      </x:c>
      <x:c r="P35" s="331" t="n">
        <x:v>1</x:v>
      </x:c>
      <x:c r="Q35" s="330" t="n">
        <x:v>0</x:v>
      </x:c>
    </x:row>
    <x:row r="36">
      <x:c r="A36" s="264" t="str">
        <x:v>Contracted</x:v>
      </x:c>
      <x:c r="B36" s="264" t="str">
        <x:v>Excavator/bulldozer</x:v>
      </x:c>
      <x:c r="C36" s="264" t="str">
        <x:v>Clearing/earthworks</x:v>
      </x:c>
      <x:c r="D36" s="404" t="n">
        <x:f>IF($N36=0,0,ROUNDUP(MAX($O36*'02_Assumptions'!$C$6/100,$Q36),0))</x:f>
        <x:v>0</x:v>
      </x:c>
      <x:c r="E36" s="404" t="n">
        <x:f>IF($N36=0,0,ROUNDUP(MAX($O36*'02_Assumptions'!$C$6/100*(1+$P36*3),$Q36*4),0))</x:f>
        <x:v>0</x:v>
      </x:c>
      <x:c r="F36" s="281" t="str">
        <x:v>Included</x:v>
      </x:c>
      <x:c r="G36" s="281" t="str">
        <x:v>day</x:v>
      </x:c>
      <x:c r="H36" s="401" t="n">
        <x:v>0</x:v>
      </x:c>
      <x:c r="I36" s="405" t="n">
        <x:f>$D36*$H36</x:f>
        <x:v>0</x:v>
      </x:c>
      <x:c r="J36" s="405" t="n">
        <x:f>$E36*$H36</x:f>
        <x:v>0</x:v>
      </x:c>
      <x:c r="K36" s="264" t="n">
        <x:v>0</x:v>
      </x:c>
      <x:c r="L36" s="264" t="str">
        <x:v>In contractor rate</x:v>
      </x:c>
      <x:c r="M36" s="264" t="str">
        <x:v>Not purchased; avoid double count</x:v>
      </x:c>
      <x:c r="N36" s="330" t="n">
        <x:v>0</x:v>
      </x:c>
      <x:c r="O36" s="330" t="n">
        <x:v>0</x:v>
      </x:c>
      <x:c r="P36" s="331" t="n">
        <x:v>0</x:v>
      </x:c>
      <x:c r="Q36" s="330" t="n">
        <x:v>0</x:v>
      </x:c>
    </x:row>
    <x:row r="37">
      <x:c r="A37" s="264" t="str">
        <x:v>Contracted</x:v>
      </x:c>
      <x:c r="B37" s="264" t="str">
        <x:v>Road roller/grader</x:v>
      </x:c>
      <x:c r="C37" s="264" t="str">
        <x:v>Road construction</x:v>
      </x:c>
      <x:c r="D37" s="404" t="n">
        <x:f>IF($N37=0,0,ROUNDUP(MAX($O37*'02_Assumptions'!$C$6/100,$Q37),0))</x:f>
        <x:v>0</x:v>
      </x:c>
      <x:c r="E37" s="404" t="n">
        <x:f>IF($N37=0,0,ROUNDUP(MAX($O37*'02_Assumptions'!$C$6/100*(1+$P37*3),$Q37*4),0))</x:f>
        <x:v>0</x:v>
      </x:c>
      <x:c r="F37" s="281" t="str">
        <x:v>Included</x:v>
      </x:c>
      <x:c r="G37" s="281" t="str">
        <x:v>day</x:v>
      </x:c>
      <x:c r="H37" s="401" t="n">
        <x:v>0</x:v>
      </x:c>
      <x:c r="I37" s="405" t="n">
        <x:f>$D37*$H37</x:f>
        <x:v>0</x:v>
      </x:c>
      <x:c r="J37" s="405" t="n">
        <x:f>$E37*$H37</x:f>
        <x:v>0</x:v>
      </x:c>
      <x:c r="K37" s="264" t="n">
        <x:v>0</x:v>
      </x:c>
      <x:c r="L37" s="264" t="str">
        <x:v>In road unit rate</x:v>
      </x:c>
      <x:c r="M37" s="264" t="str">
        <x:v>Not purchased; avoid double count</x:v>
      </x:c>
      <x:c r="N37" s="330" t="n">
        <x:v>0</x:v>
      </x:c>
      <x:c r="O37" s="330" t="n">
        <x:v>0</x:v>
      </x:c>
      <x:c r="P37" s="331" t="n">
        <x:v>0</x:v>
      </x:c>
      <x:c r="Q37" s="330" t="n">
        <x:v>0</x:v>
      </x:c>
    </x:row>
    <x:row r="38">
      <x:c r="A38" s="264" t="str">
        <x:v>Contracted</x:v>
      </x:c>
      <x:c r="B38" s="264" t="str">
        <x:v>Survey drone/LiDAR</x:v>
      </x:c>
      <x:c r="C38" s="264" t="str">
        <x:v>Orthomosaic/topo</x:v>
      </x:c>
      <x:c r="D38" s="404" t="n">
        <x:f>IF($N38=0,0,ROUNDUP(MAX($O38*'02_Assumptions'!$C$6/100,$Q38),0))</x:f>
        <x:v>0</x:v>
      </x:c>
      <x:c r="E38" s="404" t="n">
        <x:f>IF($N38=0,0,ROUNDUP(MAX($O38*'02_Assumptions'!$C$6/100*(1+$P38*3),$Q38*4),0))</x:f>
        <x:v>0</x:v>
      </x:c>
      <x:c r="F38" s="281" t="str">
        <x:v>Outsource</x:v>
      </x:c>
      <x:c r="G38" s="281" t="str">
        <x:v>ha</x:v>
      </x:c>
      <x:c r="H38" s="401" t="n">
        <x:v>0</x:v>
      </x:c>
      <x:c r="I38" s="405" t="n">
        <x:f>$D38*$H38</x:f>
        <x:v>0</x:v>
      </x:c>
      <x:c r="J38" s="405" t="n">
        <x:f>$E38*$H38</x:f>
        <x:v>0</x:v>
      </x:c>
      <x:c r="K38" s="264" t="n">
        <x:v>0</x:v>
      </x:c>
      <x:c r="L38" s="264" t="str">
        <x:v>Annual monitoring separate</x:v>
      </x:c>
      <x:c r="M38" s="264" t="str">
        <x:v>Specialist service</x:v>
      </x:c>
      <x:c r="N38" s="330" t="n">
        <x:v>0</x:v>
      </x:c>
      <x:c r="O38" s="330" t="n">
        <x:v>0</x:v>
      </x:c>
      <x:c r="P38" s="331" t="n">
        <x:v>0</x:v>
      </x:c>
      <x:c r="Q38" s="330" t="n">
        <x:v>0</x:v>
      </x:c>
    </x:row>
    <x:row r="39">
      <x:c r="A39" s="390" t="str">
        <x:v>TOTAL AWAL PERALATAN DAN MESIN</x:v>
      </x:c>
      <x:c r="B39" s="390"/>
      <x:c r="C39" s="390"/>
      <x:c r="D39" s="390"/>
      <x:c r="E39" s="390"/>
      <x:c r="F39" s="390"/>
      <x:c r="G39" s="390"/>
      <x:c r="H39" s="390"/>
      <x:c r="I39" s="390" t="n">
        <x:f>SUM(I5:I38)+SUM(I42:I51)</x:f>
        <x:v>2287100000</x:v>
      </x:c>
      <x:c r="J39" s="390" t="n">
        <x:f>SUM(J5:J38)+SUM(J42:J51)</x:f>
        <x:v>4365600000</x:v>
      </x:c>
      <x:c r="K39" s="390"/>
      <x:c r="L39" s="390"/>
      <x:c r="M39" s="390"/>
      <x:c r="N39" s="378"/>
      <x:c r="O39" s="378"/>
      <x:c r="P39" s="378"/>
      <x:c r="Q39" s="378"/>
    </x:row>
    <x:row r="40">
      <x:c r="A40" s="261"/>
      <x:c r="B40" s="261"/>
      <x:c r="C40" s="261"/>
      <x:c r="D40" s="261"/>
      <x:c r="E40" s="261"/>
      <x:c r="F40" s="261"/>
      <x:c r="G40" s="261"/>
      <x:c r="H40" s="261"/>
      <x:c r="I40" s="261"/>
      <x:c r="J40" s="261"/>
      <x:c r="K40" s="261"/>
      <x:c r="L40" s="261"/>
      <x:c r="M40" s="261"/>
      <x:c r="N40" s="261"/>
      <x:c r="O40" s="261"/>
      <x:c r="P40" s="445"/>
      <x:c r="Q40" s="261"/>
    </x:row>
    <x:row r="41" ht="20" customHeight="1">
      <x:c r="A41" s="316" t="str">
        <x:v>Baris tambahan peralatan</x:v>
      </x:c>
      <x:c r="B41" s="316"/>
      <x:c r="C41" s="316"/>
      <x:c r="D41" s="316"/>
      <x:c r="E41" s="316"/>
      <x:c r="F41" s="316"/>
      <x:c r="G41" s="316"/>
      <x:c r="H41" s="316"/>
      <x:c r="I41" s="316"/>
      <x:c r="J41" s="316"/>
      <x:c r="K41" s="316"/>
      <x:c r="L41" s="316"/>
      <x:c r="M41" s="316"/>
      <x:c r="N41" s="316"/>
      <x:c r="O41" s="316"/>
      <x:c r="P41" s="402"/>
      <x:c r="Q41" s="316"/>
    </x:row>
    <x:row r="42">
      <x:c r="A42" s="330" t="str">
        <x:v>Tambahan</x:v>
      </x:c>
      <x:c r="B42" s="330" t="str">
        <x:v>Peralatan tambahan 1</x:v>
      </x:c>
      <x:c r="C42" s="330" t="str">
        <x:v>Isi spesifikasi</x:v>
      </x:c>
      <x:c r="D42" s="446" t="n">
        <x:f>IF($N42=0,0,ROUNDUP(MAX($O42*'02_Assumptions'!$C$6/100,$Q42),0))</x:f>
        <x:v>0</x:v>
      </x:c>
      <x:c r="E42" s="446" t="n">
        <x:f>IF($N42=0,0,ROUNDUP(MAX($O42*'02_Assumptions'!$C$6/100*(1+$P42*3),$Q42*4),0))</x:f>
        <x:v>0</x:v>
      </x:c>
      <x:c r="F42" s="330" t="str">
        <x:v>Beli</x:v>
      </x:c>
      <x:c r="G42" s="330" t="str">
        <x:v>unit</x:v>
      </x:c>
      <x:c r="H42" s="330" t="n">
        <x:v>0</x:v>
      </x:c>
      <x:c r="I42" s="438" t="n">
        <x:f>$D42*$H42</x:f>
        <x:v>0</x:v>
      </x:c>
      <x:c r="J42" s="438" t="n">
        <x:f>$E42*$H42</x:f>
        <x:v>0</x:v>
      </x:c>
      <x:c r="K42" s="330" t="n">
        <x:v>5</x:v>
      </x:c>
      <x:c r="L42" s="330" t="str">
        <x:v>Isi jadwal</x:v>
      </x:c>
      <x:c r="M42" s="330" t="str">
        <x:v>Asumsi pengguna</x:v>
      </x:c>
      <x:c r="N42" s="330" t="n">
        <x:v>0</x:v>
      </x:c>
      <x:c r="O42" s="330" t="n">
        <x:v>0</x:v>
      </x:c>
      <x:c r="P42" s="331" t="n">
        <x:v>0</x:v>
      </x:c>
      <x:c r="Q42" s="330" t="n">
        <x:v>0</x:v>
      </x:c>
    </x:row>
    <x:row r="43">
      <x:c r="A43" s="330" t="str">
        <x:v>Tambahan</x:v>
      </x:c>
      <x:c r="B43" s="330" t="str">
        <x:v>Peralatan tambahan 2</x:v>
      </x:c>
      <x:c r="C43" s="330" t="str">
        <x:v>Isi spesifikasi</x:v>
      </x:c>
      <x:c r="D43" s="446" t="n">
        <x:f>IF($N43=0,0,ROUNDUP(MAX($O43*'02_Assumptions'!$C$6/100,$Q43),0))</x:f>
        <x:v>0</x:v>
      </x:c>
      <x:c r="E43" s="446" t="n">
        <x:f>IF($N43=0,0,ROUNDUP(MAX($O43*'02_Assumptions'!$C$6/100*(1+$P43*3),$Q43*4),0))</x:f>
        <x:v>0</x:v>
      </x:c>
      <x:c r="F43" s="330" t="str">
        <x:v>Beli</x:v>
      </x:c>
      <x:c r="G43" s="330" t="str">
        <x:v>unit</x:v>
      </x:c>
      <x:c r="H43" s="330" t="n">
        <x:v>0</x:v>
      </x:c>
      <x:c r="I43" s="438" t="n">
        <x:f>$D43*$H43</x:f>
        <x:v>0</x:v>
      </x:c>
      <x:c r="J43" s="438" t="n">
        <x:f>$E43*$H43</x:f>
        <x:v>0</x:v>
      </x:c>
      <x:c r="K43" s="330" t="n">
        <x:v>5</x:v>
      </x:c>
      <x:c r="L43" s="330" t="str">
        <x:v>Isi jadwal</x:v>
      </x:c>
      <x:c r="M43" s="330" t="str">
        <x:v>Asumsi pengguna</x:v>
      </x:c>
      <x:c r="N43" s="330" t="n">
        <x:v>0</x:v>
      </x:c>
      <x:c r="O43" s="330" t="n">
        <x:v>0</x:v>
      </x:c>
      <x:c r="P43" s="331" t="n">
        <x:v>0</x:v>
      </x:c>
      <x:c r="Q43" s="330" t="n">
        <x:v>0</x:v>
      </x:c>
    </x:row>
    <x:row r="44">
      <x:c r="A44" s="330" t="str">
        <x:v>Tambahan</x:v>
      </x:c>
      <x:c r="B44" s="330" t="str">
        <x:v>Peralatan tambahan 3</x:v>
      </x:c>
      <x:c r="C44" s="330" t="str">
        <x:v>Isi spesifikasi</x:v>
      </x:c>
      <x:c r="D44" s="446" t="n">
        <x:f>IF($N44=0,0,ROUNDUP(MAX($O44*'02_Assumptions'!$C$6/100,$Q44),0))</x:f>
        <x:v>0</x:v>
      </x:c>
      <x:c r="E44" s="446" t="n">
        <x:f>IF($N44=0,0,ROUNDUP(MAX($O44*'02_Assumptions'!$C$6/100*(1+$P44*3),$Q44*4),0))</x:f>
        <x:v>0</x:v>
      </x:c>
      <x:c r="F44" s="330" t="str">
        <x:v>Beli</x:v>
      </x:c>
      <x:c r="G44" s="330" t="str">
        <x:v>unit</x:v>
      </x:c>
      <x:c r="H44" s="330" t="n">
        <x:v>0</x:v>
      </x:c>
      <x:c r="I44" s="438" t="n">
        <x:f>$D44*$H44</x:f>
        <x:v>0</x:v>
      </x:c>
      <x:c r="J44" s="438" t="n">
        <x:f>$E44*$H44</x:f>
        <x:v>0</x:v>
      </x:c>
      <x:c r="K44" s="330" t="n">
        <x:v>5</x:v>
      </x:c>
      <x:c r="L44" s="330" t="str">
        <x:v>Isi jadwal</x:v>
      </x:c>
      <x:c r="M44" s="330" t="str">
        <x:v>Asumsi pengguna</x:v>
      </x:c>
      <x:c r="N44" s="330" t="n">
        <x:v>0</x:v>
      </x:c>
      <x:c r="O44" s="330" t="n">
        <x:v>0</x:v>
      </x:c>
      <x:c r="P44" s="331" t="n">
        <x:v>0</x:v>
      </x:c>
      <x:c r="Q44" s="330" t="n">
        <x:v>0</x:v>
      </x:c>
    </x:row>
    <x:row r="45">
      <x:c r="A45" s="330" t="str">
        <x:v>Tambahan</x:v>
      </x:c>
      <x:c r="B45" s="330" t="str">
        <x:v>Peralatan tambahan 4</x:v>
      </x:c>
      <x:c r="C45" s="330" t="str">
        <x:v>Isi spesifikasi</x:v>
      </x:c>
      <x:c r="D45" s="446" t="n">
        <x:f>IF($N45=0,0,ROUNDUP(MAX($O45*'02_Assumptions'!$C$6/100,$Q45),0))</x:f>
        <x:v>0</x:v>
      </x:c>
      <x:c r="E45" s="446" t="n">
        <x:f>IF($N45=0,0,ROUNDUP(MAX($O45*'02_Assumptions'!$C$6/100*(1+$P45*3),$Q45*4),0))</x:f>
        <x:v>0</x:v>
      </x:c>
      <x:c r="F45" s="330" t="str">
        <x:v>Beli</x:v>
      </x:c>
      <x:c r="G45" s="330" t="str">
        <x:v>unit</x:v>
      </x:c>
      <x:c r="H45" s="330" t="n">
        <x:v>0</x:v>
      </x:c>
      <x:c r="I45" s="438" t="n">
        <x:f>$D45*$H45</x:f>
        <x:v>0</x:v>
      </x:c>
      <x:c r="J45" s="438" t="n">
        <x:f>$E45*$H45</x:f>
        <x:v>0</x:v>
      </x:c>
      <x:c r="K45" s="330" t="n">
        <x:v>5</x:v>
      </x:c>
      <x:c r="L45" s="330" t="str">
        <x:v>Isi jadwal</x:v>
      </x:c>
      <x:c r="M45" s="330" t="str">
        <x:v>Asumsi pengguna</x:v>
      </x:c>
      <x:c r="N45" s="330" t="n">
        <x:v>0</x:v>
      </x:c>
      <x:c r="O45" s="330" t="n">
        <x:v>0</x:v>
      </x:c>
      <x:c r="P45" s="331" t="n">
        <x:v>0</x:v>
      </x:c>
      <x:c r="Q45" s="330" t="n">
        <x:v>0</x:v>
      </x:c>
    </x:row>
    <x:row r="46">
      <x:c r="A46" s="330" t="str">
        <x:v>Tambahan</x:v>
      </x:c>
      <x:c r="B46" s="330" t="str">
        <x:v>Peralatan tambahan 5</x:v>
      </x:c>
      <x:c r="C46" s="330" t="str">
        <x:v>Isi spesifikasi</x:v>
      </x:c>
      <x:c r="D46" s="446" t="n">
        <x:f>IF($N46=0,0,ROUNDUP(MAX($O46*'02_Assumptions'!$C$6/100,$Q46),0))</x:f>
        <x:v>0</x:v>
      </x:c>
      <x:c r="E46" s="446" t="n">
        <x:f>IF($N46=0,0,ROUNDUP(MAX($O46*'02_Assumptions'!$C$6/100*(1+$P46*3),$Q46*4),0))</x:f>
        <x:v>0</x:v>
      </x:c>
      <x:c r="F46" s="330" t="str">
        <x:v>Beli</x:v>
      </x:c>
      <x:c r="G46" s="330" t="str">
        <x:v>unit</x:v>
      </x:c>
      <x:c r="H46" s="330" t="n">
        <x:v>0</x:v>
      </x:c>
      <x:c r="I46" s="438" t="n">
        <x:f>$D46*$H46</x:f>
        <x:v>0</x:v>
      </x:c>
      <x:c r="J46" s="438" t="n">
        <x:f>$E46*$H46</x:f>
        <x:v>0</x:v>
      </x:c>
      <x:c r="K46" s="330" t="n">
        <x:v>5</x:v>
      </x:c>
      <x:c r="L46" s="330" t="str">
        <x:v>Isi jadwal</x:v>
      </x:c>
      <x:c r="M46" s="330" t="str">
        <x:v>Asumsi pengguna</x:v>
      </x:c>
      <x:c r="N46" s="330" t="n">
        <x:v>0</x:v>
      </x:c>
      <x:c r="O46" s="330" t="n">
        <x:v>0</x:v>
      </x:c>
      <x:c r="P46" s="331" t="n">
        <x:v>0</x:v>
      </x:c>
      <x:c r="Q46" s="330" t="n">
        <x:v>0</x:v>
      </x:c>
    </x:row>
    <x:row r="47">
      <x:c r="A47" s="330" t="str">
        <x:v>Tambahan</x:v>
      </x:c>
      <x:c r="B47" s="330" t="str">
        <x:v>Peralatan tambahan 6</x:v>
      </x:c>
      <x:c r="C47" s="330" t="str">
        <x:v>Isi spesifikasi</x:v>
      </x:c>
      <x:c r="D47" s="446" t="n">
        <x:f>IF($N47=0,0,ROUNDUP(MAX($O47*'02_Assumptions'!$C$6/100,$Q47),0))</x:f>
        <x:v>0</x:v>
      </x:c>
      <x:c r="E47" s="446" t="n">
        <x:f>IF($N47=0,0,ROUNDUP(MAX($O47*'02_Assumptions'!$C$6/100*(1+$P47*3),$Q47*4),0))</x:f>
        <x:v>0</x:v>
      </x:c>
      <x:c r="F47" s="330" t="str">
        <x:v>Beli</x:v>
      </x:c>
      <x:c r="G47" s="330" t="str">
        <x:v>unit</x:v>
      </x:c>
      <x:c r="H47" s="330" t="n">
        <x:v>0</x:v>
      </x:c>
      <x:c r="I47" s="438" t="n">
        <x:f>$D47*$H47</x:f>
        <x:v>0</x:v>
      </x:c>
      <x:c r="J47" s="438" t="n">
        <x:f>$E47*$H47</x:f>
        <x:v>0</x:v>
      </x:c>
      <x:c r="K47" s="330" t="n">
        <x:v>5</x:v>
      </x:c>
      <x:c r="L47" s="330" t="str">
        <x:v>Isi jadwal</x:v>
      </x:c>
      <x:c r="M47" s="330" t="str">
        <x:v>Asumsi pengguna</x:v>
      </x:c>
      <x:c r="N47" s="330" t="n">
        <x:v>0</x:v>
      </x:c>
      <x:c r="O47" s="330" t="n">
        <x:v>0</x:v>
      </x:c>
      <x:c r="P47" s="331" t="n">
        <x:v>0</x:v>
      </x:c>
      <x:c r="Q47" s="330" t="n">
        <x:v>0</x:v>
      </x:c>
    </x:row>
    <x:row r="48">
      <x:c r="A48" s="330" t="str">
        <x:v>Tambahan</x:v>
      </x:c>
      <x:c r="B48" s="330" t="str">
        <x:v>Peralatan tambahan 7</x:v>
      </x:c>
      <x:c r="C48" s="330" t="str">
        <x:v>Isi spesifikasi</x:v>
      </x:c>
      <x:c r="D48" s="446" t="n">
        <x:f>IF($N48=0,0,ROUNDUP(MAX($O48*'02_Assumptions'!$C$6/100,$Q48),0))</x:f>
        <x:v>0</x:v>
      </x:c>
      <x:c r="E48" s="446" t="n">
        <x:f>IF($N48=0,0,ROUNDUP(MAX($O48*'02_Assumptions'!$C$6/100*(1+$P48*3),$Q48*4),0))</x:f>
        <x:v>0</x:v>
      </x:c>
      <x:c r="F48" s="330" t="str">
        <x:v>Beli</x:v>
      </x:c>
      <x:c r="G48" s="330" t="str">
        <x:v>unit</x:v>
      </x:c>
      <x:c r="H48" s="330" t="n">
        <x:v>0</x:v>
      </x:c>
      <x:c r="I48" s="438" t="n">
        <x:f>$D48*$H48</x:f>
        <x:v>0</x:v>
      </x:c>
      <x:c r="J48" s="438" t="n">
        <x:f>$E48*$H48</x:f>
        <x:v>0</x:v>
      </x:c>
      <x:c r="K48" s="330" t="n">
        <x:v>5</x:v>
      </x:c>
      <x:c r="L48" s="330" t="str">
        <x:v>Isi jadwal</x:v>
      </x:c>
      <x:c r="M48" s="330" t="str">
        <x:v>Asumsi pengguna</x:v>
      </x:c>
      <x:c r="N48" s="330" t="n">
        <x:v>0</x:v>
      </x:c>
      <x:c r="O48" s="330" t="n">
        <x:v>0</x:v>
      </x:c>
      <x:c r="P48" s="331" t="n">
        <x:v>0</x:v>
      </x:c>
      <x:c r="Q48" s="330" t="n">
        <x:v>0</x:v>
      </x:c>
    </x:row>
    <x:row r="49">
      <x:c r="A49" s="330" t="str">
        <x:v>Tambahan</x:v>
      </x:c>
      <x:c r="B49" s="330" t="str">
        <x:v>Peralatan tambahan 8</x:v>
      </x:c>
      <x:c r="C49" s="330" t="str">
        <x:v>Isi spesifikasi</x:v>
      </x:c>
      <x:c r="D49" s="446" t="n">
        <x:f>IF($N49=0,0,ROUNDUP(MAX($O49*'02_Assumptions'!$C$6/100,$Q49),0))</x:f>
        <x:v>0</x:v>
      </x:c>
      <x:c r="E49" s="446" t="n">
        <x:f>IF($N49=0,0,ROUNDUP(MAX($O49*'02_Assumptions'!$C$6/100*(1+$P49*3),$Q49*4),0))</x:f>
        <x:v>0</x:v>
      </x:c>
      <x:c r="F49" s="330" t="str">
        <x:v>Beli</x:v>
      </x:c>
      <x:c r="G49" s="330" t="str">
        <x:v>unit</x:v>
      </x:c>
      <x:c r="H49" s="330" t="n">
        <x:v>0</x:v>
      </x:c>
      <x:c r="I49" s="438" t="n">
        <x:f>$D49*$H49</x:f>
        <x:v>0</x:v>
      </x:c>
      <x:c r="J49" s="438" t="n">
        <x:f>$E49*$H49</x:f>
        <x:v>0</x:v>
      </x:c>
      <x:c r="K49" s="330" t="n">
        <x:v>5</x:v>
      </x:c>
      <x:c r="L49" s="330" t="str">
        <x:v>Isi jadwal</x:v>
      </x:c>
      <x:c r="M49" s="330" t="str">
        <x:v>Asumsi pengguna</x:v>
      </x:c>
      <x:c r="N49" s="330" t="n">
        <x:v>0</x:v>
      </x:c>
      <x:c r="O49" s="330" t="n">
        <x:v>0</x:v>
      </x:c>
      <x:c r="P49" s="331" t="n">
        <x:v>0</x:v>
      </x:c>
      <x:c r="Q49" s="330" t="n">
        <x:v>0</x:v>
      </x:c>
    </x:row>
    <x:row r="50">
      <x:c r="A50" s="330" t="str">
        <x:v>Tambahan</x:v>
      </x:c>
      <x:c r="B50" s="330" t="str">
        <x:v>Peralatan tambahan 9</x:v>
      </x:c>
      <x:c r="C50" s="330" t="str">
        <x:v>Isi spesifikasi</x:v>
      </x:c>
      <x:c r="D50" s="446" t="n">
        <x:f>IF($N50=0,0,ROUNDUP(MAX($O50*'02_Assumptions'!$C$6/100,$Q50),0))</x:f>
        <x:v>0</x:v>
      </x:c>
      <x:c r="E50" s="446" t="n">
        <x:f>IF($N50=0,0,ROUNDUP(MAX($O50*'02_Assumptions'!$C$6/100*(1+$P50*3),$Q50*4),0))</x:f>
        <x:v>0</x:v>
      </x:c>
      <x:c r="F50" s="330" t="str">
        <x:v>Beli</x:v>
      </x:c>
      <x:c r="G50" s="330" t="str">
        <x:v>unit</x:v>
      </x:c>
      <x:c r="H50" s="330" t="n">
        <x:v>0</x:v>
      </x:c>
      <x:c r="I50" s="438" t="n">
        <x:f>$D50*$H50</x:f>
        <x:v>0</x:v>
      </x:c>
      <x:c r="J50" s="438" t="n">
        <x:f>$E50*$H50</x:f>
        <x:v>0</x:v>
      </x:c>
      <x:c r="K50" s="330" t="n">
        <x:v>5</x:v>
      </x:c>
      <x:c r="L50" s="330" t="str">
        <x:v>Isi jadwal</x:v>
      </x:c>
      <x:c r="M50" s="330" t="str">
        <x:v>Asumsi pengguna</x:v>
      </x:c>
      <x:c r="N50" s="330" t="n">
        <x:v>0</x:v>
      </x:c>
      <x:c r="O50" s="330" t="n">
        <x:v>0</x:v>
      </x:c>
      <x:c r="P50" s="331" t="n">
        <x:v>0</x:v>
      </x:c>
      <x:c r="Q50" s="330" t="n">
        <x:v>0</x:v>
      </x:c>
    </x:row>
    <x:row r="51">
      <x:c r="A51" s="330" t="str">
        <x:v>Tambahan</x:v>
      </x:c>
      <x:c r="B51" s="330" t="str">
        <x:v>Peralatan tambahan 10</x:v>
      </x:c>
      <x:c r="C51" s="330" t="str">
        <x:v>Isi spesifikasi</x:v>
      </x:c>
      <x:c r="D51" s="446" t="n">
        <x:f>IF($N51=0,0,ROUNDUP(MAX($O51*'02_Assumptions'!$C$6/100,$Q51),0))</x:f>
        <x:v>0</x:v>
      </x:c>
      <x:c r="E51" s="446" t="n">
        <x:f>IF($N51=0,0,ROUNDUP(MAX($O51*'02_Assumptions'!$C$6/100*(1+$P51*3),$Q51*4),0))</x:f>
        <x:v>0</x:v>
      </x:c>
      <x:c r="F51" s="330" t="str">
        <x:v>Beli</x:v>
      </x:c>
      <x:c r="G51" s="330" t="str">
        <x:v>unit</x:v>
      </x:c>
      <x:c r="H51" s="330" t="n">
        <x:v>0</x:v>
      </x:c>
      <x:c r="I51" s="438" t="n">
        <x:f>$D51*$H51</x:f>
        <x:v>0</x:v>
      </x:c>
      <x:c r="J51" s="438" t="n">
        <x:f>$E51*$H51</x:f>
        <x:v>0</x:v>
      </x:c>
      <x:c r="K51" s="330" t="n">
        <x:v>5</x:v>
      </x:c>
      <x:c r="L51" s="330" t="str">
        <x:v>Isi jadwal</x:v>
      </x:c>
      <x:c r="M51" s="330" t="str">
        <x:v>Asumsi pengguna</x:v>
      </x:c>
      <x:c r="N51" s="330" t="n">
        <x:v>0</x:v>
      </x:c>
      <x:c r="O51" s="330" t="n">
        <x:v>0</x:v>
      </x:c>
      <x:c r="P51" s="331" t="n">
        <x:v>0</x:v>
      </x:c>
      <x:c r="Q51" s="330" t="n">
        <x:v>0</x:v>
      </x:c>
    </x:row>
  </x:sheetData>
  <x:mergeCells>
    <x:mergeCell ref="A1:M1"/>
    <x:mergeCell ref="A2:M2"/>
    <x:mergeCell ref="A39:H39"/>
    <x:mergeCell ref="A1:Q1"/>
    <x:mergeCell ref="A2:Q2"/>
    <x:mergeCell ref="A41:Q41"/>
  </x:mergeCells>
  <x:dataValidations count="2">
    <x:dataValidation type="list" sqref="N5:N38">
      <x:formula1>"0,1"</x:formula1>
    </x:dataValidation>
    <x:dataValidation type="list" sqref="N42:N51">
      <x:formula1>"0,1"</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29" hidden="0" customWidth="1"/>
    <x:col min="3" max="3" width="35" hidden="0" customWidth="1"/>
    <x:col min="4" max="4" width="10" hidden="0" customWidth="1"/>
    <x:col min="5" max="5" width="16" hidden="0" customWidth="1"/>
    <x:col min="6" max="6" width="19" hidden="0" customWidth="1"/>
    <x:col min="7" max="7" width="40"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6" hidden="0" customWidth="1"/>
    <x:col min="19" max="19" width="19" hidden="0" customWidth="1"/>
    <x:col min="20" max="20" width="10" hidden="0" customWidth="1"/>
  </x:cols>
  <x:sheetData>
    <x:row r="1" ht="28" customHeight="1">
      <x:c r="A1" s="313" t="str">
        <x:v>Rencana Input Pertanian 10 Tahun</x:v>
      </x:c>
      <x:c r="B1" s="313"/>
      <x:c r="C1" s="313"/>
      <x:c r="D1" s="313"/>
      <x:c r="E1" s="313"/>
      <x:c r="F1" s="313"/>
      <x:c r="G1" s="313"/>
      <x:c r="H1" s="313"/>
      <x:c r="I1" s="313"/>
      <x:c r="J1" s="313"/>
      <x:c r="K1" s="313"/>
      <x:c r="L1" s="313"/>
      <x:c r="M1" s="313"/>
      <x:c r="N1" s="313"/>
      <x:c r="O1" s="313"/>
      <x:c r="P1" s="313"/>
      <x:c r="Q1" s="313"/>
      <x:c r="R1" s="313"/>
      <x:c r="S1" s="313"/>
      <x:c r="T1" s="313"/>
    </x:row>
    <x:row r="2" ht="38" customHeight="1">
      <x:c r="A2" s="7" t="str">
        <x:v>Rencana kebutuhan pupuk, bahan organik, kapur, bahan pembenah, dan pengendalian OPT selama 10 tahun. Volume dan biaya mengikuti populasi/luas, dosis, frekuensi, inflasi, serta batas fase input sintetis; validasi akhir wajib memakai uji tanah/daun dan label produk.</x:v>
      </x:c>
      <x:c r="B2" s="7"/>
      <x:c r="C2" s="7"/>
      <x:c r="D2" s="7"/>
      <x:c r="E2" s="7"/>
      <x:c r="F2" s="7"/>
      <x:c r="G2" s="7"/>
      <x:c r="H2" s="7"/>
      <x:c r="I2" s="7"/>
      <x:c r="J2" s="7"/>
      <x:c r="K2" s="7"/>
      <x:c r="L2" s="7"/>
      <x:c r="M2" s="7"/>
      <x:c r="N2" s="7"/>
      <x:c r="O2" s="7"/>
      <x:c r="P2" s="7"/>
      <x:c r="Q2" s="7"/>
      <x:c r="R2" s="7"/>
      <x:c r="S2" s="7"/>
      <x:c r="T2" s="7"/>
    </x:row>
    <x:row r="3">
      <x:c r="A3" s="261"/>
      <x:c r="B3" s="261"/>
      <x:c r="C3" s="261"/>
      <x:c r="D3" s="261"/>
      <x:c r="E3" s="261"/>
      <x:c r="F3" s="261"/>
      <x:c r="G3" s="261"/>
      <x:c r="H3" s="261"/>
      <x:c r="I3" s="261"/>
      <x:c r="J3" s="261"/>
      <x:c r="K3" s="261"/>
      <x:c r="L3" s="261"/>
      <x:c r="M3" s="261"/>
      <x:c r="N3" s="261"/>
      <x:c r="O3" s="261"/>
      <x:c r="P3" s="261"/>
      <x:c r="Q3" s="261"/>
      <x:c r="R3" s="261"/>
      <x:c r="S3" s="261"/>
      <x:c r="T3" s="261"/>
    </x:row>
    <x:row r="4" ht="30" customHeight="1">
      <x:c r="A4" s="34" t="str">
        <x:v>Kelompok</x:v>
      </x:c>
      <x:c r="B4" s="35" t="str">
        <x:v>Input</x:v>
      </x:c>
      <x:c r="C4" s="35" t="str">
        <x:v>Tujuan</x:v>
      </x:c>
      <x:c r="D4" s="35" t="str">
        <x:v>Satuan</x:v>
      </x:c>
      <x:c r="E4" s="35" t="str">
        <x:v>Harga satuan</x:v>
      </x:c>
      <x:c r="F4" s="35" t="str">
        <x:v>Status organik</x:v>
      </x:c>
      <x:c r="G4" s="35" t="str">
        <x:v>Aturan aplikasi</x:v>
      </x:c>
      <x:c r="H4" s="35" t="str">
        <x:v>T1</x:v>
      </x:c>
      <x:c r="I4" s="35" t="str">
        <x:v>T2</x:v>
      </x:c>
      <x:c r="J4" s="35" t="str">
        <x:v>T3</x:v>
      </x:c>
      <x:c r="K4" s="35" t="str">
        <x:v>T4</x:v>
      </x:c>
      <x:c r="L4" s="35" t="str">
        <x:v>T5</x:v>
      </x:c>
      <x:c r="M4" s="35" t="str">
        <x:v>T6</x:v>
      </x:c>
      <x:c r="N4" s="35" t="str">
        <x:v>T7</x:v>
      </x:c>
      <x:c r="O4" s="35" t="str">
        <x:v>T8</x:v>
      </x:c>
      <x:c r="P4" s="35" t="str">
        <x:v>T9</x:v>
      </x:c>
      <x:c r="Q4" s="35" t="str">
        <x:v>T10</x:v>
      </x:c>
      <x:c r="R4" s="35" t="str">
        <x:v>Jumlah 10 tahun</x:v>
      </x:c>
      <x:c r="S4" s="36" t="str">
        <x:v>Biaya nominal 10 tahun</x:v>
      </x:c>
      <x:c r="T4" s="261" t="str">
        <x:v>Aktif</x:v>
      </x:c>
    </x:row>
    <x:row r="5">
      <x:c r="A5" s="264" t="str">
        <x:v>Synthetic fertilizer</x:v>
      </x:c>
      <x:c r="B5" s="264" t="str">
        <x:v>Urea</x:v>
      </x:c>
      <x:c r="C5" s="264" t="str">
        <x:v>Vegetative N: banana, coconut, durian</x:v>
      </x:c>
      <x:c r="D5" s="264" t="str">
        <x:v>kg</x:v>
      </x:c>
      <x:c r="E5" s="287" t="n">
        <x:f>'02_Assumptions'!$C$68</x:f>
        <x:v>8000</x:v>
      </x:c>
      <x:c r="F5" s="264" t="str">
        <x:v>Prohibited organic</x:v>
      </x:c>
      <x:c r="G5" s="264" t="str">
        <x:v>3 splits for new banana; 2 splits trees</x:v>
      </x:c>
      <x:c r="H5" s="288" t="n">
        <x:f>IF(1&lt;='02_Assumptions'!$C$17,'04_Planting_Design'!$D$26*'02_Assumptions'!$B$123*'02_Assumptions'!$B$131+'04_Planting_Design'!$D$24*'02_Assumptions'!$B$134+'04_Planting_Design'!$D$25*'02_Assumptions'!$B$139,0)</x:f>
        <x:v>11641.740000000002</x:v>
      </x:c>
      <x:c r="I5" s="288" t="n">
        <x:f>IF(2&lt;='02_Assumptions'!$C$17,'04_Planting_Design'!$D$26*'02_Assumptions'!$C$123*'02_Assumptions'!$C$131+'04_Planting_Design'!$D$24*'02_Assumptions'!$C$134+'04_Planting_Design'!$D$25*'02_Assumptions'!$C$139,0)</x:f>
        <x:v>11630.036</x:v>
      </x:c>
      <x:c r="J5" s="288" t="n">
        <x:f>IF(3&lt;='02_Assumptions'!$C$17,'04_Planting_Design'!$D$26*'02_Assumptions'!$D$123*'02_Assumptions'!$D$131+'04_Planting_Design'!$D$24*'02_Assumptions'!$D$134+'04_Planting_Design'!$D$25*'02_Assumptions'!$D$139,0)</x:f>
        <x:v>0</x:v>
      </x:c>
      <x:c r="K5" s="288" t="n">
        <x:f>IF(4&lt;='02_Assumptions'!$C$17,'04_Planting_Design'!$D$26*'02_Assumptions'!$E$123*'02_Assumptions'!$E$131+'04_Planting_Design'!$D$24*'02_Assumptions'!$E$134+'04_Planting_Design'!$D$25*'02_Assumptions'!$E$139,0)</x:f>
        <x:v>0</x:v>
      </x:c>
      <x:c r="L5" s="288" t="n">
        <x:f>IF(5&lt;='02_Assumptions'!$C$17,'04_Planting_Design'!$D$26*'02_Assumptions'!$F$123*'02_Assumptions'!$F$131+'04_Planting_Design'!$D$24*'02_Assumptions'!$F$134+'04_Planting_Design'!$D$25*'02_Assumptions'!$F$139,0)</x:f>
        <x:v>0</x:v>
      </x:c>
      <x:c r="M5" s="288" t="n">
        <x:f>IF(6&lt;='02_Assumptions'!$C$17,'04_Planting_Design'!$D$26*'02_Assumptions'!$G$123*'02_Assumptions'!$G$131+'04_Planting_Design'!$D$24*'02_Assumptions'!$G$134+'04_Planting_Design'!$D$25*'02_Assumptions'!$G$139,0)</x:f>
        <x:v>0</x:v>
      </x:c>
      <x:c r="N5" s="288" t="n">
        <x:f>IF(7&lt;='02_Assumptions'!$C$17,'04_Planting_Design'!$D$26*'02_Assumptions'!$H$123*'02_Assumptions'!$H$131+'04_Planting_Design'!$D$24*'02_Assumptions'!$H$134+'04_Planting_Design'!$D$25*'02_Assumptions'!$H$139,0)</x:f>
        <x:v>0</x:v>
      </x:c>
      <x:c r="O5" s="288" t="n">
        <x:f>IF(8&lt;='02_Assumptions'!$C$17,'04_Planting_Design'!$D$26*'02_Assumptions'!$I$123*'02_Assumptions'!$I$131+'04_Planting_Design'!$D$24*'02_Assumptions'!$I$134+'04_Planting_Design'!$D$25*'02_Assumptions'!$I$139,0)</x:f>
        <x:v>0</x:v>
      </x:c>
      <x:c r="P5" s="288" t="n">
        <x:f>IF(9&lt;='02_Assumptions'!$C$17,'04_Planting_Design'!$D$26*'02_Assumptions'!$J$123*'02_Assumptions'!$J$131+'04_Planting_Design'!$D$24*'02_Assumptions'!$J$134+'04_Planting_Design'!$D$25*'02_Assumptions'!$J$139,0)</x:f>
        <x:v>0</x:v>
      </x:c>
      <x:c r="Q5" s="288" t="n">
        <x:f>IF(10&lt;='02_Assumptions'!$C$17,'04_Planting_Design'!$D$26*'02_Assumptions'!$K$123*'02_Assumptions'!$K$131+'04_Planting_Design'!$D$24*'02_Assumptions'!$K$134+'04_Planting_Design'!$D$25*'02_Assumptions'!$K$139,0)</x:f>
        <x:v>0</x:v>
      </x:c>
      <x:c r="R5" s="288" t="n">
        <x:f>SUM(H5:Q5)</x:f>
        <x:v>23271.776</x:v>
      </x:c>
      <x:c r="S5" s="287" t="n">
        <x:f>H5*$E5*(1+'02_Assumptions'!$C$11)^0+I5*$E5*(1+'02_Assumptions'!$C$11)^1+J5*$E5*(1+'02_Assumptions'!$C$11)^2+K5*$E5*(1+'02_Assumptions'!$C$11)^3+L5*$E5*(1+'02_Assumptions'!$C$11)^4+M5*$E5*(1+'02_Assumptions'!$C$11)^5+N5*$E5*(1+'02_Assumptions'!$C$11)^6+O5*$E5*(1+'02_Assumptions'!$C$11)^7+P5*$E5*(1+'02_Assumptions'!$C$11)^8+Q5*$E5*(1+'02_Assumptions'!$C$11)^9</x:f>
        <x:v>189895819.52000004</x:v>
      </x:c>
      <x:c r="T5" s="330" t="n">
        <x:v>1</x:v>
      </x:c>
    </x:row>
    <x:row r="6">
      <x:c r="A6" s="264" t="str">
        <x:v>Synthetic fertilizer</x:v>
      </x:c>
      <x:c r="B6" s="264" t="str">
        <x:v>ZA</x:v>
      </x:c>
      <x:c r="C6" s="264" t="str">
        <x:v>N + S for young trees</x:v>
      </x:c>
      <x:c r="D6" s="264" t="str">
        <x:v>kg</x:v>
      </x:c>
      <x:c r="E6" s="287" t="n">
        <x:f>'02_Assumptions'!$C$69</x:f>
        <x:v>5000</x:v>
      </x:c>
      <x:c r="F6" s="264" t="str">
        <x:v>Prohibited organic</x:v>
      </x:c>
      <x:c r="G6" s="264" t="str">
        <x:v>Soil/leaf-test adjusted</x:v>
      </x:c>
      <x:c r="H6" s="288" t="n">
        <x:f>IF(1&lt;='02_Assumptions'!$C$17,'04_Planting_Design'!$D$24*'02_Assumptions'!$B$135+'04_Planting_Design'!$D$25*'02_Assumptions'!$B$140,0)</x:f>
        <x:v>1278.42</x:v>
      </x:c>
      <x:c r="I6" s="288" t="n">
        <x:f>IF(2&lt;='02_Assumptions'!$C$17,'04_Planting_Design'!$D$24*'02_Assumptions'!$C$135+'04_Planting_Design'!$D$25*'02_Assumptions'!$C$140,0)</x:f>
        <x:v>1744.1599999999999</x:v>
      </x:c>
      <x:c r="J6" s="288" t="n">
        <x:f>IF(3&lt;='02_Assumptions'!$C$17,'04_Planting_Design'!$D$24*'02_Assumptions'!$D$135+'04_Planting_Design'!$D$25*'02_Assumptions'!$D$140,0)</x:f>
        <x:v>0</x:v>
      </x:c>
      <x:c r="K6" s="288" t="n">
        <x:f>IF(4&lt;='02_Assumptions'!$C$17,'04_Planting_Design'!$D$24*'02_Assumptions'!$E$135+'04_Planting_Design'!$D$25*'02_Assumptions'!$E$140,0)</x:f>
        <x:v>0</x:v>
      </x:c>
      <x:c r="L6" s="288" t="n">
        <x:f>IF(5&lt;='02_Assumptions'!$C$17,'04_Planting_Design'!$D$24*'02_Assumptions'!$F$135+'04_Planting_Design'!$D$25*'02_Assumptions'!$F$140,0)</x:f>
        <x:v>0</x:v>
      </x:c>
      <x:c r="M6" s="288" t="n">
        <x:f>IF(6&lt;='02_Assumptions'!$C$17,'04_Planting_Design'!$D$24*'02_Assumptions'!$G$135+'04_Planting_Design'!$D$25*'02_Assumptions'!$G$140,0)</x:f>
        <x:v>0</x:v>
      </x:c>
      <x:c r="N6" s="288" t="n">
        <x:f>IF(7&lt;='02_Assumptions'!$C$17,'04_Planting_Design'!$D$24*'02_Assumptions'!$H$135+'04_Planting_Design'!$D$25*'02_Assumptions'!$H$140,0)</x:f>
        <x:v>0</x:v>
      </x:c>
      <x:c r="O6" s="288" t="n">
        <x:f>IF(8&lt;='02_Assumptions'!$C$17,'04_Planting_Design'!$D$24*'02_Assumptions'!$I$135+'04_Planting_Design'!$D$25*'02_Assumptions'!$I$140,0)</x:f>
        <x:v>0</x:v>
      </x:c>
      <x:c r="P6" s="288" t="n">
        <x:f>IF(9&lt;='02_Assumptions'!$C$17,'04_Planting_Design'!$D$24*'02_Assumptions'!$J$135+'04_Planting_Design'!$D$25*'02_Assumptions'!$J$140,0)</x:f>
        <x:v>0</x:v>
      </x:c>
      <x:c r="Q6" s="288" t="n">
        <x:f>IF(10&lt;='02_Assumptions'!$C$17,'04_Planting_Design'!$D$24*'02_Assumptions'!$K$135+'04_Planting_Design'!$D$25*'02_Assumptions'!$K$140,0)</x:f>
        <x:v>0</x:v>
      </x:c>
      <x:c r="R6" s="288" t="n">
        <x:f>SUM(H6:Q6)</x:f>
        <x:v>3022.58</x:v>
      </x:c>
      <x:c r="S6" s="287" t="n">
        <x:f>H6*$E6*(1+'02_Assumptions'!$C$11)^0+I6*$E6*(1+'02_Assumptions'!$C$11)^1+J6*$E6*(1+'02_Assumptions'!$C$11)^2+K6*$E6*(1+'02_Assumptions'!$C$11)^3+L6*$E6*(1+'02_Assumptions'!$C$11)^4+M6*$E6*(1+'02_Assumptions'!$C$11)^5+N6*$E6*(1+'02_Assumptions'!$C$11)^6+O6*$E6*(1+'02_Assumptions'!$C$11)^7+P6*$E6*(1+'02_Assumptions'!$C$11)^8+Q6*$E6*(1+'02_Assumptions'!$C$11)^9</x:f>
        <x:v>15461732</x:v>
      </x:c>
      <x:c r="T6" s="330" t="n">
        <x:v>1</x:v>
      </x:c>
    </x:row>
    <x:row r="7">
      <x:c r="A7" s="264" t="str">
        <x:v>Synthetic fertilizer</x:v>
      </x:c>
      <x:c r="B7" s="264" t="str">
        <x:v>SP-36</x:v>
      </x:c>
      <x:c r="C7" s="264" t="str">
        <x:v>P for root establishment</x:v>
      </x:c>
      <x:c r="D7" s="264" t="str">
        <x:v>kg</x:v>
      </x:c>
      <x:c r="E7" s="287" t="n">
        <x:f>'02_Assumptions'!$C$70</x:f>
        <x:v>10000</x:v>
      </x:c>
      <x:c r="F7" s="264" t="str">
        <x:v>Prohibited organic</x:v>
      </x:c>
      <x:c r="G7" s="264" t="str">
        <x:v>Do not blanket apply without P test</x:v>
      </x:c>
      <x:c r="H7" s="288" t="n">
        <x:f>IF(1&lt;='02_Assumptions'!$C$17,'04_Planting_Design'!$D$26*'02_Assumptions'!$B$123*'02_Assumptions'!$B$132+'04_Planting_Design'!$D$24*'02_Assumptions'!$B$136+'04_Planting_Design'!$D$25*'02_Assumptions'!$B$141,0)</x:f>
        <x:v>6029.76</x:v>
      </x:c>
      <x:c r="I7" s="288" t="n">
        <x:f>IF(2&lt;='02_Assumptions'!$C$17,'04_Planting_Design'!$D$26*'02_Assumptions'!$C$123*'02_Assumptions'!$C$132+'04_Planting_Design'!$D$24*'02_Assumptions'!$C$136+'04_Planting_Design'!$D$25*'02_Assumptions'!$C$141,0)</x:f>
        <x:v>6209.5</x:v>
      </x:c>
      <x:c r="J7" s="288" t="n">
        <x:f>IF(3&lt;='02_Assumptions'!$C$17,'04_Planting_Design'!$D$26*'02_Assumptions'!$D$123*'02_Assumptions'!$D$132+'04_Planting_Design'!$D$24*'02_Assumptions'!$D$136+'04_Planting_Design'!$D$25*'02_Assumptions'!$D$141,0)</x:f>
        <x:v>0</x:v>
      </x:c>
      <x:c r="K7" s="288" t="n">
        <x:f>IF(4&lt;='02_Assumptions'!$C$17,'04_Planting_Design'!$D$26*'02_Assumptions'!$E$123*'02_Assumptions'!$E$132+'04_Planting_Design'!$D$24*'02_Assumptions'!$E$136+'04_Planting_Design'!$D$25*'02_Assumptions'!$E$141,0)</x:f>
        <x:v>0</x:v>
      </x:c>
      <x:c r="L7" s="288" t="n">
        <x:f>IF(5&lt;='02_Assumptions'!$C$17,'04_Planting_Design'!$D$26*'02_Assumptions'!$F$123*'02_Assumptions'!$F$132+'04_Planting_Design'!$D$24*'02_Assumptions'!$F$136+'04_Planting_Design'!$D$25*'02_Assumptions'!$F$141,0)</x:f>
        <x:v>0</x:v>
      </x:c>
      <x:c r="M7" s="288" t="n">
        <x:f>IF(6&lt;='02_Assumptions'!$C$17,'04_Planting_Design'!$D$26*'02_Assumptions'!$G$123*'02_Assumptions'!$G$132+'04_Planting_Design'!$D$24*'02_Assumptions'!$G$136+'04_Planting_Design'!$D$25*'02_Assumptions'!$G$141,0)</x:f>
        <x:v>0</x:v>
      </x:c>
      <x:c r="N7" s="288" t="n">
        <x:f>IF(7&lt;='02_Assumptions'!$C$17,'04_Planting_Design'!$D$26*'02_Assumptions'!$H$123*'02_Assumptions'!$H$132+'04_Planting_Design'!$D$24*'02_Assumptions'!$H$136+'04_Planting_Design'!$D$25*'02_Assumptions'!$H$141,0)</x:f>
        <x:v>0</x:v>
      </x:c>
      <x:c r="O7" s="288" t="n">
        <x:f>IF(8&lt;='02_Assumptions'!$C$17,'04_Planting_Design'!$D$26*'02_Assumptions'!$I$123*'02_Assumptions'!$I$132+'04_Planting_Design'!$D$24*'02_Assumptions'!$I$136+'04_Planting_Design'!$D$25*'02_Assumptions'!$I$141,0)</x:f>
        <x:v>0</x:v>
      </x:c>
      <x:c r="P7" s="288" t="n">
        <x:f>IF(9&lt;='02_Assumptions'!$C$17,'04_Planting_Design'!$D$26*'02_Assumptions'!$J$123*'02_Assumptions'!$J$132+'04_Planting_Design'!$D$24*'02_Assumptions'!$J$136+'04_Planting_Design'!$D$25*'02_Assumptions'!$J$141,0)</x:f>
        <x:v>0</x:v>
      </x:c>
      <x:c r="Q7" s="288" t="n">
        <x:f>IF(10&lt;='02_Assumptions'!$C$17,'04_Planting_Design'!$D$26*'02_Assumptions'!$K$123*'02_Assumptions'!$K$132+'04_Planting_Design'!$D$24*'02_Assumptions'!$K$136+'04_Planting_Design'!$D$25*'02_Assumptions'!$K$141,0)</x:f>
        <x:v>0</x:v>
      </x:c>
      <x:c r="R7" s="288" t="n">
        <x:f>SUM(H7:Q7)</x:f>
        <x:v>12239.26</x:v>
      </x:c>
      <x:c r="S7" s="287" t="n">
        <x:f>H7*$E7*(1+'02_Assumptions'!$C$11)^0+I7*$E7*(1+'02_Assumptions'!$C$11)^1+J7*$E7*(1+'02_Assumptions'!$C$11)^2+K7*$E7*(1+'02_Assumptions'!$C$11)^3+L7*$E7*(1+'02_Assumptions'!$C$11)^4+M7*$E7*(1+'02_Assumptions'!$C$11)^5+N7*$E7*(1+'02_Assumptions'!$C$11)^6+O7*$E7*(1+'02_Assumptions'!$C$11)^7+P7*$E7*(1+'02_Assumptions'!$C$11)^8+Q7*$E7*(1+'02_Assumptions'!$C$11)^9</x:f>
        <x:v>124876400</x:v>
      </x:c>
      <x:c r="T7" s="330" t="n">
        <x:v>1</x:v>
      </x:c>
    </x:row>
    <x:row r="8">
      <x:c r="A8" s="264" t="str">
        <x:v>Synthetic fertilizer</x:v>
      </x:c>
      <x:c r="B8" s="264" t="str">
        <x:v>KCl/MOP</x:v>
      </x:c>
      <x:c r="C8" s="264" t="str">
        <x:v>K for banana and young trees</x:v>
      </x:c>
      <x:c r="D8" s="264" t="str">
        <x:v>kg</x:v>
      </x:c>
      <x:c r="E8" s="287" t="n">
        <x:f>'02_Assumptions'!$C$71</x:f>
        <x:v>8000</x:v>
      </x:c>
      <x:c r="F8" s="264" t="str">
        <x:v>Prohibited/restricted</x:v>
      </x:c>
      <x:c r="G8" s="264" t="str">
        <x:v>Split, avoid salt injury</x:v>
      </x:c>
      <x:c r="H8" s="288" t="n">
        <x:f>IF(1&lt;='02_Assumptions'!$C$17,'04_Planting_Design'!$D$26*'02_Assumptions'!$B$123*'02_Assumptions'!$B$133+'04_Planting_Design'!$D$24*'02_Assumptions'!$B$137+'04_Planting_Design'!$D$25*'02_Assumptions'!$B$142,0)</x:f>
        <x:v>6376.7</x:v>
      </x:c>
      <x:c r="I8" s="288" t="n">
        <x:f>IF(2&lt;='02_Assumptions'!$C$17,'04_Planting_Design'!$D$26*'02_Assumptions'!$C$123*'02_Assumptions'!$C$133+'04_Planting_Design'!$D$24*'02_Assumptions'!$C$137+'04_Planting_Design'!$D$25*'02_Assumptions'!$C$142,0)</x:f>
        <x:v>7022.18</x:v>
      </x:c>
      <x:c r="J8" s="288" t="n">
        <x:f>IF(3&lt;='02_Assumptions'!$C$17,'04_Planting_Design'!$D$26*'02_Assumptions'!$D$123*'02_Assumptions'!$D$133+'04_Planting_Design'!$D$24*'02_Assumptions'!$D$137+'04_Planting_Design'!$D$25*'02_Assumptions'!$D$142,0)</x:f>
        <x:v>0</x:v>
      </x:c>
      <x:c r="K8" s="288" t="n">
        <x:f>IF(4&lt;='02_Assumptions'!$C$17,'04_Planting_Design'!$D$26*'02_Assumptions'!$E$123*'02_Assumptions'!$E$133+'04_Planting_Design'!$D$24*'02_Assumptions'!$E$137+'04_Planting_Design'!$D$25*'02_Assumptions'!$E$142,0)</x:f>
        <x:v>0</x:v>
      </x:c>
      <x:c r="L8" s="288" t="n">
        <x:f>IF(5&lt;='02_Assumptions'!$C$17,'04_Planting_Design'!$D$26*'02_Assumptions'!$F$123*'02_Assumptions'!$F$133+'04_Planting_Design'!$D$24*'02_Assumptions'!$F$137+'04_Planting_Design'!$D$25*'02_Assumptions'!$F$142,0)</x:f>
        <x:v>0</x:v>
      </x:c>
      <x:c r="M8" s="288" t="n">
        <x:f>IF(6&lt;='02_Assumptions'!$C$17,'04_Planting_Design'!$D$26*'02_Assumptions'!$G$123*'02_Assumptions'!$G$133+'04_Planting_Design'!$D$24*'02_Assumptions'!$G$137+'04_Planting_Design'!$D$25*'02_Assumptions'!$G$142,0)</x:f>
        <x:v>0</x:v>
      </x:c>
      <x:c r="N8" s="288" t="n">
        <x:f>IF(7&lt;='02_Assumptions'!$C$17,'04_Planting_Design'!$D$26*'02_Assumptions'!$H$123*'02_Assumptions'!$H$133+'04_Planting_Design'!$D$24*'02_Assumptions'!$H$137+'04_Planting_Design'!$D$25*'02_Assumptions'!$H$142,0)</x:f>
        <x:v>0</x:v>
      </x:c>
      <x:c r="O8" s="288" t="n">
        <x:f>IF(8&lt;='02_Assumptions'!$C$17,'04_Planting_Design'!$D$26*'02_Assumptions'!$I$123*'02_Assumptions'!$I$133+'04_Planting_Design'!$D$24*'02_Assumptions'!$I$137+'04_Planting_Design'!$D$25*'02_Assumptions'!$I$142,0)</x:f>
        <x:v>0</x:v>
      </x:c>
      <x:c r="P8" s="288" t="n">
        <x:f>IF(9&lt;='02_Assumptions'!$C$17,'04_Planting_Design'!$D$26*'02_Assumptions'!$J$123*'02_Assumptions'!$J$133+'04_Planting_Design'!$D$24*'02_Assumptions'!$J$137+'04_Planting_Design'!$D$25*'02_Assumptions'!$J$142,0)</x:f>
        <x:v>0</x:v>
      </x:c>
      <x:c r="Q8" s="288" t="n">
        <x:f>IF(10&lt;='02_Assumptions'!$C$17,'04_Planting_Design'!$D$26*'02_Assumptions'!$K$123*'02_Assumptions'!$K$133+'04_Planting_Design'!$D$24*'02_Assumptions'!$K$137+'04_Planting_Design'!$D$25*'02_Assumptions'!$K$142,0)</x:f>
        <x:v>0</x:v>
      </x:c>
      <x:c r="R8" s="288" t="n">
        <x:f>SUM(H8:Q8)</x:f>
        <x:v>13398.880000000001</x:v>
      </x:c>
      <x:c r="S8" s="287" t="n">
        <x:f>H8*$E8*(1+'02_Assumptions'!$C$11)^0+I8*$E8*(1+'02_Assumptions'!$C$11)^1+J8*$E8*(1+'02_Assumptions'!$C$11)^2+K8*$E8*(1+'02_Assumptions'!$C$11)^3+L8*$E8*(1+'02_Assumptions'!$C$11)^4+M8*$E8*(1+'02_Assumptions'!$C$11)^5+N8*$E8*(1+'02_Assumptions'!$C$11)^6+O8*$E8*(1+'02_Assumptions'!$C$11)^7+P8*$E8*(1+'02_Assumptions'!$C$11)^8+Q8*$E8*(1+'02_Assumptions'!$C$11)^9</x:f>
        <x:v>109438137.6</x:v>
      </x:c>
      <x:c r="T8" s="330" t="n">
        <x:v>1</x:v>
      </x:c>
    </x:row>
    <x:row r="9">
      <x:c r="A9" s="264" t="str">
        <x:v>Synthetic fertilizer</x:v>
      </x:c>
      <x:c r="B9" s="264" t="str">
        <x:v>Phonska/NPK</x:v>
      </x:c>
      <x:c r="C9" s="264" t="str">
        <x:v>Compound fertilizer after vegetative stage</x:v>
      </x:c>
      <x:c r="D9" s="264" t="str">
        <x:v>kg</x:v>
      </x:c>
      <x:c r="E9" s="287" t="n">
        <x:f>'02_Assumptions'!$C$72</x:f>
        <x:v>10000</x:v>
      </x:c>
      <x:c r="F9" s="264" t="str">
        <x:v>Prohibited organic</x:v>
      </x:c>
      <x:c r="G9" s="264" t="str">
        <x:v>Only if synthetic phase extends beyond Y2</x:v>
      </x:c>
      <x:c r="H9" s="288" t="n">
        <x:f>IF(1&lt;='02_Assumptions'!$C$17,'04_Planting_Design'!$D$24*'02_Assumptions'!$B$138+'04_Planting_Design'!$D$25*'02_Assumptions'!$B$143,0)</x:f>
        <x:v>0</x:v>
      </x:c>
      <x:c r="I9" s="288" t="n">
        <x:f>IF(2&lt;='02_Assumptions'!$C$17,'04_Planting_Design'!$D$24*'02_Assumptions'!$C$138+'04_Planting_Design'!$D$25*'02_Assumptions'!$C$143,0)</x:f>
        <x:v>0</x:v>
      </x:c>
      <x:c r="J9" s="288" t="n">
        <x:f>IF(3&lt;='02_Assumptions'!$C$17,'04_Planting_Design'!$D$24*'02_Assumptions'!$D$138+'04_Planting_Design'!$D$25*'02_Assumptions'!$D$143,0)</x:f>
        <x:v>0</x:v>
      </x:c>
      <x:c r="K9" s="288" t="n">
        <x:f>IF(4&lt;='02_Assumptions'!$C$17,'04_Planting_Design'!$D$24*'02_Assumptions'!$E$138+'04_Planting_Design'!$D$25*'02_Assumptions'!$E$143,0)</x:f>
        <x:v>0</x:v>
      </x:c>
      <x:c r="L9" s="288" t="n">
        <x:f>IF(5&lt;='02_Assumptions'!$C$17,'04_Planting_Design'!$D$24*'02_Assumptions'!$F$138+'04_Planting_Design'!$D$25*'02_Assumptions'!$F$143,0)</x:f>
        <x:v>0</x:v>
      </x:c>
      <x:c r="M9" s="288" t="n">
        <x:f>IF(6&lt;='02_Assumptions'!$C$17,'04_Planting_Design'!$D$24*'02_Assumptions'!$G$138+'04_Planting_Design'!$D$25*'02_Assumptions'!$G$143,0)</x:f>
        <x:v>0</x:v>
      </x:c>
      <x:c r="N9" s="288" t="n">
        <x:f>IF(7&lt;='02_Assumptions'!$C$17,'04_Planting_Design'!$D$24*'02_Assumptions'!$H$138+'04_Planting_Design'!$D$25*'02_Assumptions'!$H$143,0)</x:f>
        <x:v>0</x:v>
      </x:c>
      <x:c r="O9" s="288" t="n">
        <x:f>IF(8&lt;='02_Assumptions'!$C$17,'04_Planting_Design'!$D$24*'02_Assumptions'!$I$138+'04_Planting_Design'!$D$25*'02_Assumptions'!$I$143,0)</x:f>
        <x:v>0</x:v>
      </x:c>
      <x:c r="P9" s="288" t="n">
        <x:f>IF(9&lt;='02_Assumptions'!$C$17,'04_Planting_Design'!$D$24*'02_Assumptions'!$J$138+'04_Planting_Design'!$D$25*'02_Assumptions'!$J$143,0)</x:f>
        <x:v>0</x:v>
      </x:c>
      <x:c r="Q9" s="288" t="n">
        <x:f>IF(10&lt;='02_Assumptions'!$C$17,'04_Planting_Design'!$D$24*'02_Assumptions'!$K$138+'04_Planting_Design'!$D$25*'02_Assumptions'!$K$143,0)</x:f>
        <x:v>0</x:v>
      </x:c>
      <x:c r="R9" s="288" t="n">
        <x:f>SUM(H9:Q9)</x:f>
        <x:v>0</x:v>
      </x:c>
      <x:c r="S9" s="287" t="n">
        <x:f>H9*$E9*(1+'02_Assumptions'!$C$11)^0+I9*$E9*(1+'02_Assumptions'!$C$11)^1+J9*$E9*(1+'02_Assumptions'!$C$11)^2+K9*$E9*(1+'02_Assumptions'!$C$11)^3+L9*$E9*(1+'02_Assumptions'!$C$11)^4+M9*$E9*(1+'02_Assumptions'!$C$11)^5+N9*$E9*(1+'02_Assumptions'!$C$11)^6+O9*$E9*(1+'02_Assumptions'!$C$11)^7+P9*$E9*(1+'02_Assumptions'!$C$11)^8+Q9*$E9*(1+'02_Assumptions'!$C$11)^9</x:f>
        <x:v>0</x:v>
      </x:c>
      <x:c r="T9" s="330" t="n">
        <x:v>1</x:v>
      </x:c>
    </x:row>
    <x:row r="10">
      <x:c r="A10" s="264" t="str">
        <x:v>Organic matter</x:v>
      </x:c>
      <x:c r="B10" s="264" t="str">
        <x:v>Kompos matang</x:v>
      </x:c>
      <x:c r="C10" s="264" t="str">
        <x:v>Soil C, structure, microbial activity</x:v>
      </x:c>
      <x:c r="D10" s="264" t="str">
        <x:v>kg</x:v>
      </x:c>
      <x:c r="E10" s="287" t="n">
        <x:f>'02_Assumptions'!$C$73</x:f>
        <x:v>1000</x:v>
      </x:c>
      <x:c r="F10" s="264" t="str">
        <x:v>Permitted if compliant</x:v>
      </x:c>
      <x:c r="G10" s="264" t="str">
        <x:v>50% of annual organic matter plan</x:v>
      </x:c>
      <x:c r="H10" s="288" t="n">
        <x:f>0.5*(('04_Planting_Design'!$D$24+'04_Planting_Design'!$D$25)*'02_Assumptions'!$B$144+'04_Planting_Design'!$D$26*'02_Assumptions'!$B$123*'02_Assumptions'!$B$145)</x:f>
        <x:v>124487</x:v>
      </x:c>
      <x:c r="I10" s="288" t="n">
        <x:f>0.5*(('04_Planting_Design'!$D$24+'04_Planting_Design'!$D$25)*'02_Assumptions'!$C$144+'04_Planting_Design'!$D$26*'02_Assumptions'!$C$123*'02_Assumptions'!$C$145)</x:f>
        <x:v>137654</x:v>
      </x:c>
      <x:c r="J10" s="288" t="n">
        <x:f>0.5*(('04_Planting_Design'!$D$24+'04_Planting_Design'!$D$25)*'02_Assumptions'!$D$144+'04_Planting_Design'!$D$26*'02_Assumptions'!$D$123*'02_Assumptions'!$D$145)</x:f>
        <x:v>140701</x:v>
      </x:c>
      <x:c r="K10" s="288" t="n">
        <x:f>0.5*(('04_Planting_Design'!$D$24+'04_Planting_Design'!$D$25)*'02_Assumptions'!$E$144+'04_Planting_Design'!$D$26*'02_Assumptions'!$E$123*'02_Assumptions'!$E$145)</x:f>
        <x:v>106293</x:v>
      </x:c>
      <x:c r="L10" s="288" t="n">
        <x:f>0.5*(('04_Planting_Design'!$D$24+'04_Planting_Design'!$D$25)*'02_Assumptions'!$F$144+'04_Planting_Design'!$D$26*'02_Assumptions'!$F$123*'02_Assumptions'!$F$145)</x:f>
        <x:v>113388</x:v>
      </x:c>
      <x:c r="M10" s="288" t="n">
        <x:f>0.5*(('04_Planting_Design'!$D$24+'04_Planting_Design'!$D$25)*'02_Assumptions'!$G$144+'04_Planting_Design'!$D$26*'02_Assumptions'!$G$123*'02_Assumptions'!$G$145)</x:f>
        <x:v>102256</x:v>
      </x:c>
      <x:c r="N10" s="288" t="n">
        <x:f>0.5*(('04_Planting_Design'!$D$24+'04_Planting_Design'!$D$25)*'02_Assumptions'!$H$144+'04_Planting_Design'!$D$26*'02_Assumptions'!$H$123*'02_Assumptions'!$H$145)</x:f>
        <x:v>122506.99999999999</x:v>
      </x:c>
      <x:c r="O10" s="288" t="n">
        <x:f>0.5*(('04_Planting_Design'!$D$24+'04_Planting_Design'!$D$25)*'02_Assumptions'!$I$144+'04_Planting_Design'!$D$26*'02_Assumptions'!$I$123*'02_Assumptions'!$I$145)</x:f>
        <x:v>122506.99999999999</x:v>
      </x:c>
      <x:c r="P10" s="288" t="n">
        <x:f>0.5*(('04_Planting_Design'!$D$24+'04_Planting_Design'!$D$25)*'02_Assumptions'!$J$144+'04_Planting_Design'!$D$26*'02_Assumptions'!$J$123*'02_Assumptions'!$J$145)</x:f>
        <x:v>122506.99999999999</x:v>
      </x:c>
      <x:c r="Q10" s="288" t="n">
        <x:f>0.5*(('04_Planting_Design'!$D$24+'04_Planting_Design'!$D$25)*'02_Assumptions'!$K$144+'04_Planting_Design'!$D$26*'02_Assumptions'!$K$123*'02_Assumptions'!$K$145)</x:f>
        <x:v>122506.99999999999</x:v>
      </x:c>
      <x:c r="R10" s="288" t="n">
        <x:f>SUM(H10:Q10)</x:f>
        <x:v>1214807</x:v>
      </x:c>
      <x:c r="S10" s="287" t="n">
        <x:f>H10*$E10*(1+'02_Assumptions'!$C$11)^0+I10*$E10*(1+'02_Assumptions'!$C$11)^1+J10*$E10*(1+'02_Assumptions'!$C$11)^2+K10*$E10*(1+'02_Assumptions'!$C$11)^3+L10*$E10*(1+'02_Assumptions'!$C$11)^4+M10*$E10*(1+'02_Assumptions'!$C$11)^5+N10*$E10*(1+'02_Assumptions'!$C$11)^6+O10*$E10*(1+'02_Assumptions'!$C$11)^7+P10*$E10*(1+'02_Assumptions'!$C$11)^8+Q10*$E10*(1+'02_Assumptions'!$C$11)^9</x:f>
        <x:v>1454698752.6811466</x:v>
      </x:c>
      <x:c r="T10" s="330" t="n">
        <x:v>1</x:v>
      </x:c>
    </x:row>
    <x:row r="11">
      <x:c r="A11" s="264" t="str">
        <x:v>Organic matter</x:v>
      </x:c>
      <x:c r="B11" s="264" t="str">
        <x:v>Pupuk kandang fermented</x:v>
      </x:c>
      <x:c r="C11" s="264" t="str">
        <x:v>Organic nutrient &amp; biology</x:v>
      </x:c>
      <x:c r="D11" s="264" t="str">
        <x:v>kg</x:v>
      </x:c>
      <x:c r="E11" s="287" t="n">
        <x:f>'02_Assumptions'!$C$74</x:f>
        <x:v>900</x:v>
      </x:c>
      <x:c r="F11" s="264" t="str">
        <x:v>Permitted if compliant</x:v>
      </x:c>
      <x:c r="G11" s="264" t="str">
        <x:v>50%; verify maturity/pathogens/metals</x:v>
      </x:c>
      <x:c r="H11" s="288" t="n">
        <x:f>0.5*(('04_Planting_Design'!$D$24+'04_Planting_Design'!$D$25)*'02_Assumptions'!$B$144+'04_Planting_Design'!$D$26*'02_Assumptions'!$B$123*'02_Assumptions'!$B$145)</x:f>
        <x:v>124487</x:v>
      </x:c>
      <x:c r="I11" s="288" t="n">
        <x:f>0.5*(('04_Planting_Design'!$D$24+'04_Planting_Design'!$D$25)*'02_Assumptions'!$C$144+'04_Planting_Design'!$D$26*'02_Assumptions'!$C$123*'02_Assumptions'!$C$145)</x:f>
        <x:v>137654</x:v>
      </x:c>
      <x:c r="J11" s="288" t="n">
        <x:f>0.5*(('04_Planting_Design'!$D$24+'04_Planting_Design'!$D$25)*'02_Assumptions'!$D$144+'04_Planting_Design'!$D$26*'02_Assumptions'!$D$123*'02_Assumptions'!$D$145)</x:f>
        <x:v>140701</x:v>
      </x:c>
      <x:c r="K11" s="288" t="n">
        <x:f>0.5*(('04_Planting_Design'!$D$24+'04_Planting_Design'!$D$25)*'02_Assumptions'!$E$144+'04_Planting_Design'!$D$26*'02_Assumptions'!$E$123*'02_Assumptions'!$E$145)</x:f>
        <x:v>106293</x:v>
      </x:c>
      <x:c r="L11" s="288" t="n">
        <x:f>0.5*(('04_Planting_Design'!$D$24+'04_Planting_Design'!$D$25)*'02_Assumptions'!$F$144+'04_Planting_Design'!$D$26*'02_Assumptions'!$F$123*'02_Assumptions'!$F$145)</x:f>
        <x:v>113388</x:v>
      </x:c>
      <x:c r="M11" s="288" t="n">
        <x:f>0.5*(('04_Planting_Design'!$D$24+'04_Planting_Design'!$D$25)*'02_Assumptions'!$G$144+'04_Planting_Design'!$D$26*'02_Assumptions'!$G$123*'02_Assumptions'!$G$145)</x:f>
        <x:v>102256</x:v>
      </x:c>
      <x:c r="N11" s="288" t="n">
        <x:f>0.5*(('04_Planting_Design'!$D$24+'04_Planting_Design'!$D$25)*'02_Assumptions'!$H$144+'04_Planting_Design'!$D$26*'02_Assumptions'!$H$123*'02_Assumptions'!$H$145)</x:f>
        <x:v>122506.99999999999</x:v>
      </x:c>
      <x:c r="O11" s="288" t="n">
        <x:f>0.5*(('04_Planting_Design'!$D$24+'04_Planting_Design'!$D$25)*'02_Assumptions'!$I$144+'04_Planting_Design'!$D$26*'02_Assumptions'!$I$123*'02_Assumptions'!$I$145)</x:f>
        <x:v>122506.99999999999</x:v>
      </x:c>
      <x:c r="P11" s="288" t="n">
        <x:f>0.5*(('04_Planting_Design'!$D$24+'04_Planting_Design'!$D$25)*'02_Assumptions'!$J$144+'04_Planting_Design'!$D$26*'02_Assumptions'!$J$123*'02_Assumptions'!$J$145)</x:f>
        <x:v>122506.99999999999</x:v>
      </x:c>
      <x:c r="Q11" s="288" t="n">
        <x:f>0.5*(('04_Planting_Design'!$D$24+'04_Planting_Design'!$D$25)*'02_Assumptions'!$K$144+'04_Planting_Design'!$D$26*'02_Assumptions'!$K$123*'02_Assumptions'!$K$145)</x:f>
        <x:v>122506.99999999999</x:v>
      </x:c>
      <x:c r="R11" s="288" t="n">
        <x:f>SUM(H11:Q11)</x:f>
        <x:v>1214807</x:v>
      </x:c>
      <x:c r="S11" s="287" t="n">
        <x:f>H11*$E11*(1+'02_Assumptions'!$C$11)^0+I11*$E11*(1+'02_Assumptions'!$C$11)^1+J11*$E11*(1+'02_Assumptions'!$C$11)^2+K11*$E11*(1+'02_Assumptions'!$C$11)^3+L11*$E11*(1+'02_Assumptions'!$C$11)^4+M11*$E11*(1+'02_Assumptions'!$C$11)^5+N11*$E11*(1+'02_Assumptions'!$C$11)^6+O11*$E11*(1+'02_Assumptions'!$C$11)^7+P11*$E11*(1+'02_Assumptions'!$C$11)^8+Q11*$E11*(1+'02_Assumptions'!$C$11)^9</x:f>
        <x:v>1309228877.413032</x:v>
      </x:c>
      <x:c r="T11" s="330" t="n">
        <x:v>1</x:v>
      </x:c>
    </x:row>
    <x:row r="12">
      <x:c r="A12" s="264" t="str">
        <x:v>Amendment</x:v>
      </x:c>
      <x:c r="B12" s="264" t="str">
        <x:v>Dolomite maintenance</x:v>
      </x:c>
      <x:c r="C12" s="264" t="str">
        <x:v>pH, Ca, Mg</x:v>
      </x:c>
      <x:c r="D12" s="264" t="str">
        <x:v>kg</x:v>
      </x:c>
      <x:c r="E12" s="287" t="n">
        <x:f>'02_Assumptions'!$C$75</x:f>
        <x:v>1500</x:v>
      </x:c>
      <x:c r="F12" s="264" t="str">
        <x:v>Conditional</x:v>
      </x:c>
      <x:c r="G12" s="264" t="str">
        <x:v>Every 2y only if lime requirement supports</x:v>
      </x:c>
      <x:c r="H12" s="288" t="n">
        <x:f>IF(MOD(1,2)=0,'02_Assumptions'!$C$6*'02_Assumptions'!$C$7*'02_Assumptions'!$C$110,0)</x:f>
        <x:v>0</x:v>
      </x:c>
      <x:c r="I12" s="288" t="n">
        <x:f>IF(MOD(2,2)=0,'02_Assumptions'!$C$6*'02_Assumptions'!$C$7*'02_Assumptions'!$C$110,0)</x:f>
        <x:v>44000</x:v>
      </x:c>
      <x:c r="J12" s="288" t="n">
        <x:f>IF(MOD(3,2)=0,'02_Assumptions'!$C$6*'02_Assumptions'!$C$7*'02_Assumptions'!$C$110,0)</x:f>
        <x:v>0</x:v>
      </x:c>
      <x:c r="K12" s="288" t="n">
        <x:f>IF(MOD(4,2)=0,'02_Assumptions'!$C$6*'02_Assumptions'!$C$7*'02_Assumptions'!$C$110,0)</x:f>
        <x:v>44000</x:v>
      </x:c>
      <x:c r="L12" s="288" t="n">
        <x:f>IF(MOD(5,2)=0,'02_Assumptions'!$C$6*'02_Assumptions'!$C$7*'02_Assumptions'!$C$110,0)</x:f>
        <x:v>0</x:v>
      </x:c>
      <x:c r="M12" s="288" t="n">
        <x:f>IF(MOD(6,2)=0,'02_Assumptions'!$C$6*'02_Assumptions'!$C$7*'02_Assumptions'!$C$110,0)</x:f>
        <x:v>44000</x:v>
      </x:c>
      <x:c r="N12" s="288" t="n">
        <x:f>IF(MOD(7,2)=0,'02_Assumptions'!$C$6*'02_Assumptions'!$C$7*'02_Assumptions'!$C$110,0)</x:f>
        <x:v>0</x:v>
      </x:c>
      <x:c r="O12" s="288" t="n">
        <x:f>IF(MOD(8,2)=0,'02_Assumptions'!$C$6*'02_Assumptions'!$C$7*'02_Assumptions'!$C$110,0)</x:f>
        <x:v>44000</x:v>
      </x:c>
      <x:c r="P12" s="288" t="n">
        <x:f>IF(MOD(9,2)=0,'02_Assumptions'!$C$6*'02_Assumptions'!$C$7*'02_Assumptions'!$C$110,0)</x:f>
        <x:v>0</x:v>
      </x:c>
      <x:c r="Q12" s="288" t="n">
        <x:f>IF(MOD(10,2)=0,'02_Assumptions'!$C$6*'02_Assumptions'!$C$7*'02_Assumptions'!$C$110,0)</x:f>
        <x:v>44000</x:v>
      </x:c>
      <x:c r="R12" s="288" t="n">
        <x:f>SUM(H12:Q12)</x:f>
        <x:v>220000</x:v>
      </x:c>
      <x:c r="S12" s="287" t="n">
        <x:f>H12*$E12*(1+'02_Assumptions'!$C$11)^0+I12*$E12*(1+'02_Assumptions'!$C$11)^1+J12*$E12*(1+'02_Assumptions'!$C$11)^2+K12*$E12*(1+'02_Assumptions'!$C$11)^3+L12*$E12*(1+'02_Assumptions'!$C$11)^4+M12*$E12*(1+'02_Assumptions'!$C$11)^5+N12*$E12*(1+'02_Assumptions'!$C$11)^6+O12*$E12*(1+'02_Assumptions'!$C$11)^7+P12*$E12*(1+'02_Assumptions'!$C$11)^8+Q12*$E12*(1+'02_Assumptions'!$C$11)^9</x:f>
        <x:v>403970192.60778344</x:v>
      </x:c>
      <x:c r="T12" s="330" t="n">
        <x:v>1</x:v>
      </x:c>
    </x:row>
    <x:row r="13">
      <x:c r="A13" s="264" t="str">
        <x:v>Organic mineral</x:v>
      </x:c>
      <x:c r="B13" s="264" t="str">
        <x:v>Rock phosphate</x:v>
      </x:c>
      <x:c r="C13" s="264" t="str">
        <x:v>P in transition/organic phase</x:v>
      </x:c>
      <x:c r="D13" s="264" t="str">
        <x:v>kg</x:v>
      </x:c>
      <x:c r="E13" s="287" t="n">
        <x:f>'02_Assumptions'!$C$76</x:f>
        <x:v>3000</x:v>
      </x:c>
      <x:c r="F13" s="264" t="str">
        <x:v>LSO approval</x:v>
      </x:c>
      <x:c r="G13" s="264" t="str">
        <x:v>Starts after synthetic phase</x:v>
      </x:c>
      <x:c r="H13" s="288" t="n">
        <x:f>IF(1&gt;'02_Assumptions'!$C$17,('04_Planting_Design'!$D$24+'04_Planting_Design'!$D$25)*'02_Assumptions'!$C$111,0)</x:f>
        <x:v>0</x:v>
      </x:c>
      <x:c r="I13" s="288" t="n">
        <x:f>IF(2&gt;'02_Assumptions'!$C$17,('04_Planting_Design'!$D$24+'04_Planting_Design'!$D$25)*'02_Assumptions'!$C$111,0)</x:f>
        <x:v>0</x:v>
      </x:c>
      <x:c r="J13" s="288" t="n">
        <x:f>IF(3&gt;'02_Assumptions'!$C$17,('04_Planting_Design'!$D$24+'04_Planting_Design'!$D$25)*'02_Assumptions'!$C$111,0)</x:f>
        <x:v>2794.4399999999996</x:v>
      </x:c>
      <x:c r="K13" s="288" t="n">
        <x:f>IF(4&gt;'02_Assumptions'!$C$17,('04_Planting_Design'!$D$24+'04_Planting_Design'!$D$25)*'02_Assumptions'!$C$111,0)</x:f>
        <x:v>2794.4399999999996</x:v>
      </x:c>
      <x:c r="L13" s="288" t="n">
        <x:f>IF(5&gt;'02_Assumptions'!$C$17,('04_Planting_Design'!$D$24+'04_Planting_Design'!$D$25)*'02_Assumptions'!$C$111,0)</x:f>
        <x:v>2794.4399999999996</x:v>
      </x:c>
      <x:c r="M13" s="288" t="n">
        <x:f>IF(6&gt;'02_Assumptions'!$C$17,('04_Planting_Design'!$D$24+'04_Planting_Design'!$D$25)*'02_Assumptions'!$C$111,0)</x:f>
        <x:v>2794.4399999999996</x:v>
      </x:c>
      <x:c r="N13" s="288" t="n">
        <x:f>IF(7&gt;'02_Assumptions'!$C$17,('04_Planting_Design'!$D$24+'04_Planting_Design'!$D$25)*'02_Assumptions'!$C$111,0)</x:f>
        <x:v>2794.4399999999996</x:v>
      </x:c>
      <x:c r="O13" s="288" t="n">
        <x:f>IF(8&gt;'02_Assumptions'!$C$17,('04_Planting_Design'!$D$24+'04_Planting_Design'!$D$25)*'02_Assumptions'!$C$111,0)</x:f>
        <x:v>2794.4399999999996</x:v>
      </x:c>
      <x:c r="P13" s="288" t="n">
        <x:f>IF(9&gt;'02_Assumptions'!$C$17,('04_Planting_Design'!$D$24+'04_Planting_Design'!$D$25)*'02_Assumptions'!$C$111,0)</x:f>
        <x:v>2794.4399999999996</x:v>
      </x:c>
      <x:c r="Q13" s="288" t="n">
        <x:f>IF(10&gt;'02_Assumptions'!$C$17,('04_Planting_Design'!$D$24+'04_Planting_Design'!$D$25)*'02_Assumptions'!$C$111,0)</x:f>
        <x:v>2794.4399999999996</x:v>
      </x:c>
      <x:c r="R13" s="288" t="n">
        <x:f>SUM(H13:Q13)</x:f>
        <x:v>22355.519999999993</x:v>
      </x:c>
      <x:c r="S13" s="287" t="n">
        <x:f>H13*$E13*(1+'02_Assumptions'!$C$11)^0+I13*$E13*(1+'02_Assumptions'!$C$11)^1+J13*$E13*(1+'02_Assumptions'!$C$11)^2+K13*$E13*(1+'02_Assumptions'!$C$11)^3+L13*$E13*(1+'02_Assumptions'!$C$11)^4+M13*$E13*(1+'02_Assumptions'!$C$11)^5+N13*$E13*(1+'02_Assumptions'!$C$11)^6+O13*$E13*(1+'02_Assumptions'!$C$11)^7+P13*$E13*(1+'02_Assumptions'!$C$11)^8+Q13*$E13*(1+'02_Assumptions'!$C$11)^9</x:f>
        <x:v>83549065.16604128</x:v>
      </x:c>
      <x:c r="T13" s="330" t="n">
        <x:v>1</x:v>
      </x:c>
    </x:row>
    <x:row r="14">
      <x:c r="A14" s="264" t="str">
        <x:v>Organic mineral</x:v>
      </x:c>
      <x:c r="B14" s="264" t="str">
        <x:v>Approved K/Mg input</x:v>
      </x:c>
      <x:c r="C14" s="264" t="str">
        <x:v>K/Mg in transition/organic phase</x:v>
      </x:c>
      <x:c r="D14" s="264" t="str">
        <x:v>kg</x:v>
      </x:c>
      <x:c r="E14" s="287" t="n">
        <x:f>'02_Assumptions'!$C$77</x:f>
        <x:v>8000</x:v>
      </x:c>
      <x:c r="F14" s="264" t="str">
        <x:v>LSO approval</x:v>
      </x:c>
      <x:c r="G14" s="264" t="str">
        <x:v>Leaf-test driven</x:v>
      </x:c>
      <x:c r="H14" s="288" t="n">
        <x:f>IF(1&gt;'02_Assumptions'!$C$17,('04_Planting_Design'!$D$24+'04_Planting_Design'!$D$25)*'02_Assumptions'!$C$112,0)</x:f>
        <x:v>0</x:v>
      </x:c>
      <x:c r="I14" s="288" t="n">
        <x:f>IF(2&gt;'02_Assumptions'!$C$17,('04_Planting_Design'!$D$24+'04_Planting_Design'!$D$25)*'02_Assumptions'!$C$112,0)</x:f>
        <x:v>0</x:v>
      </x:c>
      <x:c r="J14" s="288" t="n">
        <x:f>IF(3&gt;'02_Assumptions'!$C$17,('04_Planting_Design'!$D$24+'04_Planting_Design'!$D$25)*'02_Assumptions'!$C$112,0)</x:f>
        <x:v>4657.4</x:v>
      </x:c>
      <x:c r="K14" s="288" t="n">
        <x:f>IF(4&gt;'02_Assumptions'!$C$17,('04_Planting_Design'!$D$24+'04_Planting_Design'!$D$25)*'02_Assumptions'!$C$112,0)</x:f>
        <x:v>4657.4</x:v>
      </x:c>
      <x:c r="L14" s="288" t="n">
        <x:f>IF(5&gt;'02_Assumptions'!$C$17,('04_Planting_Design'!$D$24+'04_Planting_Design'!$D$25)*'02_Assumptions'!$C$112,0)</x:f>
        <x:v>4657.4</x:v>
      </x:c>
      <x:c r="M14" s="288" t="n">
        <x:f>IF(6&gt;'02_Assumptions'!$C$17,('04_Planting_Design'!$D$24+'04_Planting_Design'!$D$25)*'02_Assumptions'!$C$112,0)</x:f>
        <x:v>4657.4</x:v>
      </x:c>
      <x:c r="N14" s="288" t="n">
        <x:f>IF(7&gt;'02_Assumptions'!$C$17,('04_Planting_Design'!$D$24+'04_Planting_Design'!$D$25)*'02_Assumptions'!$C$112,0)</x:f>
        <x:v>4657.4</x:v>
      </x:c>
      <x:c r="O14" s="288" t="n">
        <x:f>IF(8&gt;'02_Assumptions'!$C$17,('04_Planting_Design'!$D$24+'04_Planting_Design'!$D$25)*'02_Assumptions'!$C$112,0)</x:f>
        <x:v>4657.4</x:v>
      </x:c>
      <x:c r="P14" s="288" t="n">
        <x:f>IF(9&gt;'02_Assumptions'!$C$17,('04_Planting_Design'!$D$24+'04_Planting_Design'!$D$25)*'02_Assumptions'!$C$112,0)</x:f>
        <x:v>4657.4</x:v>
      </x:c>
      <x:c r="Q14" s="288" t="n">
        <x:f>IF(10&gt;'02_Assumptions'!$C$17,('04_Planting_Design'!$D$24+'04_Planting_Design'!$D$25)*'02_Assumptions'!$C$112,0)</x:f>
        <x:v>4657.4</x:v>
      </x:c>
      <x:c r="R14" s="288" t="n">
        <x:f>SUM(H14:Q14)</x:f>
        <x:v>37259.200000000004</x:v>
      </x:c>
      <x:c r="S14" s="287" t="n">
        <x:f>H14*$E14*(1+'02_Assumptions'!$C$11)^0+I14*$E14*(1+'02_Assumptions'!$C$11)^1+J14*$E14*(1+'02_Assumptions'!$C$11)^2+K14*$E14*(1+'02_Assumptions'!$C$11)^3+L14*$E14*(1+'02_Assumptions'!$C$11)^4+M14*$E14*(1+'02_Assumptions'!$C$11)^5+N14*$E14*(1+'02_Assumptions'!$C$11)^6+O14*$E14*(1+'02_Assumptions'!$C$11)^7+P14*$E14*(1+'02_Assumptions'!$C$11)^8+Q14*$E14*(1+'02_Assumptions'!$C$11)^9</x:f>
        <x:v>371329178.5157391</x:v>
      </x:c>
      <x:c r="T14" s="330" t="n">
        <x:v>1</x:v>
      </x:c>
    </x:row>
    <x:row r="15">
      <x:c r="A15" s="264" t="str">
        <x:v>Biological</x:v>
      </x:c>
      <x:c r="B15" s="264" t="str">
        <x:v>Trichoderma/Gliocladium</x:v>
      </x:c>
      <x:c r="C15" s="264" t="str">
        <x:v>Soil-borne disease suppression</x:v>
      </x:c>
      <x:c r="D15" s="264" t="str">
        <x:v>kg</x:v>
      </x:c>
      <x:c r="E15" s="287" t="n">
        <x:f>'02_Assumptions'!$C$78</x:f>
        <x:v>35000</x:v>
      </x:c>
      <x:c r="F15" s="264" t="str">
        <x:v>Generally permitted</x:v>
      </x:c>
      <x:c r="G15" s="264" t="str">
        <x:v>2 applications; carrier quality critical</x:v>
      </x:c>
      <x:c r="H15" s="288" t="n">
        <x:f>'02_Assumptions'!$C$6*'02_Assumptions'!$C$7*10</x:f>
        <x:v>880</x:v>
      </x:c>
      <x:c r="I15" s="288" t="n">
        <x:f>'02_Assumptions'!$C$6*'02_Assumptions'!$C$7*10</x:f>
        <x:v>880</x:v>
      </x:c>
      <x:c r="J15" s="288" t="n">
        <x:f>'02_Assumptions'!$C$6*'02_Assumptions'!$C$7*10</x:f>
        <x:v>880</x:v>
      </x:c>
      <x:c r="K15" s="288" t="n">
        <x:f>'02_Assumptions'!$C$6*'02_Assumptions'!$C$7*10</x:f>
        <x:v>880</x:v>
      </x:c>
      <x:c r="L15" s="288" t="n">
        <x:f>'02_Assumptions'!$C$6*'02_Assumptions'!$C$7*10</x:f>
        <x:v>880</x:v>
      </x:c>
      <x:c r="M15" s="288" t="n">
        <x:f>'02_Assumptions'!$C$6*'02_Assumptions'!$C$7*10</x:f>
        <x:v>880</x:v>
      </x:c>
      <x:c r="N15" s="288" t="n">
        <x:f>'02_Assumptions'!$C$6*'02_Assumptions'!$C$7*10</x:f>
        <x:v>880</x:v>
      </x:c>
      <x:c r="O15" s="288" t="n">
        <x:f>'02_Assumptions'!$C$6*'02_Assumptions'!$C$7*10</x:f>
        <x:v>880</x:v>
      </x:c>
      <x:c r="P15" s="288" t="n">
        <x:f>'02_Assumptions'!$C$6*'02_Assumptions'!$C$7*10</x:f>
        <x:v>880</x:v>
      </x:c>
      <x:c r="Q15" s="288" t="n">
        <x:f>'02_Assumptions'!$C$6*'02_Assumptions'!$C$7*10</x:f>
        <x:v>880</x:v>
      </x:c>
      <x:c r="R15" s="288" t="n">
        <x:f>SUM(H15:Q15)</x:f>
        <x:v>8800</x:v>
      </x:c>
      <x:c r="S15" s="287" t="n">
        <x:f>H15*$E15*(1+'02_Assumptions'!$C$11)^0+I15*$E15*(1+'02_Assumptions'!$C$11)^1+J15*$E15*(1+'02_Assumptions'!$C$11)^2+K15*$E15*(1+'02_Assumptions'!$C$11)^3+L15*$E15*(1+'02_Assumptions'!$C$11)^4+M15*$E15*(1+'02_Assumptions'!$C$11)^5+N15*$E15*(1+'02_Assumptions'!$C$11)^6+O15*$E15*(1+'02_Assumptions'!$C$11)^7+P15*$E15*(1+'02_Assumptions'!$C$11)^8+Q15*$E15*(1+'02_Assumptions'!$C$11)^9</x:f>
        <x:v>369788099.3871249</x:v>
      </x:c>
      <x:c r="T15" s="330" t="n">
        <x:v>1</x:v>
      </x:c>
    </x:row>
    <x:row r="16">
      <x:c r="A16" s="264" t="str">
        <x:v>Bioinsecticide</x:v>
      </x:c>
      <x:c r="B16" s="264" t="str">
        <x:v>Beauveria/Metarhizium</x:v>
      </x:c>
      <x:c r="C16" s="264" t="str">
        <x:v>Banana weevil/coconut beetle IPM</x:v>
      </x:c>
      <x:c r="D16" s="264" t="str">
        <x:v>kg</x:v>
      </x:c>
      <x:c r="E16" s="287" t="n">
        <x:f>'02_Assumptions'!$C$79</x:f>
        <x:v>120000</x:v>
      </x:c>
      <x:c r="F16" s="264" t="str">
        <x:v>Generally permitted</x:v>
      </x:c>
      <x:c r="G16" s="264" t="str">
        <x:v>2 targeted rounds; humidity/viability matter</x:v>
      </x:c>
      <x:c r="H16" s="288" t="n">
        <x:f>'02_Assumptions'!$C$6*'02_Assumptions'!$C$7*4</x:f>
        <x:v>352</x:v>
      </x:c>
      <x:c r="I16" s="288" t="n">
        <x:f>'02_Assumptions'!$C$6*'02_Assumptions'!$C$7*4</x:f>
        <x:v>352</x:v>
      </x:c>
      <x:c r="J16" s="288" t="n">
        <x:f>'02_Assumptions'!$C$6*'02_Assumptions'!$C$7*4</x:f>
        <x:v>352</x:v>
      </x:c>
      <x:c r="K16" s="288" t="n">
        <x:f>'02_Assumptions'!$C$6*'02_Assumptions'!$C$7*4</x:f>
        <x:v>352</x:v>
      </x:c>
      <x:c r="L16" s="288" t="n">
        <x:f>'02_Assumptions'!$C$6*'02_Assumptions'!$C$7*4</x:f>
        <x:v>352</x:v>
      </x:c>
      <x:c r="M16" s="288" t="n">
        <x:f>'02_Assumptions'!$C$6*'02_Assumptions'!$C$7*4</x:f>
        <x:v>352</x:v>
      </x:c>
      <x:c r="N16" s="288" t="n">
        <x:f>'02_Assumptions'!$C$6*'02_Assumptions'!$C$7*4</x:f>
        <x:v>352</x:v>
      </x:c>
      <x:c r="O16" s="288" t="n">
        <x:f>'02_Assumptions'!$C$6*'02_Assumptions'!$C$7*4</x:f>
        <x:v>352</x:v>
      </x:c>
      <x:c r="P16" s="288" t="n">
        <x:f>'02_Assumptions'!$C$6*'02_Assumptions'!$C$7*4</x:f>
        <x:v>352</x:v>
      </x:c>
      <x:c r="Q16" s="288" t="n">
        <x:f>'02_Assumptions'!$C$6*'02_Assumptions'!$C$7*4</x:f>
        <x:v>352</x:v>
      </x:c>
      <x:c r="R16" s="288" t="n">
        <x:f>SUM(H16:Q16)</x:f>
        <x:v>3520</x:v>
      </x:c>
      <x:c r="S16" s="287" t="n">
        <x:f>H16*$E16*(1+'02_Assumptions'!$C$11)^0+I16*$E16*(1+'02_Assumptions'!$C$11)^1+J16*$E16*(1+'02_Assumptions'!$C$11)^2+K16*$E16*(1+'02_Assumptions'!$C$11)^3+L16*$E16*(1+'02_Assumptions'!$C$11)^4+M16*$E16*(1+'02_Assumptions'!$C$11)^5+N16*$E16*(1+'02_Assumptions'!$C$11)^6+O16*$E16*(1+'02_Assumptions'!$C$11)^7+P16*$E16*(1+'02_Assumptions'!$C$11)^8+Q16*$E16*(1+'02_Assumptions'!$C$11)^9</x:f>
        <x:v>507137964.8737712</x:v>
      </x:c>
      <x:c r="T16" s="330" t="n">
        <x:v>1</x:v>
      </x:c>
    </x:row>
    <x:row r="17">
      <x:c r="A17" s="264" t="str">
        <x:v>Bioinsecticide</x:v>
      </x:c>
      <x:c r="B17" s="264" t="str">
        <x:v>Bacillus thuringiensis</x:v>
      </x:c>
      <x:c r="C17" s="264" t="str">
        <x:v>Caterpillars only</x:v>
      </x:c>
      <x:c r="D17" s="264" t="str">
        <x:v>kg</x:v>
      </x:c>
      <x:c r="E17" s="287" t="n">
        <x:f>'02_Assumptions'!$C$80</x:f>
        <x:v>180000</x:v>
      </x:c>
      <x:c r="F17" s="264" t="str">
        <x:v>Generally permitted</x:v>
      </x:c>
      <x:c r="G17" s="264" t="str">
        <x:v>2 rounds allowance, threshold-based</x:v>
      </x:c>
      <x:c r="H17" s="288" t="n">
        <x:f>'02_Assumptions'!$C$6*'02_Assumptions'!$C$7*2</x:f>
        <x:v>176</x:v>
      </x:c>
      <x:c r="I17" s="288" t="n">
        <x:f>'02_Assumptions'!$C$6*'02_Assumptions'!$C$7*2</x:f>
        <x:v>176</x:v>
      </x:c>
      <x:c r="J17" s="288" t="n">
        <x:f>'02_Assumptions'!$C$6*'02_Assumptions'!$C$7*2</x:f>
        <x:v>176</x:v>
      </x:c>
      <x:c r="K17" s="288" t="n">
        <x:f>'02_Assumptions'!$C$6*'02_Assumptions'!$C$7*2</x:f>
        <x:v>176</x:v>
      </x:c>
      <x:c r="L17" s="288" t="n">
        <x:f>'02_Assumptions'!$C$6*'02_Assumptions'!$C$7*2</x:f>
        <x:v>176</x:v>
      </x:c>
      <x:c r="M17" s="288" t="n">
        <x:f>'02_Assumptions'!$C$6*'02_Assumptions'!$C$7*2</x:f>
        <x:v>176</x:v>
      </x:c>
      <x:c r="N17" s="288" t="n">
        <x:f>'02_Assumptions'!$C$6*'02_Assumptions'!$C$7*2</x:f>
        <x:v>176</x:v>
      </x:c>
      <x:c r="O17" s="288" t="n">
        <x:f>'02_Assumptions'!$C$6*'02_Assumptions'!$C$7*2</x:f>
        <x:v>176</x:v>
      </x:c>
      <x:c r="P17" s="288" t="n">
        <x:f>'02_Assumptions'!$C$6*'02_Assumptions'!$C$7*2</x:f>
        <x:v>176</x:v>
      </x:c>
      <x:c r="Q17" s="288" t="n">
        <x:f>'02_Assumptions'!$C$6*'02_Assumptions'!$C$7*2</x:f>
        <x:v>176</x:v>
      </x:c>
      <x:c r="R17" s="288" t="n">
        <x:f>SUM(H17:Q17)</x:f>
        <x:v>1760</x:v>
      </x:c>
      <x:c r="S17" s="287" t="n">
        <x:f>H17*$E17*(1+'02_Assumptions'!$C$11)^0+I17*$E17*(1+'02_Assumptions'!$C$11)^1+J17*$E17*(1+'02_Assumptions'!$C$11)^2+K17*$E17*(1+'02_Assumptions'!$C$11)^3+L17*$E17*(1+'02_Assumptions'!$C$11)^4+M17*$E17*(1+'02_Assumptions'!$C$11)^5+N17*$E17*(1+'02_Assumptions'!$C$11)^6+O17*$E17*(1+'02_Assumptions'!$C$11)^7+P17*$E17*(1+'02_Assumptions'!$C$11)^8+Q17*$E17*(1+'02_Assumptions'!$C$11)^9</x:f>
        <x:v>380353473.6553285</x:v>
      </x:c>
      <x:c r="T17" s="330" t="n">
        <x:v>1</x:v>
      </x:c>
    </x:row>
    <x:row r="18">
      <x:c r="A18" s="264" t="str">
        <x:v>Botanical</x:v>
      </x:c>
      <x:c r="B18" s="264" t="str">
        <x:v>Neem/azadirachtin</x:v>
      </x:c>
      <x:c r="C18" s="264" t="str">
        <x:v>Sucking/chewing pest suppression</x:v>
      </x:c>
      <x:c r="D18" s="264" t="str">
        <x:v>L</x:v>
      </x:c>
      <x:c r="E18" s="287" t="n">
        <x:f>'02_Assumptions'!$C$81</x:f>
        <x:v>120000</x:v>
      </x:c>
      <x:c r="F18" s="264" t="str">
        <x:v>Check product</x:v>
      </x:c>
      <x:c r="G18" s="264" t="str">
        <x:v>3 targeted rounds; not calendar spraying</x:v>
      </x:c>
      <x:c r="H18" s="288" t="n">
        <x:f>'02_Assumptions'!$C$6*'02_Assumptions'!$C$7*9</x:f>
        <x:v>792</x:v>
      </x:c>
      <x:c r="I18" s="288" t="n">
        <x:f>'02_Assumptions'!$C$6*'02_Assumptions'!$C$7*9</x:f>
        <x:v>792</x:v>
      </x:c>
      <x:c r="J18" s="288" t="n">
        <x:f>'02_Assumptions'!$C$6*'02_Assumptions'!$C$7*9</x:f>
        <x:v>792</x:v>
      </x:c>
      <x:c r="K18" s="288" t="n">
        <x:f>'02_Assumptions'!$C$6*'02_Assumptions'!$C$7*9</x:f>
        <x:v>792</x:v>
      </x:c>
      <x:c r="L18" s="288" t="n">
        <x:f>'02_Assumptions'!$C$6*'02_Assumptions'!$C$7*9</x:f>
        <x:v>792</x:v>
      </x:c>
      <x:c r="M18" s="288" t="n">
        <x:f>'02_Assumptions'!$C$6*'02_Assumptions'!$C$7*9</x:f>
        <x:v>792</x:v>
      </x:c>
      <x:c r="N18" s="288" t="n">
        <x:f>'02_Assumptions'!$C$6*'02_Assumptions'!$C$7*9</x:f>
        <x:v>792</x:v>
      </x:c>
      <x:c r="O18" s="288" t="n">
        <x:f>'02_Assumptions'!$C$6*'02_Assumptions'!$C$7*9</x:f>
        <x:v>792</x:v>
      </x:c>
      <x:c r="P18" s="288" t="n">
        <x:f>'02_Assumptions'!$C$6*'02_Assumptions'!$C$7*9</x:f>
        <x:v>792</x:v>
      </x:c>
      <x:c r="Q18" s="288" t="n">
        <x:f>'02_Assumptions'!$C$6*'02_Assumptions'!$C$7*9</x:f>
        <x:v>792</x:v>
      </x:c>
      <x:c r="R18" s="288" t="n">
        <x:f>SUM(H18:Q18)</x:f>
        <x:v>7920</x:v>
      </x:c>
      <x:c r="S18" s="287" t="n">
        <x:f>H18*$E18*(1+'02_Assumptions'!$C$11)^0+I18*$E18*(1+'02_Assumptions'!$C$11)^1+J18*$E18*(1+'02_Assumptions'!$C$11)^2+K18*$E18*(1+'02_Assumptions'!$C$11)^3+L18*$E18*(1+'02_Assumptions'!$C$11)^4+M18*$E18*(1+'02_Assumptions'!$C$11)^5+N18*$E18*(1+'02_Assumptions'!$C$11)^6+O18*$E18*(1+'02_Assumptions'!$C$11)^7+P18*$E18*(1+'02_Assumptions'!$C$11)^8+Q18*$E18*(1+'02_Assumptions'!$C$11)^9</x:f>
        <x:v>1141060420.9659853</x:v>
      </x:c>
      <x:c r="T18" s="330" t="n">
        <x:v>1</x:v>
      </x:c>
    </x:row>
    <x:row r="19">
      <x:c r="A19" s="264" t="str">
        <x:v>Fungicide</x:v>
      </x:c>
      <x:c r="B19" s="264" t="str">
        <x:v>Copper-based input</x:v>
      </x:c>
      <x:c r="C19" s="264" t="str">
        <x:v>Diagnosed fungal/bacterial hotspots</x:v>
      </x:c>
      <x:c r="D19" s="264" t="str">
        <x:v>kg</x:v>
      </x:c>
      <x:c r="E19" s="287" t="n">
        <x:f>'02_Assumptions'!$C$82</x:f>
        <x:v>150000</x:v>
      </x:c>
      <x:c r="F19" s="264" t="str">
        <x:v>Restricted/LSO approval</x:v>
      </x:c>
      <x:c r="G19" s="264" t="str">
        <x:v>50% area x 2 rounds allowance</x:v>
      </x:c>
      <x:c r="H19" s="288" t="n">
        <x:f>'02_Assumptions'!$C$6*'02_Assumptions'!$C$7*2</x:f>
        <x:v>176</x:v>
      </x:c>
      <x:c r="I19" s="288" t="n">
        <x:f>'02_Assumptions'!$C$6*'02_Assumptions'!$C$7*2</x:f>
        <x:v>176</x:v>
      </x:c>
      <x:c r="J19" s="288" t="n">
        <x:f>'02_Assumptions'!$C$6*'02_Assumptions'!$C$7*2</x:f>
        <x:v>176</x:v>
      </x:c>
      <x:c r="K19" s="288" t="n">
        <x:f>'02_Assumptions'!$C$6*'02_Assumptions'!$C$7*2</x:f>
        <x:v>176</x:v>
      </x:c>
      <x:c r="L19" s="288" t="n">
        <x:f>'02_Assumptions'!$C$6*'02_Assumptions'!$C$7*2</x:f>
        <x:v>176</x:v>
      </x:c>
      <x:c r="M19" s="288" t="n">
        <x:f>'02_Assumptions'!$C$6*'02_Assumptions'!$C$7*2</x:f>
        <x:v>176</x:v>
      </x:c>
      <x:c r="N19" s="288" t="n">
        <x:f>'02_Assumptions'!$C$6*'02_Assumptions'!$C$7*2</x:f>
        <x:v>176</x:v>
      </x:c>
      <x:c r="O19" s="288" t="n">
        <x:f>'02_Assumptions'!$C$6*'02_Assumptions'!$C$7*2</x:f>
        <x:v>176</x:v>
      </x:c>
      <x:c r="P19" s="288" t="n">
        <x:f>'02_Assumptions'!$C$6*'02_Assumptions'!$C$7*2</x:f>
        <x:v>176</x:v>
      </x:c>
      <x:c r="Q19" s="288" t="n">
        <x:f>'02_Assumptions'!$C$6*'02_Assumptions'!$C$7*2</x:f>
        <x:v>176</x:v>
      </x:c>
      <x:c r="R19" s="288" t="n">
        <x:f>SUM(H19:Q19)</x:f>
        <x:v>1760</x:v>
      </x:c>
      <x:c r="S19" s="287" t="n">
        <x:f>H19*$E19*(1+'02_Assumptions'!$C$11)^0+I19*$E19*(1+'02_Assumptions'!$C$11)^1+J19*$E19*(1+'02_Assumptions'!$C$11)^2+K19*$E19*(1+'02_Assumptions'!$C$11)^3+L19*$E19*(1+'02_Assumptions'!$C$11)^4+M19*$E19*(1+'02_Assumptions'!$C$11)^5+N19*$E19*(1+'02_Assumptions'!$C$11)^6+O19*$E19*(1+'02_Assumptions'!$C$11)^7+P19*$E19*(1+'02_Assumptions'!$C$11)^8+Q19*$E19*(1+'02_Assumptions'!$C$11)^9</x:f>
        <x:v>316961228.04610705</x:v>
      </x:c>
      <x:c r="T19" s="330" t="n">
        <x:v>1</x:v>
      </x:c>
    </x:row>
    <x:row r="20">
      <x:c r="A20" s="264" t="str">
        <x:v>Monitoring</x:v>
      </x:c>
      <x:c r="B20" s="264" t="str">
        <x:v>Pheromone lure</x:v>
      </x:c>
      <x:c r="C20" s="264" t="str">
        <x:v>Oryctes/Rhynchophorus surveillance</x:v>
      </x:c>
      <x:c r="D20" s="264" t="str">
        <x:v>lure</x:v>
      </x:c>
      <x:c r="E20" s="287" t="n">
        <x:f>'02_Assumptions'!$C$84</x:f>
        <x:v>200000</x:v>
      </x:c>
      <x:c r="F20" s="264" t="str">
        <x:v>Permitted</x:v>
      </x:c>
      <x:c r="G20" s="264" t="str">
        <x:v>1 trap/2 ha, lure quarterly</x:v>
      </x:c>
      <x:c r="H20" s="288" t="n">
        <x:f>'02_Assumptions'!$C$6*'02_Assumptions'!$C$7/2*4</x:f>
        <x:v>176</x:v>
      </x:c>
      <x:c r="I20" s="288" t="n">
        <x:f>'02_Assumptions'!$C$6*'02_Assumptions'!$C$7/2*4</x:f>
        <x:v>176</x:v>
      </x:c>
      <x:c r="J20" s="288" t="n">
        <x:f>'02_Assumptions'!$C$6*'02_Assumptions'!$C$7/2*4</x:f>
        <x:v>176</x:v>
      </x:c>
      <x:c r="K20" s="288" t="n">
        <x:f>'02_Assumptions'!$C$6*'02_Assumptions'!$C$7/2*4</x:f>
        <x:v>176</x:v>
      </x:c>
      <x:c r="L20" s="288" t="n">
        <x:f>'02_Assumptions'!$C$6*'02_Assumptions'!$C$7/2*4</x:f>
        <x:v>176</x:v>
      </x:c>
      <x:c r="M20" s="288" t="n">
        <x:f>'02_Assumptions'!$C$6*'02_Assumptions'!$C$7/2*4</x:f>
        <x:v>176</x:v>
      </x:c>
      <x:c r="N20" s="288" t="n">
        <x:f>'02_Assumptions'!$C$6*'02_Assumptions'!$C$7/2*4</x:f>
        <x:v>176</x:v>
      </x:c>
      <x:c r="O20" s="288" t="n">
        <x:f>'02_Assumptions'!$C$6*'02_Assumptions'!$C$7/2*4</x:f>
        <x:v>176</x:v>
      </x:c>
      <x:c r="P20" s="288" t="n">
        <x:f>'02_Assumptions'!$C$6*'02_Assumptions'!$C$7/2*4</x:f>
        <x:v>176</x:v>
      </x:c>
      <x:c r="Q20" s="288" t="n">
        <x:f>'02_Assumptions'!$C$6*'02_Assumptions'!$C$7/2*4</x:f>
        <x:v>176</x:v>
      </x:c>
      <x:c r="R20" s="288" t="n">
        <x:f>SUM(H20:Q20)</x:f>
        <x:v>1760</x:v>
      </x:c>
      <x:c r="S20" s="287" t="n">
        <x:f>H20*$E20*(1+'02_Assumptions'!$C$11)^0+I20*$E20*(1+'02_Assumptions'!$C$11)^1+J20*$E20*(1+'02_Assumptions'!$C$11)^2+K20*$E20*(1+'02_Assumptions'!$C$11)^3+L20*$E20*(1+'02_Assumptions'!$C$11)^4+M20*$E20*(1+'02_Assumptions'!$C$11)^5+N20*$E20*(1+'02_Assumptions'!$C$11)^6+O20*$E20*(1+'02_Assumptions'!$C$11)^7+P20*$E20*(1+'02_Assumptions'!$C$11)^8+Q20*$E20*(1+'02_Assumptions'!$C$11)^9</x:f>
        <x:v>422614970.72814274</x:v>
      </x:c>
      <x:c r="T20" s="330" t="n">
        <x:v>1</x:v>
      </x:c>
    </x:row>
    <x:row r="21">
      <x:c r="A21" s="264" t="str">
        <x:v>Monitoring</x:v>
      </x:c>
      <x:c r="B21" s="264" t="str">
        <x:v>Sticky trap</x:v>
      </x:c>
      <x:c r="C21" s="264" t="str">
        <x:v>Monitoring flying insects</x:v>
      </x:c>
      <x:c r="D21" s="264" t="str">
        <x:v>unit</x:v>
      </x:c>
      <x:c r="E21" s="287" t="n">
        <x:f>'02_Assumptions'!$C$85</x:f>
        <x:v>5000</x:v>
      </x:c>
      <x:c r="F21" s="264" t="str">
        <x:v>Permitted</x:v>
      </x:c>
      <x:c r="G21" s="264" t="str">
        <x:v>10/ha x 2 replacements</x:v>
      </x:c>
      <x:c r="H21" s="288" t="n">
        <x:f>'02_Assumptions'!$C$6*'02_Assumptions'!$C$7*20</x:f>
        <x:v>1760</x:v>
      </x:c>
      <x:c r="I21" s="288" t="n">
        <x:f>'02_Assumptions'!$C$6*'02_Assumptions'!$C$7*20</x:f>
        <x:v>1760</x:v>
      </x:c>
      <x:c r="J21" s="288" t="n">
        <x:f>'02_Assumptions'!$C$6*'02_Assumptions'!$C$7*20</x:f>
        <x:v>1760</x:v>
      </x:c>
      <x:c r="K21" s="288" t="n">
        <x:f>'02_Assumptions'!$C$6*'02_Assumptions'!$C$7*20</x:f>
        <x:v>1760</x:v>
      </x:c>
      <x:c r="L21" s="288" t="n">
        <x:f>'02_Assumptions'!$C$6*'02_Assumptions'!$C$7*20</x:f>
        <x:v>1760</x:v>
      </x:c>
      <x:c r="M21" s="288" t="n">
        <x:f>'02_Assumptions'!$C$6*'02_Assumptions'!$C$7*20</x:f>
        <x:v>1760</x:v>
      </x:c>
      <x:c r="N21" s="288" t="n">
        <x:f>'02_Assumptions'!$C$6*'02_Assumptions'!$C$7*20</x:f>
        <x:v>1760</x:v>
      </x:c>
      <x:c r="O21" s="288" t="n">
        <x:f>'02_Assumptions'!$C$6*'02_Assumptions'!$C$7*20</x:f>
        <x:v>1760</x:v>
      </x:c>
      <x:c r="P21" s="288" t="n">
        <x:f>'02_Assumptions'!$C$6*'02_Assumptions'!$C$7*20</x:f>
        <x:v>1760</x:v>
      </x:c>
      <x:c r="Q21" s="288" t="n">
        <x:f>'02_Assumptions'!$C$6*'02_Assumptions'!$C$7*20</x:f>
        <x:v>1760</x:v>
      </x:c>
      <x:c r="R21" s="288" t="n">
        <x:f>SUM(H21:Q21)</x:f>
        <x:v>17600</x:v>
      </x:c>
      <x:c r="S21" s="287" t="n">
        <x:f>H21*$E21*(1+'02_Assumptions'!$C$11)^0+I21*$E21*(1+'02_Assumptions'!$C$11)^1+J21*$E21*(1+'02_Assumptions'!$C$11)^2+K21*$E21*(1+'02_Assumptions'!$C$11)^3+L21*$E21*(1+'02_Assumptions'!$C$11)^4+M21*$E21*(1+'02_Assumptions'!$C$11)^5+N21*$E21*(1+'02_Assumptions'!$C$11)^6+O21*$E21*(1+'02_Assumptions'!$C$11)^7+P21*$E21*(1+'02_Assumptions'!$C$11)^8+Q21*$E21*(1+'02_Assumptions'!$C$11)^9</x:f>
        <x:v>105653742.68203568</x:v>
      </x:c>
      <x:c r="T21" s="330" t="n">
        <x:v>1</x:v>
      </x:c>
    </x:row>
    <x:row r="22">
      <x:c r="A22" s="264" t="str">
        <x:v>Biosecurity</x:v>
      </x:c>
      <x:c r="B22" s="264" t="str">
        <x:v>Disinfectant</x:v>
      </x:c>
      <x:c r="C22" s="264" t="str">
        <x:v>Tools, footwear, nursery</x:v>
      </x:c>
      <x:c r="D22" s="264" t="str">
        <x:v>L</x:v>
      </x:c>
      <x:c r="E22" s="287" t="n">
        <x:f>'02_Assumptions'!$C$86</x:f>
        <x:v>50000</x:v>
      </x:c>
      <x:c r="F22" s="264" t="str">
        <x:v>Check product</x:v>
      </x:c>
      <x:c r="G22" s="264" t="str">
        <x:v>Dedicated banana tools/footbath</x:v>
      </x:c>
      <x:c r="H22" s="288" t="n">
        <x:f>'02_Assumptions'!$C$6*'02_Assumptions'!$C$7*2</x:f>
        <x:v>176</x:v>
      </x:c>
      <x:c r="I22" s="288" t="n">
        <x:f>'02_Assumptions'!$C$6*'02_Assumptions'!$C$7*2</x:f>
        <x:v>176</x:v>
      </x:c>
      <x:c r="J22" s="288" t="n">
        <x:f>'02_Assumptions'!$C$6*'02_Assumptions'!$C$7*2</x:f>
        <x:v>176</x:v>
      </x:c>
      <x:c r="K22" s="288" t="n">
        <x:f>'02_Assumptions'!$C$6*'02_Assumptions'!$C$7*2</x:f>
        <x:v>176</x:v>
      </x:c>
      <x:c r="L22" s="288" t="n">
        <x:f>'02_Assumptions'!$C$6*'02_Assumptions'!$C$7*2</x:f>
        <x:v>176</x:v>
      </x:c>
      <x:c r="M22" s="288" t="n">
        <x:f>'02_Assumptions'!$C$6*'02_Assumptions'!$C$7*2</x:f>
        <x:v>176</x:v>
      </x:c>
      <x:c r="N22" s="288" t="n">
        <x:f>'02_Assumptions'!$C$6*'02_Assumptions'!$C$7*2</x:f>
        <x:v>176</x:v>
      </x:c>
      <x:c r="O22" s="288" t="n">
        <x:f>'02_Assumptions'!$C$6*'02_Assumptions'!$C$7*2</x:f>
        <x:v>176</x:v>
      </x:c>
      <x:c r="P22" s="288" t="n">
        <x:f>'02_Assumptions'!$C$6*'02_Assumptions'!$C$7*2</x:f>
        <x:v>176</x:v>
      </x:c>
      <x:c r="Q22" s="288" t="n">
        <x:f>'02_Assumptions'!$C$6*'02_Assumptions'!$C$7*2</x:f>
        <x:v>176</x:v>
      </x:c>
      <x:c r="R22" s="288" t="n">
        <x:f>SUM(H22:Q22)</x:f>
        <x:v>1760</x:v>
      </x:c>
      <x:c r="S22" s="287" t="n">
        <x:f>H22*$E22*(1+'02_Assumptions'!$C$11)^0+I22*$E22*(1+'02_Assumptions'!$C$11)^1+J22*$E22*(1+'02_Assumptions'!$C$11)^2+K22*$E22*(1+'02_Assumptions'!$C$11)^3+L22*$E22*(1+'02_Assumptions'!$C$11)^4+M22*$E22*(1+'02_Assumptions'!$C$11)^5+N22*$E22*(1+'02_Assumptions'!$C$11)^6+O22*$E22*(1+'02_Assumptions'!$C$11)^7+P22*$E22*(1+'02_Assumptions'!$C$11)^8+Q22*$E22*(1+'02_Assumptions'!$C$11)^9</x:f>
        <x:v>105653742.68203568</x:v>
      </x:c>
      <x:c r="T22" s="330" t="n">
        <x:v>1</x:v>
      </x:c>
    </x:row>
    <x:row r="23">
      <x:c r="A23" s="264" t="str">
        <x:v>Herbicide</x:v>
      </x:c>
      <x:c r="B23" s="264" t="str">
        <x:v>Glyphosate spot only</x:v>
      </x:c>
      <x:c r="C23" s="264" t="str">
        <x:v>Hard-to-control weeds</x:v>
      </x:c>
      <x:c r="D23" s="264" t="str">
        <x:v>L</x:v>
      </x:c>
      <x:c r="E23" s="287" t="n">
        <x:f>'02_Assumptions'!$C$83</x:f>
        <x:v>65000</x:v>
      </x:c>
      <x:c r="F23" s="264" t="str">
        <x:v>Prohibited organic</x:v>
      </x:c>
      <x:c r="G23" s="264" t="str">
        <x:v>Transition years only; no paraquat; spot, not blanket</x:v>
      </x:c>
      <x:c r="H23" s="288" t="n">
        <x:f>IF(1&lt;='02_Assumptions'!$C$17,'02_Assumptions'!$C$6*'02_Assumptions'!$C$7*2,0)</x:f>
        <x:v>176</x:v>
      </x:c>
      <x:c r="I23" s="288" t="n">
        <x:f>IF(2&lt;='02_Assumptions'!$C$17,'02_Assumptions'!$C$6*'02_Assumptions'!$C$7*2,0)</x:f>
        <x:v>176</x:v>
      </x:c>
      <x:c r="J23" s="288" t="n">
        <x:f>IF(3&lt;='02_Assumptions'!$C$17,'02_Assumptions'!$C$6*'02_Assumptions'!$C$7*2,0)</x:f>
        <x:v>0</x:v>
      </x:c>
      <x:c r="K23" s="288" t="n">
        <x:f>IF(4&lt;='02_Assumptions'!$C$17,'02_Assumptions'!$C$6*'02_Assumptions'!$C$7*2,0)</x:f>
        <x:v>0</x:v>
      </x:c>
      <x:c r="L23" s="288" t="n">
        <x:f>IF(5&lt;='02_Assumptions'!$C$17,'02_Assumptions'!$C$6*'02_Assumptions'!$C$7*2,0)</x:f>
        <x:v>0</x:v>
      </x:c>
      <x:c r="M23" s="288" t="n">
        <x:f>IF(6&lt;='02_Assumptions'!$C$17,'02_Assumptions'!$C$6*'02_Assumptions'!$C$7*2,0)</x:f>
        <x:v>0</x:v>
      </x:c>
      <x:c r="N23" s="288" t="n">
        <x:f>IF(7&lt;='02_Assumptions'!$C$17,'02_Assumptions'!$C$6*'02_Assumptions'!$C$7*2,0)</x:f>
        <x:v>0</x:v>
      </x:c>
      <x:c r="O23" s="288" t="n">
        <x:f>IF(8&lt;='02_Assumptions'!$C$17,'02_Assumptions'!$C$6*'02_Assumptions'!$C$7*2,0)</x:f>
        <x:v>0</x:v>
      </x:c>
      <x:c r="P23" s="288" t="n">
        <x:f>IF(9&lt;='02_Assumptions'!$C$17,'02_Assumptions'!$C$6*'02_Assumptions'!$C$7*2,0)</x:f>
        <x:v>0</x:v>
      </x:c>
      <x:c r="Q23" s="288" t="n">
        <x:f>IF(10&lt;='02_Assumptions'!$C$17,'02_Assumptions'!$C$6*'02_Assumptions'!$C$7*2,0)</x:f>
        <x:v>0</x:v>
      </x:c>
      <x:c r="R23" s="288" t="n">
        <x:f>SUM(H23:Q23)</x:f>
        <x:v>352</x:v>
      </x:c>
      <x:c r="S23" s="287" t="n">
        <x:f>H23*$E23*(1+'02_Assumptions'!$C$11)^0+I23*$E23*(1+'02_Assumptions'!$C$11)^1+J23*$E23*(1+'02_Assumptions'!$C$11)^2+K23*$E23*(1+'02_Assumptions'!$C$11)^3+L23*$E23*(1+'02_Assumptions'!$C$11)^4+M23*$E23*(1+'02_Assumptions'!$C$11)^5+N23*$E23*(1+'02_Assumptions'!$C$11)^6+O23*$E23*(1+'02_Assumptions'!$C$11)^7+P23*$E23*(1+'02_Assumptions'!$C$11)^8+Q23*$E23*(1+'02_Assumptions'!$C$11)^9</x:f>
        <x:v>23337600</x:v>
      </x:c>
      <x:c r="T23" s="330" t="n">
        <x:v>1</x:v>
      </x:c>
    </x:row>
    <x:row r="24">
      <x:c r="A24" s="264" t="str">
        <x:v>Chemical contingency</x:v>
      </x:c>
      <x:c r="B24" s="264" t="str">
        <x:v>Registered fungicide</x:v>
      </x:c>
      <x:c r="C24" s="264" t="str">
        <x:v>Only laboratory/field diagnosis</x:v>
      </x:c>
      <x:c r="D24" s="264" t="str">
        <x:v>kg</x:v>
      </x:c>
      <x:c r="E24" s="287" t="n">
        <x:f>'02_Assumptions'!$C$87</x:f>
        <x:v>250000</x:v>
      </x:c>
      <x:c r="F24" s="264" t="str">
        <x:v>Prohibited organic</x:v>
      </x:c>
      <x:c r="G24" s="264" t="str">
        <x:v>25% hotspot allowance in transition</x:v>
      </x:c>
      <x:c r="H24" s="288" t="n">
        <x:f>IF(1&lt;='02_Assumptions'!$C$17,'02_Assumptions'!$C$6*'02_Assumptions'!$C$7*0.5,0)</x:f>
        <x:v>44</x:v>
      </x:c>
      <x:c r="I24" s="288" t="n">
        <x:f>IF(2&lt;='02_Assumptions'!$C$17,'02_Assumptions'!$C$6*'02_Assumptions'!$C$7*0.5,0)</x:f>
        <x:v>44</x:v>
      </x:c>
      <x:c r="J24" s="288" t="n">
        <x:f>IF(3&lt;='02_Assumptions'!$C$17,'02_Assumptions'!$C$6*'02_Assumptions'!$C$7*0.5,0)</x:f>
        <x:v>0</x:v>
      </x:c>
      <x:c r="K24" s="288" t="n">
        <x:f>IF(4&lt;='02_Assumptions'!$C$17,'02_Assumptions'!$C$6*'02_Assumptions'!$C$7*0.5,0)</x:f>
        <x:v>0</x:v>
      </x:c>
      <x:c r="L24" s="288" t="n">
        <x:f>IF(5&lt;='02_Assumptions'!$C$17,'02_Assumptions'!$C$6*'02_Assumptions'!$C$7*0.5,0)</x:f>
        <x:v>0</x:v>
      </x:c>
      <x:c r="M24" s="288" t="n">
        <x:f>IF(6&lt;='02_Assumptions'!$C$17,'02_Assumptions'!$C$6*'02_Assumptions'!$C$7*0.5,0)</x:f>
        <x:v>0</x:v>
      </x:c>
      <x:c r="N24" s="288" t="n">
        <x:f>IF(7&lt;='02_Assumptions'!$C$17,'02_Assumptions'!$C$6*'02_Assumptions'!$C$7*0.5,0)</x:f>
        <x:v>0</x:v>
      </x:c>
      <x:c r="O24" s="288" t="n">
        <x:f>IF(8&lt;='02_Assumptions'!$C$17,'02_Assumptions'!$C$6*'02_Assumptions'!$C$7*0.5,0)</x:f>
        <x:v>0</x:v>
      </x:c>
      <x:c r="P24" s="288" t="n">
        <x:f>IF(9&lt;='02_Assumptions'!$C$17,'02_Assumptions'!$C$6*'02_Assumptions'!$C$7*0.5,0)</x:f>
        <x:v>0</x:v>
      </x:c>
      <x:c r="Q24" s="288" t="n">
        <x:f>IF(10&lt;='02_Assumptions'!$C$17,'02_Assumptions'!$C$6*'02_Assumptions'!$C$7*0.5,0)</x:f>
        <x:v>0</x:v>
      </x:c>
      <x:c r="R24" s="288" t="n">
        <x:f>SUM(H24:Q24)</x:f>
        <x:v>88</x:v>
      </x:c>
      <x:c r="S24" s="287" t="n">
        <x:f>H24*$E24*(1+'02_Assumptions'!$C$11)^0+I24*$E24*(1+'02_Assumptions'!$C$11)^1+J24*$E24*(1+'02_Assumptions'!$C$11)^2+K24*$E24*(1+'02_Assumptions'!$C$11)^3+L24*$E24*(1+'02_Assumptions'!$C$11)^4+M24*$E24*(1+'02_Assumptions'!$C$11)^5+N24*$E24*(1+'02_Assumptions'!$C$11)^6+O24*$E24*(1+'02_Assumptions'!$C$11)^7+P24*$E24*(1+'02_Assumptions'!$C$11)^8+Q24*$E24*(1+'02_Assumptions'!$C$11)^9</x:f>
        <x:v>22440000</x:v>
      </x:c>
      <x:c r="T24" s="330" t="n">
        <x:v>1</x:v>
      </x:c>
    </x:row>
    <x:row r="25">
      <x:c r="A25" s="264" t="str">
        <x:v>Chemical contingency</x:v>
      </x:c>
      <x:c r="B25" s="264" t="str">
        <x:v>Registered insecticide</x:v>
      </x:c>
      <x:c r="C25" s="264" t="str">
        <x:v>Only threshold &amp; registered label</x:v>
      </x:c>
      <x:c r="D25" s="264" t="str">
        <x:v>L</x:v>
      </x:c>
      <x:c r="E25" s="287" t="n">
        <x:f>'02_Assumptions'!$C$88</x:f>
        <x:v>300000</x:v>
      </x:c>
      <x:c r="F25" s="264" t="str">
        <x:v>Prohibited organic</x:v>
      </x:c>
      <x:c r="G25" s="264" t="str">
        <x:v>25% hotspot allowance in transition</x:v>
      </x:c>
      <x:c r="H25" s="288" t="n">
        <x:f>IF(1&lt;='02_Assumptions'!$C$17,'02_Assumptions'!$C$6*'02_Assumptions'!$C$7*0.25,0)</x:f>
        <x:v>22</x:v>
      </x:c>
      <x:c r="I25" s="288" t="n">
        <x:f>IF(2&lt;='02_Assumptions'!$C$17,'02_Assumptions'!$C$6*'02_Assumptions'!$C$7*0.25,0)</x:f>
        <x:v>22</x:v>
      </x:c>
      <x:c r="J25" s="288" t="n">
        <x:f>IF(3&lt;='02_Assumptions'!$C$17,'02_Assumptions'!$C$6*'02_Assumptions'!$C$7*0.25,0)</x:f>
        <x:v>0</x:v>
      </x:c>
      <x:c r="K25" s="288" t="n">
        <x:f>IF(4&lt;='02_Assumptions'!$C$17,'02_Assumptions'!$C$6*'02_Assumptions'!$C$7*0.25,0)</x:f>
        <x:v>0</x:v>
      </x:c>
      <x:c r="L25" s="288" t="n">
        <x:f>IF(5&lt;='02_Assumptions'!$C$17,'02_Assumptions'!$C$6*'02_Assumptions'!$C$7*0.25,0)</x:f>
        <x:v>0</x:v>
      </x:c>
      <x:c r="M25" s="288" t="n">
        <x:f>IF(6&lt;='02_Assumptions'!$C$17,'02_Assumptions'!$C$6*'02_Assumptions'!$C$7*0.25,0)</x:f>
        <x:v>0</x:v>
      </x:c>
      <x:c r="N25" s="288" t="n">
        <x:f>IF(7&lt;='02_Assumptions'!$C$17,'02_Assumptions'!$C$6*'02_Assumptions'!$C$7*0.25,0)</x:f>
        <x:v>0</x:v>
      </x:c>
      <x:c r="O25" s="288" t="n">
        <x:f>IF(8&lt;='02_Assumptions'!$C$17,'02_Assumptions'!$C$6*'02_Assumptions'!$C$7*0.25,0)</x:f>
        <x:v>0</x:v>
      </x:c>
      <x:c r="P25" s="288" t="n">
        <x:f>IF(9&lt;='02_Assumptions'!$C$17,'02_Assumptions'!$C$6*'02_Assumptions'!$C$7*0.25,0)</x:f>
        <x:v>0</x:v>
      </x:c>
      <x:c r="Q25" s="288" t="n">
        <x:f>IF(10&lt;='02_Assumptions'!$C$17,'02_Assumptions'!$C$6*'02_Assumptions'!$C$7*0.25,0)</x:f>
        <x:v>0</x:v>
      </x:c>
      <x:c r="R25" s="288" t="n">
        <x:f>SUM(H25:Q25)</x:f>
        <x:v>44</x:v>
      </x:c>
      <x:c r="S25" s="287" t="n">
        <x:f>H25*$E25*(1+'02_Assumptions'!$C$11)^0+I25*$E25*(1+'02_Assumptions'!$C$11)^1+J25*$E25*(1+'02_Assumptions'!$C$11)^2+K25*$E25*(1+'02_Assumptions'!$C$11)^3+L25*$E25*(1+'02_Assumptions'!$C$11)^4+M25*$E25*(1+'02_Assumptions'!$C$11)^5+N25*$E25*(1+'02_Assumptions'!$C$11)^6+O25*$E25*(1+'02_Assumptions'!$C$11)^7+P25*$E25*(1+'02_Assumptions'!$C$11)^8+Q25*$E25*(1+'02_Assumptions'!$C$11)^9</x:f>
        <x:v>13464000</x:v>
      </x:c>
      <x:c r="T25" s="330" t="n">
        <x:v>1</x:v>
      </x:c>
    </x:row>
    <x:row r="26">
      <x:c r="A26" s="264"/>
      <x:c r="B26" s="264"/>
      <x:c r="C26" s="264"/>
      <x:c r="D26" s="264"/>
      <x:c r="E26" s="264"/>
      <x:c r="F26" s="264"/>
      <x:c r="G26" s="264"/>
      <x:c r="H26" s="264"/>
      <x:c r="I26" s="264"/>
      <x:c r="J26" s="264"/>
      <x:c r="K26" s="264"/>
      <x:c r="L26" s="264"/>
      <x:c r="M26" s="264"/>
      <x:c r="N26" s="264"/>
      <x:c r="O26" s="264"/>
      <x:c r="P26" s="264"/>
      <x:c r="Q26" s="264"/>
      <x:c r="R26" s="264"/>
      <x:c r="S26" s="264"/>
      <x:c r="T26" s="261"/>
    </x:row>
    <x:row r="27">
      <x:c r="A27" s="264"/>
      <x:c r="B27" s="264"/>
      <x:c r="C27" s="264"/>
      <x:c r="D27" s="264"/>
      <x:c r="E27" s="264"/>
      <x:c r="F27" s="264"/>
      <x:c r="G27" s="264"/>
      <x:c r="H27" s="264"/>
      <x:c r="I27" s="264"/>
      <x:c r="J27" s="264"/>
      <x:c r="K27" s="264"/>
      <x:c r="L27" s="264"/>
      <x:c r="M27" s="264"/>
      <x:c r="N27" s="264"/>
      <x:c r="O27" s="264"/>
      <x:c r="P27" s="264"/>
      <x:c r="Q27" s="264"/>
      <x:c r="R27" s="264"/>
      <x:c r="S27" s="264"/>
      <x:c r="T27" s="261"/>
    </x:row>
    <x:row r="28" ht="20" customHeight="1">
      <x:c r="A28" s="69" t="str">
        <x:v>B. Ringkasan biaya input pertanian tahunan</x:v>
      </x:c>
      <x:c r="B28" s="69"/>
      <x:c r="C28" s="69"/>
      <x:c r="D28" s="69"/>
      <x:c r="E28" s="69"/>
      <x:c r="F28" s="69"/>
      <x:c r="G28" s="69"/>
      <x:c r="H28" s="69"/>
      <x:c r="I28" s="69"/>
      <x:c r="J28" s="69"/>
      <x:c r="K28" s="69"/>
      <x:c r="L28" s="264"/>
      <x:c r="M28" s="264"/>
      <x:c r="N28" s="264"/>
      <x:c r="O28" s="264"/>
      <x:c r="P28" s="264"/>
      <x:c r="Q28" s="264"/>
      <x:c r="R28" s="264"/>
      <x:c r="S28" s="264"/>
      <x:c r="T28" s="261"/>
    </x:row>
    <x:row r="29" ht="30" customHeight="1">
      <x:c r="A29" s="34" t="str">
        <x:v>Kelompok biaya</x:v>
      </x:c>
      <x:c r="B29" s="35" t="str">
        <x:v>T1</x:v>
      </x:c>
      <x:c r="C29" s="35" t="str">
        <x:v>T2</x:v>
      </x:c>
      <x:c r="D29" s="35" t="str">
        <x:v>T3</x:v>
      </x:c>
      <x:c r="E29" s="35" t="str">
        <x:v>T4</x:v>
      </x:c>
      <x:c r="F29" s="35" t="str">
        <x:v>T5</x:v>
      </x:c>
      <x:c r="G29" s="35" t="str">
        <x:v>T6</x:v>
      </x:c>
      <x:c r="H29" s="35" t="str">
        <x:v>T7</x:v>
      </x:c>
      <x:c r="I29" s="35" t="str">
        <x:v>T8</x:v>
      </x:c>
      <x:c r="J29" s="35" t="str">
        <x:v>T9</x:v>
      </x:c>
      <x:c r="K29" s="36" t="str">
        <x:v>T10</x:v>
      </x:c>
      <x:c r="L29" s="264"/>
      <x:c r="M29" s="264"/>
      <x:c r="N29" s="264"/>
      <x:c r="O29" s="264"/>
      <x:c r="P29" s="264"/>
      <x:c r="Q29" s="264"/>
      <x:c r="R29" s="264"/>
      <x:c r="S29" s="264"/>
      <x:c r="T29" s="261"/>
    </x:row>
    <x:row r="30">
      <x:c r="A30" s="264" t="str">
        <x:v>Pupuk sintetis</x:v>
      </x:c>
      <x:c r="B30" s="295" t="n">
        <x:f>SUMPRODUCT(H$5:H$9,$E$5:$E$9,$T$5:$T$9)*(1+'02_Assumptions'!$C$11)^0</x:f>
        <x:v>210837220</x:v>
      </x:c>
      <x:c r="C30" s="295" t="n">
        <x:f>SUMPRODUCT(I$5:I$9,$E$5:$E$9,$T$5:$T$9)*(1+'02_Assumptions'!$C$11)^1</x:f>
        <x:v>228834869.12</x:v>
      </x:c>
      <x:c r="D30" s="295" t="n">
        <x:f>SUMPRODUCT(J$5:J$9,$E$5:$E$9,$T$5:$T$9)*(1+'02_Assumptions'!$C$11)^2</x:f>
        <x:v>0</x:v>
      </x:c>
      <x:c r="E30" s="295" t="n">
        <x:f>SUMPRODUCT(K$5:K$9,$E$5:$E$9,$T$5:$T$9)*(1+'02_Assumptions'!$C$11)^3</x:f>
        <x:v>0</x:v>
      </x:c>
      <x:c r="F30" s="295" t="n">
        <x:f>SUMPRODUCT(L$5:L$9,$E$5:$E$9,$T$5:$T$9)*(1+'02_Assumptions'!$C$11)^4</x:f>
        <x:v>0</x:v>
      </x:c>
      <x:c r="G30" s="295" t="n">
        <x:f>SUMPRODUCT(M$5:M$9,$E$5:$E$9,$T$5:$T$9)*(1+'02_Assumptions'!$C$11)^5</x:f>
        <x:v>0</x:v>
      </x:c>
      <x:c r="H30" s="295" t="n">
        <x:f>SUMPRODUCT(N$5:N$9,$E$5:$E$9,$T$5:$T$9)*(1+'02_Assumptions'!$C$11)^6</x:f>
        <x:v>0</x:v>
      </x:c>
      <x:c r="I30" s="295" t="n">
        <x:f>SUMPRODUCT(O$5:O$9,$E$5:$E$9,$T$5:$T$9)*(1+'02_Assumptions'!$C$11)^7</x:f>
        <x:v>0</x:v>
      </x:c>
      <x:c r="J30" s="295" t="n">
        <x:f>SUMPRODUCT(P$5:P$9,$E$5:$E$9,$T$5:$T$9)*(1+'02_Assumptions'!$C$11)^8</x:f>
        <x:v>0</x:v>
      </x:c>
      <x:c r="K30" s="295" t="n">
        <x:f>SUMPRODUCT(Q$5:Q$9,$E$5:$E$9,$T$5:$T$9)*(1+'02_Assumptions'!$C$11)^9</x:f>
        <x:v>0</x:v>
      </x:c>
      <x:c r="L30" s="264"/>
      <x:c r="M30" s="264"/>
      <x:c r="N30" s="264"/>
      <x:c r="O30" s="264"/>
      <x:c r="P30" s="264"/>
      <x:c r="Q30" s="264"/>
      <x:c r="R30" s="264"/>
      <x:c r="S30" s="264"/>
      <x:c r="T30" s="261"/>
    </x:row>
    <x:row r="31">
      <x:c r="A31" s="264" t="str">
        <x:v>Bahan organik dan tanah</x:v>
      </x:c>
      <x:c r="B31" s="295" t="n">
        <x:f>SUMPRODUCT(H$10:H$14,$E$10:$E$14,$T$10:$T$14)*(1+'02_Assumptions'!$C$11)^0</x:f>
        <x:v>236525300</x:v>
      </x:c>
      <x:c r="C31" s="295" t="n">
        <x:f>SUMPRODUCT(I$10:I$14,$E$10:$E$14,$T$10:$T$14)*(1+'02_Assumptions'!$C$11)^1</x:f>
        <x:v>340644304</x:v>
      </x:c>
      <x:c r="D31" s="295" t="n">
        <x:f>SUMPRODUCT(J$10:J$14,$E$10:$E$14,$T$10:$T$14)*(1+'02_Assumptions'!$C$11)^2</x:f>
        <x:v>338513132.67200005</x:v>
      </x:c>
      <x:c r="E31" s="295" t="n">
        <x:f>SUMPRODUCT(K$10:K$14,$E$10:$E$14,$T$10:$T$14)*(1+'02_Assumptions'!$C$11)^3</x:f>
        <x:v>352756473.00608003</x:v>
      </x:c>
      <x:c r="F31" s="295" t="n">
        <x:f>SUMPRODUCT(L$10:L$14,$E$10:$E$14,$T$10:$T$14)*(1+'02_Assumptions'!$C$11)^4</x:f>
        <x:v>305426345.28440326</x:v>
      </x:c>
      <x:c r="G31" s="295" t="n">
        <x:f>SUMPRODUCT(M$10:M$14,$E$10:$E$14,$T$10:$T$14)*(1+'02_Assumptions'!$C$11)^5</x:f>
        <x:v>372209308.44609743</x:v>
      </x:c>
      <x:c r="H31" s="295" t="n">
        <x:f>SUMPRODUCT(N$10:N$14,$E$10:$E$14,$T$10:$T$14)*(1+'02_Assumptions'!$C$11)^6</x:f>
        <x:v>352272178.90597415</x:v>
      </x:c>
      <x:c r="I31" s="295" t="n">
        <x:f>SUMPRODUCT(O$10:O$14,$E$10:$E$14,$T$10:$T$14)*(1+'02_Assumptions'!$C$11)^7</x:f>
        <x:v>453214563.49177855</x:v>
      </x:c>
      <x:c r="J31" s="295" t="n">
        <x:f>SUMPRODUCT(P$10:P$14,$E$10:$E$14,$T$10:$T$14)*(1+'02_Assumptions'!$C$11)^8</x:f>
        <x:v>381017588.7047016</x:v>
      </x:c>
      <x:c r="K31" s="295" t="n">
        <x:f>SUMPRODUCT(Q$10:Q$14,$E$10:$E$14,$T$10:$T$14)*(1+'02_Assumptions'!$C$11)^9</x:f>
        <x:v>490196871.8727077</x:v>
      </x:c>
      <x:c r="L31" s="264"/>
      <x:c r="M31" s="264"/>
      <x:c r="N31" s="264"/>
      <x:c r="O31" s="264"/>
      <x:c r="P31" s="264"/>
      <x:c r="Q31" s="264"/>
      <x:c r="R31" s="264"/>
      <x:c r="S31" s="264"/>
      <x:c r="T31" s="261"/>
    </x:row>
    <x:row r="32">
      <x:c r="A32" s="264" t="str">
        <x:v>Biologi dan PHT</x:v>
      </x:c>
      <x:c r="B32" s="295" t="n">
        <x:f>SUMPRODUCT(H$15:H$22,$E$15:$E$22,$T$15:$T$22)*(1+'02_Assumptions'!$C$11)^0</x:f>
        <x:v>278960000</x:v>
      </x:c>
      <x:c r="C32" s="295" t="n">
        <x:f>SUMPRODUCT(I$15:I$22,$E$15:$E$22,$T$15:$T$22)*(1+'02_Assumptions'!$C$11)^1</x:f>
        <x:v>290118400</x:v>
      </x:c>
      <x:c r="D32" s="295" t="n">
        <x:f>SUMPRODUCT(J$15:J$22,$E$15:$E$22,$T$15:$T$22)*(1+'02_Assumptions'!$C$11)^2</x:f>
        <x:v>301723136.00000006</x:v>
      </x:c>
      <x:c r="E32" s="295" t="n">
        <x:f>SUMPRODUCT(K$15:K$22,$E$15:$E$22,$T$15:$T$22)*(1+'02_Assumptions'!$C$11)^3</x:f>
        <x:v>313792061.44</x:v>
      </x:c>
      <x:c r="F32" s="295" t="n">
        <x:f>SUMPRODUCT(L$15:L$22,$E$15:$E$22,$T$15:$T$22)*(1+'02_Assumptions'!$C$11)^4</x:f>
        <x:v>326343743.89760005</x:v>
      </x:c>
      <x:c r="G32" s="295" t="n">
        <x:f>SUMPRODUCT(M$15:M$22,$E$15:$E$22,$T$15:$T$22)*(1+'02_Assumptions'!$C$11)^5</x:f>
        <x:v>339397493.653504</x:v>
      </x:c>
      <x:c r="H32" s="295" t="n">
        <x:f>SUMPRODUCT(N$15:N$22,$E$15:$E$22,$T$15:$T$22)*(1+'02_Assumptions'!$C$11)^6</x:f>
        <x:v>352973393.39964426</x:v>
      </x:c>
      <x:c r="I32" s="295" t="n">
        <x:f>SUMPRODUCT(O$15:O$22,$E$15:$E$22,$T$15:$T$22)*(1+'02_Assumptions'!$C$11)^7</x:f>
        <x:v>367092329.13563</x:v>
      </x:c>
      <x:c r="J32" s="295" t="n">
        <x:f>SUMPRODUCT(P$15:P$22,$E$15:$E$22,$T$15:$T$22)*(1+'02_Assumptions'!$C$11)^8</x:f>
        <x:v>381776022.3010552</x:v>
      </x:c>
      <x:c r="K32" s="295" t="n">
        <x:f>SUMPRODUCT(Q$15:Q$22,$E$15:$E$22,$T$15:$T$22)*(1+'02_Assumptions'!$C$11)^9</x:f>
        <x:v>397047063.1930975</x:v>
      </x:c>
      <x:c r="L32" s="264"/>
      <x:c r="M32" s="264"/>
      <x:c r="N32" s="264"/>
      <x:c r="O32" s="264"/>
      <x:c r="P32" s="264"/>
      <x:c r="Q32" s="264"/>
      <x:c r="R32" s="264"/>
      <x:c r="S32" s="264"/>
      <x:c r="T32" s="261"/>
    </x:row>
    <x:row r="33">
      <x:c r="A33" s="264" t="str">
        <x:v>Proteksi konvensional</x:v>
      </x:c>
      <x:c r="B33" s="295" t="n">
        <x:f>SUMPRODUCT(H$23:H$25,$E$23:$E$25,$T$23:$T$25)*(1+'02_Assumptions'!$C$11)^0</x:f>
        <x:v>29040000</x:v>
      </x:c>
      <x:c r="C33" s="295" t="n">
        <x:f>SUMPRODUCT(I$23:I$25,$E$23:$E$25,$T$23:$T$25)*(1+'02_Assumptions'!$C$11)^1</x:f>
        <x:v>30201600</x:v>
      </x:c>
      <x:c r="D33" s="295" t="n">
        <x:f>SUMPRODUCT(J$23:J$25,$E$23:$E$25,$T$23:$T$25)*(1+'02_Assumptions'!$C$11)^2</x:f>
        <x:v>0</x:v>
      </x:c>
      <x:c r="E33" s="295" t="n">
        <x:f>SUMPRODUCT(K$23:K$25,$E$23:$E$25,$T$23:$T$25)*(1+'02_Assumptions'!$C$11)^3</x:f>
        <x:v>0</x:v>
      </x:c>
      <x:c r="F33" s="295" t="n">
        <x:f>SUMPRODUCT(L$23:L$25,$E$23:$E$25,$T$23:$T$25)*(1+'02_Assumptions'!$C$11)^4</x:f>
        <x:v>0</x:v>
      </x:c>
      <x:c r="G33" s="295" t="n">
        <x:f>SUMPRODUCT(M$23:M$25,$E$23:$E$25,$T$23:$T$25)*(1+'02_Assumptions'!$C$11)^5</x:f>
        <x:v>0</x:v>
      </x:c>
      <x:c r="H33" s="295" t="n">
        <x:f>SUMPRODUCT(N$23:N$25,$E$23:$E$25,$T$23:$T$25)*(1+'02_Assumptions'!$C$11)^6</x:f>
        <x:v>0</x:v>
      </x:c>
      <x:c r="I33" s="295" t="n">
        <x:f>SUMPRODUCT(O$23:O$25,$E$23:$E$25,$T$23:$T$25)*(1+'02_Assumptions'!$C$11)^7</x:f>
        <x:v>0</x:v>
      </x:c>
      <x:c r="J33" s="295" t="n">
        <x:f>SUMPRODUCT(P$23:P$25,$E$23:$E$25,$T$23:$T$25)*(1+'02_Assumptions'!$C$11)^8</x:f>
        <x:v>0</x:v>
      </x:c>
      <x:c r="K33" s="295" t="n">
        <x:f>SUMPRODUCT(Q$23:Q$25,$E$23:$E$25,$T$23:$T$25)*(1+'02_Assumptions'!$C$11)^9</x:f>
        <x:v>0</x:v>
      </x:c>
      <x:c r="L33" s="264"/>
      <x:c r="M33" s="264"/>
      <x:c r="N33" s="264"/>
      <x:c r="O33" s="264"/>
      <x:c r="P33" s="264"/>
      <x:c r="Q33" s="264"/>
      <x:c r="R33" s="264"/>
      <x:c r="S33" s="264"/>
      <x:c r="T33" s="261"/>
    </x:row>
    <x:row r="34">
      <x:c r="A34" s="390" t="str">
        <x:v>TOTAL BIAYA INPUT PERTANIAN</x:v>
      </x:c>
      <x:c r="B34" s="390" t="n">
        <x:f>SUM(B30:B33)+'17_Model_Fleksibel'!$O$52</x:f>
        <x:v>755362520</x:v>
      </x:c>
      <x:c r="C34" s="390" t="n">
        <x:f>SUM(C30:C33)+'17_Model_Fleksibel'!$P$52</x:f>
        <x:v>889799173.12</x:v>
      </x:c>
      <x:c r="D34" s="390" t="n">
        <x:f>SUM(D30:D33)+'17_Model_Fleksibel'!$Q$52</x:f>
        <x:v>640236268.6720002</x:v>
      </x:c>
      <x:c r="E34" s="390" t="n">
        <x:f>SUM(E30:E33)+'17_Model_Fleksibel'!$R$52</x:f>
        <x:v>666548534.44608</x:v>
      </x:c>
      <x:c r="F34" s="390" t="n">
        <x:f>SUM(F30:F33)+'17_Model_Fleksibel'!$S$52</x:f>
        <x:v>631770089.1820033</x:v>
      </x:c>
      <x:c r="G34" s="390" t="n">
        <x:f>SUM(G30:G33)+'17_Model_Fleksibel'!$T$52</x:f>
        <x:v>711606802.0996015</x:v>
      </x:c>
      <x:c r="H34" s="390" t="n">
        <x:f>SUM(H30:H33)+'17_Model_Fleksibel'!$U$52</x:f>
        <x:v>705245572.3056184</x:v>
      </x:c>
      <x:c r="I34" s="390" t="n">
        <x:f>SUM(I30:I33)+'17_Model_Fleksibel'!$V$52</x:f>
        <x:v>820306892.6274085</x:v>
      </x:c>
      <x:c r="J34" s="390" t="n">
        <x:f>SUM(J30:J33)+'17_Model_Fleksibel'!$W$52</x:f>
        <x:v>762793611.0057569</x:v>
      </x:c>
      <x:c r="K34" s="390" t="n">
        <x:f>SUM(K30:K33)+'17_Model_Fleksibel'!$X$52</x:f>
        <x:v>887243935.0658052</x:v>
      </x:c>
      <x:c r="L34" s="264"/>
      <x:c r="M34" s="264"/>
      <x:c r="N34" s="264"/>
      <x:c r="O34" s="264"/>
      <x:c r="P34" s="264"/>
      <x:c r="Q34" s="264"/>
      <x:c r="R34" s="264"/>
      <x:c r="S34" s="264"/>
      <x:c r="T34" s="261"/>
    </x:row>
  </x:sheetData>
  <x:mergeCells>
    <x:mergeCell ref="A1:S1"/>
    <x:mergeCell ref="A2:S2"/>
    <x:mergeCell ref="A28:K28"/>
    <x:mergeCell ref="A1:T1"/>
    <x:mergeCell ref="A2:T2"/>
  </x:mergeCells>
  <x:dataValidations count="1">
    <x:dataValidation type="list" sqref="T5:T25">
      <x:formula1>"0,1"</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7" hidden="0" customWidth="1"/>
    <x:col min="2" max="2" width="33" hidden="0" customWidth="1"/>
    <x:col min="3" max="3" width="18" hidden="0" customWidth="1"/>
    <x:col min="4" max="4" width="14" hidden="0" customWidth="1"/>
    <x:col min="5" max="5" width="14" hidden="0" customWidth="1"/>
    <x:col min="6" max="6" width="10" hidden="0" customWidth="1"/>
    <x:col min="7" max="7" width="16" hidden="0" customWidth="1"/>
    <x:col min="8" max="8" width="18" hidden="0" customWidth="1"/>
    <x:col min="9" max="9" width="18" hidden="0" customWidth="1"/>
    <x:col min="10" max="10" width="18" hidden="0" customWidth="1"/>
    <x:col min="11" max="11" width="49" hidden="0" customWidth="1"/>
  </x:cols>
  <x:sheetData>
    <x:row r="1" ht="28" customHeight="1">
      <x:c r="A1" s="313" t="str">
        <x:v>RAB CAPEX Rinci: 1 Lokasi dan 4 Lokasi</x:v>
      </x:c>
      <x:c r="B1" s="313"/>
      <x:c r="C1" s="313"/>
      <x:c r="D1" s="313"/>
      <x:c r="E1" s="313"/>
      <x:c r="F1" s="313"/>
      <x:c r="G1" s="313"/>
      <x:c r="H1" s="313"/>
      <x:c r="I1" s="313"/>
      <x:c r="J1" s="313"/>
      <x:c r="K1" s="313"/>
    </x:row>
    <x:row r="2" ht="38" customHeight="1">
      <x:c r="A2" s="7" t="str">
        <x:v>Rincian investasi awal dari kajian lahan, persiapan, infrastruktur, bibit, penanaman, alat, pemetaan, dan cadangan. Bandingkan satu dan empat lokasi serta periksa agar biaya kontraktor tidak menghitung tenaga atau alat yang sama dua kali.</x:v>
      </x:c>
      <x:c r="B2" s="7"/>
      <x:c r="C2" s="7"/>
      <x:c r="D2" s="7"/>
      <x:c r="E2" s="7"/>
      <x:c r="F2" s="7"/>
      <x:c r="G2" s="7"/>
      <x:c r="H2" s="7"/>
      <x:c r="I2" s="7"/>
      <x:c r="J2" s="7"/>
      <x:c r="K2" s="7"/>
    </x:row>
    <x:row r="3">
      <x:c r="A3" s="261"/>
      <x:c r="B3" s="261"/>
      <x:c r="C3" s="261"/>
      <x:c r="D3" s="261"/>
      <x:c r="E3" s="261"/>
      <x:c r="F3" s="261"/>
      <x:c r="G3" s="261"/>
      <x:c r="H3" s="261"/>
      <x:c r="I3" s="261"/>
      <x:c r="J3" s="261"/>
      <x:c r="K3" s="261"/>
    </x:row>
    <x:row r="4" ht="30" customHeight="1">
      <x:c r="A4" s="34" t="str">
        <x:v>Tahap</x:v>
      </x:c>
      <x:c r="B4" s="35" t="str">
        <x:v>Uraian</x:v>
      </x:c>
      <x:c r="C4" s="35" t="str">
        <x:v>Penggerak</x:v>
      </x:c>
      <x:c r="D4" s="35" t="str">
        <x:v>Jumlah 1 lokasi</x:v>
      </x:c>
      <x:c r="E4" s="35" t="str">
        <x:v>Jumlah 4 lokasi</x:v>
      </x:c>
      <x:c r="F4" s="35" t="str">
        <x:v>Satuan</x:v>
      </x:c>
      <x:c r="G4" s="35" t="str">
        <x:v>Harga satuan</x:v>
      </x:c>
      <x:c r="H4" s="35" t="str">
        <x:v>Total 1 lokasi</x:v>
      </x:c>
      <x:c r="I4" s="35" t="str">
        <x:v>Total 4 lokasi</x:v>
      </x:c>
      <x:c r="J4" s="35" t="str">
        <x:v>Terpilih</x:v>
      </x:c>
      <x:c r="K4" s="36" t="str">
        <x:v>Dasar/sumber/pengecualian</x:v>
      </x:c>
    </x:row>
    <x:row r="5">
      <x:c r="A5" s="264" t="str">
        <x:v>A Land</x:v>
      </x:c>
      <x:c r="B5" s="264" t="str">
        <x:v>Land acquisition/lease</x:v>
      </x:c>
      <x:c r="C5" s="264" t="str">
        <x:v>Gross ha</x:v>
      </x:c>
      <x:c r="D5" s="420" t="n">
        <x:f>'02_Assumptions'!$C$6</x:f>
        <x:v>100</x:v>
      </x:c>
      <x:c r="E5" s="420" t="n">
        <x:f>'02_Assumptions'!$C$6</x:f>
        <x:v>100</x:v>
      </x:c>
      <x:c r="F5" s="281" t="str">
        <x:v>ha</x:v>
      </x:c>
      <x:c r="G5" s="401" t="n">
        <x:f>'02_Assumptions'!$C$16</x:f>
        <x:v>0</x:v>
      </x:c>
      <x:c r="H5" s="405" t="n">
        <x:f>$D5*$G5</x:f>
        <x:v>0</x:v>
      </x:c>
      <x:c r="I5" s="405" t="n">
        <x:f>$E5*$G5</x:f>
        <x:v>0</x:v>
      </x:c>
      <x:c r="J5" s="405" t="n">
        <x:f>IF('02_Assumptions'!$C$8=4,$I5,$H5)</x:f>
        <x:v>0</x:v>
      </x:c>
      <x:c r="K5" s="264" t="str">
        <x:v>OPEN: zero until title/valuation DD</x:v>
      </x:c>
    </x:row>
    <x:row r="6">
      <x:c r="A6" s="264" t="str">
        <x:v>A Assessment</x:v>
      </x:c>
      <x:c r="B6" s="264" t="str">
        <x:v>Desktop GIS shortlist</x:v>
      </x:c>
      <x:c r="C6" s="264" t="str">
        <x:v>lot</x:v>
      </x:c>
      <x:c r="D6" s="420" t="n">
        <x:f>1</x:f>
        <x:v>1</x:v>
      </x:c>
      <x:c r="E6" s="420" t="n">
        <x:f>1</x:f>
        <x:v>1</x:v>
      </x:c>
      <x:c r="F6" s="281" t="str">
        <x:v>lot</x:v>
      </x:c>
      <x:c r="G6" s="401" t="n">
        <x:v>35000000</x:v>
      </x:c>
      <x:c r="H6" s="405" t="n">
        <x:f>$D6*$G6</x:f>
        <x:v>35000000</x:v>
      </x:c>
      <x:c r="I6" s="405" t="n">
        <x:f>$E6*$G6</x:f>
        <x:v>35000000</x:v>
      </x:c>
      <x:c r="J6" s="405" t="n">
        <x:f>IF('02_Assumptions'!$C$8=4,$I6,$H6)</x:f>
        <x:v>35000000</x:v>
      </x:c>
      <x:c r="K6" s="264" t="str">
        <x:v>Public data screening; 2-3 weeks</x:v>
      </x:c>
    </x:row>
    <x:row r="7">
      <x:c r="A7" s="264" t="str">
        <x:v>A Assessment</x:v>
      </x:c>
      <x:c r="B7" s="264" t="str">
        <x:v>Legal/title/overlap due diligence</x:v>
      </x:c>
      <x:c r="C7" s="264" t="str">
        <x:v>site</x:v>
      </x:c>
      <x:c r="D7" s="420" t="n">
        <x:f>1</x:f>
        <x:v>1</x:v>
      </x:c>
      <x:c r="E7" s="420" t="n">
        <x:f>4</x:f>
        <x:v>4</x:v>
      </x:c>
      <x:c r="F7" s="281" t="str">
        <x:v>site</x:v>
      </x:c>
      <x:c r="G7" s="401" t="n">
        <x:v>75000000</x:v>
      </x:c>
      <x:c r="H7" s="405" t="n">
        <x:f>$D7*$G7</x:f>
        <x:v>75000000</x:v>
      </x:c>
      <x:c r="I7" s="405" t="n">
        <x:f>$E7*$G7</x:f>
        <x:v>300000000</x:v>
      </x:c>
      <x:c r="J7" s="405" t="n">
        <x:f>IF('02_Assumptions'!$C$8=4,$I7,$H7)</x:f>
        <x:v>75000000</x:v>
      </x:c>
      <x:c r="K7" s="264" t="str">
        <x:v>No-go if unresolved tenure/community conflict</x:v>
      </x:c>
    </x:row>
    <x:row r="8">
      <x:c r="A8" s="264" t="str">
        <x:v>A Assessment</x:v>
      </x:c>
      <x:c r="B8" s="264" t="str">
        <x:v>Reconnaissance/community verification</x:v>
      </x:c>
      <x:c r="C8" s="264" t="str">
        <x:v>site</x:v>
      </x:c>
      <x:c r="D8" s="420" t="n">
        <x:f>1</x:f>
        <x:v>1</x:v>
      </x:c>
      <x:c r="E8" s="420" t="n">
        <x:f>4</x:f>
        <x:v>4</x:v>
      </x:c>
      <x:c r="F8" s="281" t="str">
        <x:v>site</x:v>
      </x:c>
      <x:c r="G8" s="401" t="n">
        <x:v>25000000</x:v>
      </x:c>
      <x:c r="H8" s="405" t="n">
        <x:f>$D8*$G8</x:f>
        <x:v>25000000</x:v>
      </x:c>
      <x:c r="I8" s="405" t="n">
        <x:f>$E8*$G8</x:f>
        <x:v>100000000</x:v>
      </x:c>
      <x:c r="J8" s="405" t="n">
        <x:f>IF('02_Assumptions'!$C$8=4,$I8,$H8)</x:f>
        <x:v>25000000</x:v>
      </x:c>
      <x:c r="K8" s="264" t="str">
        <x:v>3-person team, travel allowance</x:v>
      </x:c>
    </x:row>
    <x:row r="9">
      <x:c r="A9" s="264" t="str">
        <x:v>A Survey</x:v>
      </x:c>
      <x:c r="B9" s="264" t="str">
        <x:v>Drone orthomosaic</x:v>
      </x:c>
      <x:c r="C9" s="264" t="str">
        <x:v>gross ha</x:v>
      </x:c>
      <x:c r="D9" s="420" t="n">
        <x:f>'02_Assumptions'!$C$6</x:f>
        <x:v>100</x:v>
      </x:c>
      <x:c r="E9" s="420" t="n">
        <x:f>'02_Assumptions'!$C$6</x:f>
        <x:v>100</x:v>
      </x:c>
      <x:c r="F9" s="281" t="str">
        <x:v>ha</x:v>
      </x:c>
      <x:c r="G9" s="401" t="n">
        <x:f>'02_Assumptions'!$C$93</x:f>
        <x:v>250000</x:v>
      </x:c>
      <x:c r="H9" s="405" t="n">
        <x:f>$D9*$G9</x:f>
        <x:v>25000000</x:v>
      </x:c>
      <x:c r="I9" s="405" t="n">
        <x:f>$E9*$G9</x:f>
        <x:v>25000000</x:v>
      </x:c>
      <x:c r="J9" s="405" t="n">
        <x:f>IF('02_Assumptions'!$C$8=4,$I9,$H9)</x:f>
        <x:v>25000000</x:v>
      </x:c>
      <x:c r="K9" s="264" t="str">
        <x:v>S08</x:v>
      </x:c>
    </x:row>
    <x:row r="10">
      <x:c r="A10" s="264" t="str">
        <x:v>A Survey</x:v>
      </x:c>
      <x:c r="B10" s="264" t="str">
        <x:v>Boundary/topo/hydrology survey</x:v>
      </x:c>
      <x:c r="C10" s="264" t="str">
        <x:v>gross ha</x:v>
      </x:c>
      <x:c r="D10" s="420" t="n">
        <x:f>'02_Assumptions'!$C$6</x:f>
        <x:v>100</x:v>
      </x:c>
      <x:c r="E10" s="420" t="n">
        <x:f>'02_Assumptions'!$C$6</x:f>
        <x:v>100</x:v>
      </x:c>
      <x:c r="F10" s="281" t="str">
        <x:v>ha</x:v>
      </x:c>
      <x:c r="G10" s="401" t="n">
        <x:f>'02_Assumptions'!$C$94</x:f>
        <x:v>350000</x:v>
      </x:c>
      <x:c r="H10" s="405" t="n">
        <x:f>$D10*$G10</x:f>
        <x:v>35000000</x:v>
      </x:c>
      <x:c r="I10" s="405" t="n">
        <x:f>$E10*$G10</x:f>
        <x:v>35000000</x:v>
      </x:c>
      <x:c r="J10" s="405" t="n">
        <x:f>IF('02_Assumptions'!$C$8=4,$I10,$H10)</x:f>
        <x:v>35000000</x:v>
      </x:c>
      <x:c r="K10" s="264" t="str">
        <x:v>Quote after accuracy specification</x:v>
      </x:c>
    </x:row>
    <x:row r="11">
      <x:c r="A11" s="264" t="str">
        <x:v>A Survey</x:v>
      </x:c>
      <x:c r="B11" s="264" t="str">
        <x:v>Soil composite laboratory</x:v>
      </x:c>
      <x:c r="C11" s="264" t="str">
        <x:v>sample</x:v>
      </x:c>
      <x:c r="D11" s="420" t="n">
        <x:f>ROUNDUP('02_Assumptions'!$C$6/'02_Assumptions'!$C$96,0)</x:f>
        <x:v>40</x:v>
      </x:c>
      <x:c r="E11" s="420" t="n">
        <x:f>ROUNDUP('02_Assumptions'!$C$6/'02_Assumptions'!$C$96+'02_Assumptions'!$C$168*3,0)</x:f>
        <x:v>52</x:v>
      </x:c>
      <x:c r="F11" s="281" t="str">
        <x:v>sample</x:v>
      </x:c>
      <x:c r="G11" s="401" t="n">
        <x:f>'02_Assumptions'!$C$95</x:f>
        <x:v>800000</x:v>
      </x:c>
      <x:c r="H11" s="405" t="n">
        <x:f>$D11*$G11</x:f>
        <x:v>32000000</x:v>
      </x:c>
      <x:c r="I11" s="405" t="n">
        <x:f>$E11*$G11</x:f>
        <x:v>41600000</x:v>
      </x:c>
      <x:c r="J11" s="405" t="n">
        <x:f>IF('02_Assumptions'!$C$8=4,$I11,$H11)</x:f>
        <x:v>32000000</x:v>
      </x:c>
      <x:c r="K11" s="264" t="str">
        <x:v>Field heterogeneity increases samples for split sites</x:v>
      </x:c>
    </x:row>
    <x:row r="12">
      <x:c r="A12" s="264" t="str">
        <x:v>A Survey</x:v>
      </x:c>
      <x:c r="B12" s="264" t="str">
        <x:v>Soil profile/infiltration pits</x:v>
      </x:c>
      <x:c r="C12" s="264" t="str">
        <x:v>pit</x:v>
      </x:c>
      <x:c r="D12" s="420" t="n">
        <x:f>ROUNDUP('02_Assumptions'!$C$6*'02_Assumptions'!$C$166,0)</x:f>
        <x:v>10</x:v>
      </x:c>
      <x:c r="E12" s="420" t="n">
        <x:f>ROUNDUP('02_Assumptions'!$C$6*'02_Assumptions'!$C$166+'02_Assumptions'!$C$167*3,0)</x:f>
        <x:v>16</x:v>
      </x:c>
      <x:c r="F12" s="281" t="str">
        <x:v>pit</x:v>
      </x:c>
      <x:c r="G12" s="401" t="n">
        <x:v>2000000</x:v>
      </x:c>
      <x:c r="H12" s="405" t="n">
        <x:f>$D12*$G12</x:f>
        <x:v>20000000</x:v>
      </x:c>
      <x:c r="I12" s="405" t="n">
        <x:f>$E12*$G12</x:f>
        <x:v>32000000</x:v>
      </x:c>
      <x:c r="J12" s="405" t="n">
        <x:f>IF('02_Assumptions'!$C$8=4,$I12,$H12)</x:f>
        <x:v>20000000</x:v>
      </x:c>
      <x:c r="K12" s="264" t="str">
        <x:v>1 per ~10 ha plus site minimum</x:v>
      </x:c>
    </x:row>
    <x:row r="13">
      <x:c r="A13" s="264" t="str">
        <x:v>A Survey</x:v>
      </x:c>
      <x:c r="B13" s="264" t="str">
        <x:v>Water quality tests</x:v>
      </x:c>
      <x:c r="C13" s="264" t="str">
        <x:v>sample</x:v>
      </x:c>
      <x:c r="D13" s="420" t="n">
        <x:f>'02_Assumptions'!$C$169</x:f>
        <x:v>8</x:v>
      </x:c>
      <x:c r="E13" s="420" t="n">
        <x:f>ROUNDUP('02_Assumptions'!$C$169+'02_Assumptions'!$C$170*3,0)</x:f>
        <x:v>17</x:v>
      </x:c>
      <x:c r="F13" s="281" t="str">
        <x:v>sample</x:v>
      </x:c>
      <x:c r="G13" s="401" t="n">
        <x:v>1500000</x:v>
      </x:c>
      <x:c r="H13" s="405" t="n">
        <x:f>$D13*$G13</x:f>
        <x:v>12000000</x:v>
      </x:c>
      <x:c r="I13" s="405" t="n">
        <x:f>$E13*$G13</x:f>
        <x:v>25500000</x:v>
      </x:c>
      <x:c r="J13" s="405" t="n">
        <x:f>IF('02_Assumptions'!$C$8=4,$I13,$H13)</x:f>
        <x:v>12000000</x:v>
      </x:c>
      <x:c r="K13" s="264" t="str">
        <x:v>Dry/wet season sources</x:v>
      </x:c>
    </x:row>
    <x:row r="14">
      <x:c r="A14" s="264" t="str">
        <x:v>A Safeguard</x:v>
      </x:c>
      <x:c r="B14" s="264" t="str">
        <x:v>E&amp;S, HCV and community baseline</x:v>
      </x:c>
      <x:c r="C14" s="264" t="str">
        <x:v>site</x:v>
      </x:c>
      <x:c r="D14" s="420" t="n">
        <x:f>1</x:f>
        <x:v>1</x:v>
      </x:c>
      <x:c r="E14" s="420" t="n">
        <x:f>4</x:f>
        <x:v>4</x:v>
      </x:c>
      <x:c r="F14" s="281" t="str">
        <x:v>site</x:v>
      </x:c>
      <x:c r="G14" s="401" t="n">
        <x:v>30000000</x:v>
      </x:c>
      <x:c r="H14" s="405" t="n">
        <x:f>$D14*$G14</x:f>
        <x:v>30000000</x:v>
      </x:c>
      <x:c r="I14" s="405" t="n">
        <x:f>$E14*$G14</x:f>
        <x:v>120000000</x:v>
      </x:c>
      <x:c r="J14" s="405" t="n">
        <x:f>IF('02_Assumptions'!$C$8=4,$I14,$H14)</x:f>
        <x:v>30000000</x:v>
      </x:c>
      <x:c r="K14" s="264" t="str">
        <x:v>Natural forest/protected/HCV = no-go</x:v>
      </x:c>
    </x:row>
    <x:row r="15">
      <x:c r="A15" s="264" t="str">
        <x:v>A Design</x:v>
      </x:c>
      <x:c r="B15" s="264" t="str">
        <x:v>Farm master plan &amp; BOQ design</x:v>
      </x:c>
      <x:c r="C15" s="264" t="str">
        <x:v>lot</x:v>
      </x:c>
      <x:c r="D15" s="420" t="n">
        <x:f>1</x:f>
        <x:v>1</x:v>
      </x:c>
      <x:c r="E15" s="420" t="n">
        <x:f>1</x:f>
        <x:v>1</x:v>
      </x:c>
      <x:c r="F15" s="281" t="str">
        <x:v>lot</x:v>
      </x:c>
      <x:c r="G15" s="401" t="n">
        <x:v>100000000</x:v>
      </x:c>
      <x:c r="H15" s="405" t="n">
        <x:f>$D15*$G15</x:f>
        <x:v>100000000</x:v>
      </x:c>
      <x:c r="I15" s="405" t="n">
        <x:f>$E15*$G15</x:f>
        <x:v>100000000</x:v>
      </x:c>
      <x:c r="J15" s="405" t="n">
        <x:f>IF('02_Assumptions'!$C$8=4,$I15,$H15)</x:f>
        <x:v>100000000</x:v>
      </x:c>
      <x:c r="K15" s="264" t="str">
        <x:v>Road, drain, water, planting plan</x:v>
      </x:c>
    </x:row>
    <x:row r="16">
      <x:c r="A16" s="264" t="str">
        <x:v>B Land prep</x:v>
      </x:c>
      <x:c r="B16" s="264" t="str">
        <x:v>Selective clearing contractor/equipment</x:v>
      </x:c>
      <x:c r="C16" s="264" t="str">
        <x:v>gross ha</x:v>
      </x:c>
      <x:c r="D16" s="420" t="n">
        <x:f>'02_Assumptions'!$C$6</x:f>
        <x:v>100</x:v>
      </x:c>
      <x:c r="E16" s="420" t="n">
        <x:f>'02_Assumptions'!$C$6</x:f>
        <x:v>100</x:v>
      </x:c>
      <x:c r="F16" s="281" t="str">
        <x:v>ha</x:v>
      </x:c>
      <x:c r="G16" s="401" t="n">
        <x:f>'02_Assumptions'!$C$97</x:f>
        <x:v>6000000</x:v>
      </x:c>
      <x:c r="H16" s="405" t="n">
        <x:f>$D16*$G16</x:f>
        <x:v>600000000</x:v>
      </x:c>
      <x:c r="I16" s="405" t="n">
        <x:f>$E16*$G16</x:f>
        <x:v>600000000</x:v>
      </x:c>
      <x:c r="J16" s="405" t="n">
        <x:f>IF('02_Assumptions'!$C$8=4,$I16,$H16)</x:f>
        <x:v>600000000</x:v>
      </x:c>
      <x:c r="K16" s="264" t="str">
        <x:v>Zero burning; excludes direct HOK</x:v>
      </x:c>
    </x:row>
    <x:row r="17">
      <x:c r="A17" s="264" t="str">
        <x:v>B Land prep</x:v>
      </x:c>
      <x:c r="B17" s="264" t="str">
        <x:v>Direct field HOK from Workplan</x:v>
      </x:c>
      <x:c r="C17" s="264" t="str">
        <x:v>calculated</x:v>
      </x:c>
      <x:c r="D17" s="420" t="n">
        <x:f>'05_Workplan_Labor'!$K$26</x:f>
        <x:v>1170489600</x:v>
      </x:c>
      <x:c r="E17" s="420" t="n">
        <x:f>'05_Workplan_Labor'!$L$26</x:f>
        <x:v>1213689600</x:v>
      </x:c>
      <x:c r="F17" s="281" t="str">
        <x:v>Rp</x:v>
      </x:c>
      <x:c r="G17" s="401" t="n">
        <x:v>1</x:v>
      </x:c>
      <x:c r="H17" s="405" t="n">
        <x:f>$D17*$G17</x:f>
        <x:v>1170489600</x:v>
      </x:c>
      <x:c r="I17" s="405" t="n">
        <x:f>$E17*$G17</x:f>
        <x:v>1213689600</x:v>
      </x:c>
      <x:c r="J17" s="405" t="n">
        <x:f>IF('02_Assumptions'!$C$8=4,$I17,$H17)</x:f>
        <x:v>1170489600</x:v>
      </x:c>
      <x:c r="K17" s="264" t="str">
        <x:v>Only Cost flag=1 tasks</x:v>
      </x:c>
    </x:row>
    <x:row r="18">
      <x:c r="A18" s="264" t="str">
        <x:v>B Land prep</x:v>
      </x:c>
      <x:c r="B18" s="264" t="str">
        <x:v>Deep ripping/spot cultivation</x:v>
      </x:c>
      <x:c r="C18" s="264" t="str">
        <x:v>net ha</x:v>
      </x:c>
      <x:c r="D18" s="420" t="n">
        <x:f>'02_Assumptions'!$C$24</x:f>
        <x:v>88</x:v>
      </x:c>
      <x:c r="E18" s="420" t="n">
        <x:f>'02_Assumptions'!$C$24</x:f>
        <x:v>88</x:v>
      </x:c>
      <x:c r="F18" s="281" t="str">
        <x:v>ha</x:v>
      </x:c>
      <x:c r="G18" s="401" t="n">
        <x:v>2000000</x:v>
      </x:c>
      <x:c r="H18" s="405" t="n">
        <x:f>$D18*$G18</x:f>
        <x:v>176000000</x:v>
      </x:c>
      <x:c r="I18" s="405" t="n">
        <x:f>$E18*$G18</x:f>
        <x:v>176000000</x:v>
      </x:c>
      <x:c r="J18" s="405" t="n">
        <x:f>IF('02_Assumptions'!$C$8=4,$I18,$H18)</x:f>
        <x:v>176000000</x:v>
      </x:c>
      <x:c r="K18" s="264" t="str">
        <x:v>After compaction assessment</x:v>
      </x:c>
    </x:row>
    <x:row r="19">
      <x:c r="A19" s="264" t="str">
        <x:v>B Land prep</x:v>
      </x:c>
      <x:c r="B19" s="264" t="str">
        <x:v>Contour/erosion control earthworks</x:v>
      </x:c>
      <x:c r="C19" s="264" t="str">
        <x:v>net ha</x:v>
      </x:c>
      <x:c r="D19" s="420" t="n">
        <x:f>'02_Assumptions'!$C$24</x:f>
        <x:v>88</x:v>
      </x:c>
      <x:c r="E19" s="420" t="n">
        <x:f>'02_Assumptions'!$C$24</x:f>
        <x:v>88</x:v>
      </x:c>
      <x:c r="F19" s="281" t="str">
        <x:v>ha</x:v>
      </x:c>
      <x:c r="G19" s="401" t="n">
        <x:v>1000000</x:v>
      </x:c>
      <x:c r="H19" s="405" t="n">
        <x:f>$D19*$G19</x:f>
        <x:v>88000000</x:v>
      </x:c>
      <x:c r="I19" s="405" t="n">
        <x:f>$E19*$G19</x:f>
        <x:v>88000000</x:v>
      </x:c>
      <x:c r="J19" s="405" t="n">
        <x:f>IF('02_Assumptions'!$C$8=4,$I19,$H19)</x:f>
        <x:v>88000000</x:v>
      </x:c>
      <x:c r="K19" s="264" t="str">
        <x:v>Vetiver/check dams not blanket terracing</x:v>
      </x:c>
    </x:row>
    <x:row r="20">
      <x:c r="A20" s="264" t="str">
        <x:v>B Soil</x:v>
      </x:c>
      <x:c r="B20" s="264" t="str">
        <x:v>Initial compost (50%)</x:v>
      </x:c>
      <x:c r="C20" s="264" t="str">
        <x:v>ton</x:v>
      </x:c>
      <x:c r="D20" s="420" t="n">
        <x:f>'02_Assumptions'!$C$24*'02_Assumptions'!$C$107/2</x:f>
        <x:v>352</x:v>
      </x:c>
      <x:c r="E20" s="420" t="n">
        <x:f>'02_Assumptions'!$C$24*'02_Assumptions'!$C$107/2</x:f>
        <x:v>352</x:v>
      </x:c>
      <x:c r="F20" s="281" t="str">
        <x:v>ton</x:v>
      </x:c>
      <x:c r="G20" s="401" t="n">
        <x:f>'02_Assumptions'!$C$73*1000</x:f>
        <x:v>1000000</x:v>
      </x:c>
      <x:c r="H20" s="405" t="n">
        <x:f>$D20*$G20</x:f>
        <x:v>352000000</x:v>
      </x:c>
      <x:c r="I20" s="405" t="n">
        <x:f>$E20*$G20</x:f>
        <x:v>352000000</x:v>
      </x:c>
      <x:c r="J20" s="405" t="n">
        <x:f>IF('02_Assumptions'!$C$8=4,$I20,$H20)</x:f>
        <x:v>352000000</x:v>
      </x:c>
      <x:c r="K20" s="264" t="str">
        <x:v>Mature bulk compost</x:v>
      </x:c>
    </x:row>
    <x:row r="21">
      <x:c r="A21" s="264" t="str">
        <x:v>B Soil</x:v>
      </x:c>
      <x:c r="B21" s="264" t="str">
        <x:v>Initial fermented manure (50%)</x:v>
      </x:c>
      <x:c r="C21" s="264" t="str">
        <x:v>ton</x:v>
      </x:c>
      <x:c r="D21" s="420" t="n">
        <x:f>'02_Assumptions'!$C$24*'02_Assumptions'!$C$107/2</x:f>
        <x:v>352</x:v>
      </x:c>
      <x:c r="E21" s="420" t="n">
        <x:f>'02_Assumptions'!$C$24*'02_Assumptions'!$C$107/2</x:f>
        <x:v>352</x:v>
      </x:c>
      <x:c r="F21" s="281" t="str">
        <x:v>ton</x:v>
      </x:c>
      <x:c r="G21" s="401" t="n">
        <x:f>'02_Assumptions'!$C$74*1000</x:f>
        <x:v>900000</x:v>
      </x:c>
      <x:c r="H21" s="405" t="n">
        <x:f>$D21*$G21</x:f>
        <x:v>316800000</x:v>
      </x:c>
      <x:c r="I21" s="405" t="n">
        <x:f>$E21*$G21</x:f>
        <x:v>316800000</x:v>
      </x:c>
      <x:c r="J21" s="405" t="n">
        <x:f>IF('02_Assumptions'!$C$8=4,$I21,$H21)</x:f>
        <x:v>316800000</x:v>
      </x:c>
      <x:c r="K21" s="264" t="str">
        <x:v>Verify quality before spreading</x:v>
      </x:c>
    </x:row>
    <x:row r="22">
      <x:c r="A22" s="264" t="str">
        <x:v>B Soil</x:v>
      </x:c>
      <x:c r="B22" s="264" t="str">
        <x:v>Initial dolomite</x:v>
      </x:c>
      <x:c r="C22" s="264" t="str">
        <x:v>ton</x:v>
      </x:c>
      <x:c r="D22" s="420" t="n">
        <x:f>'02_Assumptions'!$C$24*'02_Assumptions'!$C$108*'02_Assumptions'!$C$109</x:f>
        <x:v>92.39999999999999</x:v>
      </x:c>
      <x:c r="E22" s="420" t="n">
        <x:f>'02_Assumptions'!$C$24*'02_Assumptions'!$C$108*'02_Assumptions'!$C$109</x:f>
        <x:v>92.39999999999999</x:v>
      </x:c>
      <x:c r="F22" s="281" t="str">
        <x:v>ton</x:v>
      </x:c>
      <x:c r="G22" s="401" t="n">
        <x:f>'02_Assumptions'!$C$75*1000</x:f>
        <x:v>1500000</x:v>
      </x:c>
      <x:c r="H22" s="405" t="n">
        <x:f>$D22*$G22</x:f>
        <x:v>138600000</x:v>
      </x:c>
      <x:c r="I22" s="405" t="n">
        <x:f>$E22*$G22</x:f>
        <x:v>138600000</x:v>
      </x:c>
      <x:c r="J22" s="405" t="n">
        <x:f>IF('02_Assumptions'!$C$8=4,$I22,$H22)</x:f>
        <x:v>138600000</x:v>
      </x:c>
      <x:c r="K22" s="264" t="str">
        <x:v>Conditional on lime requirement</x:v>
      </x:c>
    </x:row>
    <x:row r="23">
      <x:c r="A23" s="264" t="str">
        <x:v>C Road</x:v>
      </x:c>
      <x:c r="B23" s="264" t="str">
        <x:v>Main/collection roads</x:v>
      </x:c>
      <x:c r="C23" s="264" t="str">
        <x:v>m</x:v>
      </x:c>
      <x:c r="D23" s="420" t="n">
        <x:f>'02_Assumptions'!$C$6*'02_Assumptions'!$C$158</x:f>
        <x:v>4000</x:v>
      </x:c>
      <x:c r="E23" s="420" t="n">
        <x:f>'02_Assumptions'!$C$6*'02_Assumptions'!$C$158*(1+'02_Assumptions'!$C$159*3)</x:f>
        <x:v>4500.000004</x:v>
      </x:c>
      <x:c r="F23" s="281" t="str">
        <x:v>m</x:v>
      </x:c>
      <x:c r="G23" s="401" t="n">
        <x:f>'02_Assumptions'!$C$98</x:f>
        <x:v>350000</x:v>
      </x:c>
      <x:c r="H23" s="405" t="n">
        <x:f>$D23*$G23</x:f>
        <x:v>1400000000</x:v>
      </x:c>
      <x:c r="I23" s="405" t="n">
        <x:f>$E23*$G23</x:f>
        <x:v>1575000001.4</x:v>
      </x:c>
      <x:c r="J23" s="405" t="n">
        <x:f>IF('02_Assumptions'!$C$8=4,$I23,$H23)</x:f>
        <x:v>1400000000</x:v>
      </x:c>
      <x:c r="K23" s="264" t="str">
        <x:v>One-site grid vs split access</x:v>
      </x:c>
    </x:row>
    <x:row r="24">
      <x:c r="A24" s="264" t="str">
        <x:v>C Road</x:v>
      </x:c>
      <x:c r="B24" s="264" t="str">
        <x:v>Field tracks</x:v>
      </x:c>
      <x:c r="C24" s="264" t="str">
        <x:v>m</x:v>
      </x:c>
      <x:c r="D24" s="420" t="n">
        <x:f>'02_Assumptions'!$C$6*'02_Assumptions'!$C$160</x:f>
        <x:v>6000</x:v>
      </x:c>
      <x:c r="E24" s="420" t="n">
        <x:f>'02_Assumptions'!$C$6*'02_Assumptions'!$C$160*(1+'02_Assumptions'!$C$161*3)</x:f>
        <x:v>7000.000008</x:v>
      </x:c>
      <x:c r="F24" s="281" t="str">
        <x:v>m</x:v>
      </x:c>
      <x:c r="G24" s="401" t="n">
        <x:f>'02_Assumptions'!$C$99</x:f>
        <x:v>120000</x:v>
      </x:c>
      <x:c r="H24" s="405" t="n">
        <x:f>$D24*$G24</x:f>
        <x:v>720000000</x:v>
      </x:c>
      <x:c r="I24" s="405" t="n">
        <x:f>$E24*$G24</x:f>
        <x:v>840000000.96</x:v>
      </x:c>
      <x:c r="J24" s="405" t="n">
        <x:f>IF('02_Assumptions'!$C$8=4,$I24,$H24)</x:f>
        <x:v>720000000</x:v>
      </x:c>
      <x:c r="K24" s="264" t="str">
        <x:v>Design after slope/topo</x:v>
      </x:c>
    </x:row>
    <x:row r="25">
      <x:c r="A25" s="264" t="str">
        <x:v>C Drain</x:v>
      </x:c>
      <x:c r="B25" s="264" t="str">
        <x:v>Field drains</x:v>
      </x:c>
      <x:c r="C25" s="264" t="str">
        <x:v>m</x:v>
      </x:c>
      <x:c r="D25" s="420" t="n">
        <x:f>'02_Assumptions'!$C$6*'02_Assumptions'!$C$162</x:f>
        <x:v>8000</x:v>
      </x:c>
      <x:c r="E25" s="420" t="n">
        <x:f>'02_Assumptions'!$C$6*'02_Assumptions'!$C$162*(1+'02_Assumptions'!$C$163*3)</x:f>
        <x:v>9000.000008</x:v>
      </x:c>
      <x:c r="F25" s="281" t="str">
        <x:v>m</x:v>
      </x:c>
      <x:c r="G25" s="401" t="n">
        <x:f>'02_Assumptions'!$C$100</x:f>
        <x:v>45000</x:v>
      </x:c>
      <x:c r="H25" s="405" t="n">
        <x:f>$D25*$G25</x:f>
        <x:v>360000000</x:v>
      </x:c>
      <x:c r="I25" s="405" t="n">
        <x:f>$E25*$G25</x:f>
        <x:v>405000000.36</x:v>
      </x:c>
      <x:c r="J25" s="405" t="n">
        <x:f>IF('02_Assumptions'!$C$8=4,$I25,$H25)</x:f>
        <x:v>360000000</x:v>
      </x:c>
      <x:c r="K25" s="264" t="str">
        <x:v>Durian and banana require drainage</x:v>
      </x:c>
    </x:row>
    <x:row r="26">
      <x:c r="A26" s="264" t="str">
        <x:v>C Drain</x:v>
      </x:c>
      <x:c r="B26" s="264" t="str">
        <x:v>Culverts/cross drains</x:v>
      </x:c>
      <x:c r="C26" s="264" t="str">
        <x:v>unit</x:v>
      </x:c>
      <x:c r="D26" s="420" t="n">
        <x:f>'02_Assumptions'!$C$6*'02_Assumptions'!$C$164</x:f>
        <x:v>20</x:v>
      </x:c>
      <x:c r="E26" s="420" t="n">
        <x:f>'02_Assumptions'!$C$6*'02_Assumptions'!$C$164+'02_Assumptions'!$C$165*3</x:f>
        <x:v>32</x:v>
      </x:c>
      <x:c r="F26" s="281" t="str">
        <x:v>unit</x:v>
      </x:c>
      <x:c r="G26" s="401" t="n">
        <x:f>'02_Assumptions'!$C$102</x:f>
        <x:v>12000000</x:v>
      </x:c>
      <x:c r="H26" s="405" t="n">
        <x:f>$D26*$G26</x:f>
        <x:v>240000000</x:v>
      </x:c>
      <x:c r="I26" s="405" t="n">
        <x:f>$E26*$G26</x:f>
        <x:v>384000000</x:v>
      </x:c>
      <x:c r="J26" s="405" t="n">
        <x:f>IF('02_Assumptions'!$C$8=4,$I26,$H26)</x:f>
        <x:v>240000000</x:v>
      </x:c>
      <x:c r="K26" s="264" t="str">
        <x:v>Hydrology design required</x:v>
      </x:c>
    </x:row>
    <x:row r="27">
      <x:c r="A27" s="264" t="str">
        <x:v>C Boundary</x:v>
      </x:c>
      <x:c r="B27" s="264" t="str">
        <x:v>Fence/live boundary</x:v>
      </x:c>
      <x:c r="C27" s="264" t="str">
        <x:v>m</x:v>
      </x:c>
      <x:c r="D27" s="420" t="n">
        <x:f>400*SQRT('02_Assumptions'!$C$6)</x:f>
        <x:v>4000</x:v>
      </x:c>
      <x:c r="E27" s="420" t="n">
        <x:f>400*SQRT('02_Assumptions'!$C$6*4)</x:f>
        <x:v>8000</x:v>
      </x:c>
      <x:c r="F27" s="281" t="str">
        <x:v>m</x:v>
      </x:c>
      <x:c r="G27" s="401" t="n">
        <x:f>'02_Assumptions'!$C$101</x:f>
        <x:v>75000</x:v>
      </x:c>
      <x:c r="H27" s="405" t="n">
        <x:f>$D27*$G27</x:f>
        <x:v>300000000</x:v>
      </x:c>
      <x:c r="I27" s="405" t="n">
        <x:f>$E27*$G27</x:f>
        <x:v>600000000</x:v>
      </x:c>
      <x:c r="J27" s="405" t="n">
        <x:f>IF('02_Assumptions'!$C$8=4,$I27,$H27)</x:f>
        <x:v>300000000</x:v>
      </x:c>
      <x:c r="K27" s="264" t="str">
        <x:v>Square geometry: split sites double perimeter</x:v>
      </x:c>
    </x:row>
    <x:row r="28">
      <x:c r="A28" s="264" t="str">
        <x:v>C Facility</x:v>
      </x:c>
      <x:c r="B28" s="264" t="str">
        <x:v>Basecamp/office</x:v>
      </x:c>
      <x:c r="C28" s="264" t="str">
        <x:v>site</x:v>
      </x:c>
      <x:c r="D28" s="420" t="n">
        <x:f>1</x:f>
        <x:v>1</x:v>
      </x:c>
      <x:c r="E28" s="420" t="n">
        <x:f>4</x:f>
        <x:v>4</x:v>
      </x:c>
      <x:c r="F28" s="281" t="str">
        <x:v>site</x:v>
      </x:c>
      <x:c r="G28" s="401" t="n">
        <x:f>'02_Assumptions'!$C$103</x:f>
        <x:v>350000000</x:v>
      </x:c>
      <x:c r="H28" s="405" t="n">
        <x:f>$D28*$G28</x:f>
        <x:v>350000000</x:v>
      </x:c>
      <x:c r="I28" s="405" t="n">
        <x:f>$E28*$G28</x:f>
        <x:v>1400000000</x:v>
      </x:c>
      <x:c r="J28" s="405" t="n">
        <x:f>IF('02_Assumptions'!$C$8=4,$I28,$H28)</x:f>
        <x:v>350000000</x:v>
      </x:c>
      <x:c r="K28" s="264" t="str">
        <x:v>Satellite version may be smaller; conservative duplication</x:v>
      </x:c>
    </x:row>
    <x:row r="29">
      <x:c r="A29" s="264" t="str">
        <x:v>C Facility</x:v>
      </x:c>
      <x:c r="B29" s="264" t="str">
        <x:v>Nursery/warehouse</x:v>
      </x:c>
      <x:c r="C29" s="264" t="str">
        <x:v>site</x:v>
      </x:c>
      <x:c r="D29" s="420" t="n">
        <x:f>1</x:f>
        <x:v>1</x:v>
      </x:c>
      <x:c r="E29" s="420" t="n">
        <x:f>4</x:f>
        <x:v>4</x:v>
      </x:c>
      <x:c r="F29" s="281" t="str">
        <x:v>site</x:v>
      </x:c>
      <x:c r="G29" s="401" t="n">
        <x:f>'02_Assumptions'!$C$104</x:f>
        <x:v>250000000</x:v>
      </x:c>
      <x:c r="H29" s="405" t="n">
        <x:f>$D29*$G29</x:f>
        <x:v>250000000</x:v>
      </x:c>
      <x:c r="I29" s="405" t="n">
        <x:f>$E29*$G29</x:f>
        <x:v>1000000000</x:v>
      </x:c>
      <x:c r="J29" s="405" t="n">
        <x:f>IF('02_Assumptions'!$C$8=4,$I29,$H29)</x:f>
        <x:v>250000000</x:v>
      </x:c>
      <x:c r="K29" s="264" t="str">
        <x:v>Acclimatization, quarantine, input store</x:v>
      </x:c>
    </x:row>
    <x:row r="30">
      <x:c r="A30" s="264" t="str">
        <x:v>C Water</x:v>
      </x:c>
      <x:c r="B30" s="264" t="str">
        <x:v>Reservoir/pump/tank/mainline</x:v>
      </x:c>
      <x:c r="C30" s="264" t="str">
        <x:v>site</x:v>
      </x:c>
      <x:c r="D30" s="420" t="n">
        <x:f>1</x:f>
        <x:v>1</x:v>
      </x:c>
      <x:c r="E30" s="420" t="n">
        <x:f>4</x:f>
        <x:v>4</x:v>
      </x:c>
      <x:c r="F30" s="281" t="str">
        <x:v>site</x:v>
      </x:c>
      <x:c r="G30" s="401" t="n">
        <x:f>'02_Assumptions'!$C$105</x:f>
        <x:v>350000000</x:v>
      </x:c>
      <x:c r="H30" s="405" t="n">
        <x:f>$D30*$G30</x:f>
        <x:v>350000000</x:v>
      </x:c>
      <x:c r="I30" s="405" t="n">
        <x:f>$E30*$G30</x:f>
        <x:v>1400000000</x:v>
      </x:c>
      <x:c r="J30" s="405" t="n">
        <x:f>IF('02_Assumptions'!$C$8=4,$I30,$H30)</x:f>
        <x:v>350000000</x:v>
      </x:c>
      <x:c r="K30" s="264" t="str">
        <x:v>Supplemental only; borehole not assumed</x:v>
      </x:c>
    </x:row>
    <x:row r="31">
      <x:c r="A31" s="264" t="str">
        <x:v>C Power</x:v>
      </x:c>
      <x:c r="B31" s="264" t="str">
        <x:v>Power/comms/security infrastructure</x:v>
      </x:c>
      <x:c r="C31" s="264" t="str">
        <x:v>site</x:v>
      </x:c>
      <x:c r="D31" s="420" t="n">
        <x:f>1</x:f>
        <x:v>1</x:v>
      </x:c>
      <x:c r="E31" s="420" t="n">
        <x:f>4</x:f>
        <x:v>4</x:v>
      </x:c>
      <x:c r="F31" s="281" t="str">
        <x:v>site</x:v>
      </x:c>
      <x:c r="G31" s="401" t="n">
        <x:v>100000000</x:v>
      </x:c>
      <x:c r="H31" s="405" t="n">
        <x:f>$D31*$G31</x:f>
        <x:v>100000000</x:v>
      </x:c>
      <x:c r="I31" s="405" t="n">
        <x:f>$E31*$G31</x:f>
        <x:v>400000000</x:v>
      </x:c>
      <x:c r="J31" s="405" t="n">
        <x:f>IF('02_Assumptions'!$C$8=4,$I31,$H31)</x:f>
        <x:v>100000000</x:v>
      </x:c>
      <x:c r="K31" s="264" t="str">
        <x:v>Solar/backup/CCTV allowance</x:v>
      </x:c>
    </x:row>
    <x:row r="32">
      <x:c r="A32" s="264" t="str">
        <x:v>C Mobilization</x:v>
      </x:c>
      <x:c r="B32" s="264" t="str">
        <x:v>Heavy equipment mobilization</x:v>
      </x:c>
      <x:c r="C32" s="264" t="str">
        <x:v>site</x:v>
      </x:c>
      <x:c r="D32" s="420" t="n">
        <x:f>1</x:f>
        <x:v>1</x:v>
      </x:c>
      <x:c r="E32" s="420" t="n">
        <x:f>4</x:f>
        <x:v>4</x:v>
      </x:c>
      <x:c r="F32" s="281" t="str">
        <x:v>site</x:v>
      </x:c>
      <x:c r="G32" s="401" t="n">
        <x:f>'02_Assumptions'!$C$106</x:f>
        <x:v>75000000</x:v>
      </x:c>
      <x:c r="H32" s="405" t="n">
        <x:f>$D32*$G32</x:f>
        <x:v>75000000</x:v>
      </x:c>
      <x:c r="I32" s="405" t="n">
        <x:f>$E32*$G32</x:f>
        <x:v>300000000</x:v>
      </x:c>
      <x:c r="J32" s="405" t="n">
        <x:f>IF('02_Assumptions'!$C$8=4,$I32,$H32)</x:f>
        <x:v>75000000</x:v>
      </x:c>
      <x:c r="K32" s="264" t="str">
        <x:v>Distance-dependent</x:v>
      </x:c>
    </x:row>
    <x:row r="33">
      <x:c r="A33" s="264" t="str">
        <x:v>D Planting</x:v>
      </x:c>
      <x:c r="B33" s="264" t="str">
        <x:v>All planting stock</x:v>
      </x:c>
      <x:c r="C33" s="264" t="str">
        <x:v>calculated</x:v>
      </x:c>
      <x:c r="D33" s="420" t="n">
        <x:f>'04_Planting_Design'!$G$19+'17_Model_Fleksibel'!$M$18</x:f>
        <x:v>1736768000.0000002</x:v>
      </x:c>
      <x:c r="E33" s="420" t="n">
        <x:f>'04_Planting_Design'!$G$19+'17_Model_Fleksibel'!$M$18</x:f>
        <x:v>1736768000.0000002</x:v>
      </x:c>
      <x:c r="F33" s="281" t="str">
        <x:v>Rp</x:v>
      </x:c>
      <x:c r="G33" s="401" t="n">
        <x:v>1</x:v>
      </x:c>
      <x:c r="H33" s="405" t="n">
        <x:f>$D33*$G33</x:f>
        <x:v>1736768000.0000002</x:v>
      </x:c>
      <x:c r="I33" s="405" t="n">
        <x:f>$E33*$G33</x:f>
        <x:v>1736768000.0000002</x:v>
      </x:c>
      <x:c r="J33" s="405" t="n">
        <x:f>IF('02_Assumptions'!$C$8=4,$I33,$H33)</x:f>
        <x:v>1736768000.0000002</x:v>
      </x:c>
      <x:c r="K33" s="264" t="str">
        <x:v>Procurement incl. 10% reserve</x:v>
      </x:c>
    </x:row>
    <x:row r="34">
      <x:c r="A34" s="264" t="str">
        <x:v>D Planting</x:v>
      </x:c>
      <x:c r="B34" s="264" t="str">
        <x:v>Seedling freight/handling</x:v>
      </x:c>
      <x:c r="C34" s="264" t="str">
        <x:v>% stock</x:v>
      </x:c>
      <x:c r="D34" s="420" t="n">
        <x:f>$D$33*'02_Assumptions'!$C$171</x:f>
        <x:v>173676800.00000003</x:v>
      </x:c>
      <x:c r="E34" s="420" t="n">
        <x:f>$E$33*('02_Assumptions'!$C$171+'02_Assumptions'!$C$172*3)</x:f>
        <x:v>243147518.26323202</x:v>
      </x:c>
      <x:c r="F34" s="281" t="str">
        <x:v>Rp</x:v>
      </x:c>
      <x:c r="G34" s="401" t="n">
        <x:v>1</x:v>
      </x:c>
      <x:c r="H34" s="405" t="n">
        <x:f>$D34*$G34</x:f>
        <x:v>173676800.00000003</x:v>
      </x:c>
      <x:c r="I34" s="405" t="n">
        <x:f>$E34*$G34</x:f>
        <x:v>243147518.26323202</x:v>
      </x:c>
      <x:c r="J34" s="405" t="n">
        <x:f>IF('02_Assumptions'!$C$8=4,$I34,$H34)</x:f>
        <x:v>173676800.00000003</x:v>
      </x:c>
      <x:c r="K34" s="264" t="str">
        <x:v>Higher logistics for split sites</x:v>
      </x:c>
    </x:row>
    <x:row r="35">
      <x:c r="A35" s="264" t="str">
        <x:v>D Planting</x:v>
      </x:c>
      <x:c r="B35" s="264" t="str">
        <x:v>Quarantine/acclimatization/QC</x:v>
      </x:c>
      <x:c r="C35" s="264" t="str">
        <x:v>% stock</x:v>
      </x:c>
      <x:c r="D35" s="420" t="n">
        <x:f>$D$33*'02_Assumptions'!$C$173</x:f>
        <x:v>86838400.00000001</x:v>
      </x:c>
      <x:c r="E35" s="420" t="n">
        <x:f>$E$33*('02_Assumptions'!$C$173+'02_Assumptions'!$C$174*3)</x:f>
        <x:v>121573761.73676802</x:v>
      </x:c>
      <x:c r="F35" s="281" t="str">
        <x:v>Rp</x:v>
      </x:c>
      <x:c r="G35" s="401" t="n">
        <x:v>1</x:v>
      </x:c>
      <x:c r="H35" s="405" t="n">
        <x:f>$D35*$G35</x:f>
        <x:v>86838400.00000001</x:v>
      </x:c>
      <x:c r="I35" s="405" t="n">
        <x:f>$E35*$G35</x:f>
        <x:v>121573761.73676802</x:v>
      </x:c>
      <x:c r="J35" s="405" t="n">
        <x:f>IF('02_Assumptions'!$C$8=4,$I35,$H35)</x:f>
        <x:v>86838400.00000001</x:v>
      </x:c>
      <x:c r="K35" s="264" t="str">
        <x:v>Critical for banana tissue culture</x:v>
      </x:c>
    </x:row>
    <x:row r="36">
      <x:c r="A36" s="264" t="str">
        <x:v>D Planting</x:v>
      </x:c>
      <x:c r="B36" s="264" t="str">
        <x:v>Mycorrhiza/root inoculant</x:v>
      </x:c>
      <x:c r="C36" s="264" t="str">
        <x:v>tree kg</x:v>
      </x:c>
      <x:c r="D36" s="420" t="n">
        <x:f>('04_Planting_Design'!$D$8+'04_Planting_Design'!$F$8)*'02_Assumptions'!$C$175</x:f>
        <x:v>497.20000000000005</x:v>
      </x:c>
      <x:c r="E36" s="420" t="n">
        <x:f>('04_Planting_Design'!$D$8+'04_Planting_Design'!$F$8)*'02_Assumptions'!$C$175</x:f>
        <x:v>497.20000000000005</x:v>
      </x:c>
      <x:c r="F36" s="281" t="str">
        <x:v>kg</x:v>
      </x:c>
      <x:c r="G36" s="401" t="n">
        <x:v>120000</x:v>
      </x:c>
      <x:c r="H36" s="405" t="n">
        <x:f>$D36*$G36</x:f>
        <x:v>59664000.00000001</x:v>
      </x:c>
      <x:c r="I36" s="405" t="n">
        <x:f>$E36*$G36</x:f>
        <x:v>59664000.00000001</x:v>
      </x:c>
      <x:c r="J36" s="405" t="n">
        <x:f>IF('02_Assumptions'!$C$8=4,$I36,$H36)</x:f>
        <x:v>59664000.00000001</x:v>
      </x:c>
      <x:c r="K36" s="264" t="str">
        <x:v>Product quality/spec to verify</x:v>
      </x:c>
    </x:row>
    <x:row r="37">
      <x:c r="A37" s="264" t="str">
        <x:v>D Ecology</x:v>
      </x:c>
      <x:c r="B37" s="264" t="str">
        <x:v>Cover crop/insectary establishment</x:v>
      </x:c>
      <x:c r="C37" s="264" t="str">
        <x:v>net ha</x:v>
      </x:c>
      <x:c r="D37" s="420" t="n">
        <x:f>0</x:f>
        <x:v>0</x:v>
      </x:c>
      <x:c r="E37" s="420" t="n">
        <x:f>0</x:f>
        <x:v>0</x:v>
      </x:c>
      <x:c r="F37" s="281" t="str">
        <x:v>ha</x:v>
      </x:c>
      <x:c r="G37" s="401" t="n">
        <x:f>'02_Assumptions'!$C$59</x:f>
        <x:v>1200000</x:v>
      </x:c>
      <x:c r="H37" s="405" t="n">
        <x:f>$D37*$G37</x:f>
        <x:v>0</x:v>
      </x:c>
      <x:c r="I37" s="405" t="n">
        <x:f>$E37*$G37</x:f>
        <x:v>0</x:v>
      </x:c>
      <x:c r="J37" s="405" t="n">
        <x:f>IF('02_Assumptions'!$C$8=4,$I37,$H37)</x:f>
        <x:v>0</x:v>
      </x:c>
      <x:c r="K37" s="264" t="str">
        <x:v>Biaya penutup tanah dan strip pendukung sudah dihitung pada 17_Model_Fleksibel agar tidak dihitung ganda</x:v>
      </x:c>
    </x:row>
    <x:row r="38">
      <x:c r="A38" s="264" t="str">
        <x:v>E Equipment</x:v>
      </x:c>
      <x:c r="B38" s="264" t="str">
        <x:v>Tools, machines, vehicles, PPE</x:v>
      </x:c>
      <x:c r="C38" s="264" t="str">
        <x:v>equipment</x:v>
      </x:c>
      <x:c r="D38" s="420" t="n">
        <x:f>'06_Equipment_Tools'!$I$39</x:f>
        <x:v>2287100000</x:v>
      </x:c>
      <x:c r="E38" s="420" t="n">
        <x:f>'06_Equipment_Tools'!$J$39</x:f>
        <x:v>4365600000</x:v>
      </x:c>
      <x:c r="F38" s="281" t="str">
        <x:v>Rp</x:v>
      </x:c>
      <x:c r="G38" s="401" t="n">
        <x:v>1</x:v>
      </x:c>
      <x:c r="H38" s="405" t="n">
        <x:f>$D38*$G38</x:f>
        <x:v>2287100000</x:v>
      </x:c>
      <x:c r="I38" s="405" t="n">
        <x:f>$E38*$G38</x:f>
        <x:v>4365600000</x:v>
      </x:c>
      <x:c r="J38" s="405" t="n">
        <x:f>IF('02_Assumptions'!$C$8=4,$I38,$H38)</x:f>
        <x:v>2287100000</x:v>
      </x:c>
      <x:c r="K38" s="264" t="str">
        <x:v>Detailed in 06_Equipment_Tools</x:v>
      </x:c>
    </x:row>
    <x:row r="39">
      <x:c r="A39" s="264" t="str">
        <x:v>F Systems</x:v>
      </x:c>
      <x:c r="B39" s="264" t="str">
        <x:v>Certification/ESG/traceability Y0</x:v>
      </x:c>
      <x:c r="C39" s="264" t="str">
        <x:v>system</x:v>
      </x:c>
      <x:c r="D39" s="420" t="n">
        <x:f>'14_Certification_ESG'!$C$15</x:f>
        <x:v>380000000</x:v>
      </x:c>
      <x:c r="E39" s="420" t="n">
        <x:f>'14_Certification_ESG'!$C$15+'02_Assumptions'!$C$176*3</x:f>
        <x:v>455000000</x:v>
      </x:c>
      <x:c r="F39" s="281" t="str">
        <x:v>Rp</x:v>
      </x:c>
      <x:c r="G39" s="401" t="n">
        <x:v>1</x:v>
      </x:c>
      <x:c r="H39" s="405" t="n">
        <x:f>$D39*$G39</x:f>
        <x:v>380000000</x:v>
      </x:c>
      <x:c r="I39" s="405" t="n">
        <x:f>$E39*$G39</x:f>
        <x:v>455000000</x:v>
      </x:c>
      <x:c r="J39" s="405" t="n">
        <x:f>IF('02_Assumptions'!$C$8=4,$I39,$H39)</x:f>
        <x:v>380000000</x:v>
      </x:c>
      <x:c r="K39" s="264" t="str">
        <x:v>Split-site system/training uplift</x:v>
      </x:c>
    </x:row>
    <x:row r="40">
      <x:c r="A40" s="264" t="str">
        <x:v>F Payroll</x:v>
      </x:c>
      <x:c r="B40" s="264" t="str">
        <x:v>Development-year permanent payroll</x:v>
      </x:c>
      <x:c r="C40" s="264" t="str">
        <x:v>annual</x:v>
      </x:c>
      <x:c r="D40" s="420" t="n">
        <x:f>'09_OPEX_10Y'!$F$34</x:f>
        <x:v>1097100000</x:v>
      </x:c>
      <x:c r="E40" s="420" t="n">
        <x:f>'09_OPEX_10Y'!$G$34</x:f>
        <x:v>2001000000</x:v>
      </x:c>
      <x:c r="F40" s="281" t="str">
        <x:v>Rp</x:v>
      </x:c>
      <x:c r="G40" s="401" t="n">
        <x:v>1</x:v>
      </x:c>
      <x:c r="H40" s="405" t="n">
        <x:f>$D40*$G40</x:f>
        <x:v>1097100000</x:v>
      </x:c>
      <x:c r="I40" s="405" t="n">
        <x:f>$E40*$G40</x:f>
        <x:v>2001000000</x:v>
      </x:c>
      <x:c r="J40" s="405" t="n">
        <x:f>IF('02_Assumptions'!$C$8=4,$I40,$H40)</x:f>
        <x:v>1097100000</x:v>
      </x:c>
      <x:c r="K40" s="264" t="str">
        <x:v>Management staff only; direct field crew elsewhere</x:v>
      </x:c>
    </x:row>
    <x:row r="41">
      <x:c r="A41" s="392" t="str">
        <x:v>SUBTOTAL SEBELUM CADANGAN</x:v>
      </x:c>
      <x:c r="B41" s="392"/>
      <x:c r="C41" s="392"/>
      <x:c r="D41" s="392"/>
      <x:c r="E41" s="392"/>
      <x:c r="F41" s="392"/>
      <x:c r="G41" s="392"/>
      <x:c r="H41" s="421" t="n">
        <x:f>SUM(H5:H40)+'17_Model_Fleksibel'!$I$84</x:f>
        <x:v>13197036800</x:v>
      </x:c>
      <x:c r="I41" s="421" t="n">
        <x:f>SUM(I5:I40)+'17_Model_Fleksibel'!$J$84</x:f>
        <x:v>20985942882.72</x:v>
      </x:c>
      <x:c r="J41" s="421" t="n">
        <x:f>IF('02_Assumptions'!$C$8=4,I41,H41)</x:f>
        <x:v>13197036800</x:v>
      </x:c>
      <x:c r="K41" s="392"/>
    </x:row>
    <x:row r="42">
      <x:c r="A42" s="417" t="str">
        <x:v>CADANGAN (tidak termasuk akuisisi lahan)</x:v>
      </x:c>
      <x:c r="B42" s="417"/>
      <x:c r="C42" s="417"/>
      <x:c r="D42" s="417"/>
      <x:c r="E42" s="417"/>
      <x:c r="F42" s="417"/>
      <x:c r="G42" s="417"/>
      <x:c r="H42" s="422" t="n">
        <x:f>(H41-H5)*'02_Assumptions'!$C$14</x:f>
        <x:v>1319703680</x:v>
      </x:c>
      <x:c r="I42" s="422" t="n">
        <x:f>(I41-I5)*'02_Assumptions'!$C$14</x:f>
        <x:v>2098594288.2720003</x:v>
      </x:c>
      <x:c r="J42" s="422" t="n">
        <x:f>IF('02_Assumptions'!$C$8=4,I42,H42)</x:f>
        <x:v>1319703680</x:v>
      </x:c>
      <x:c r="K42" s="417"/>
    </x:row>
    <x:row r="43">
      <x:c r="A43" s="393" t="str">
        <x:v>TOTAL INVESTASI AWAL</x:v>
      </x:c>
      <x:c r="B43" s="393"/>
      <x:c r="C43" s="393"/>
      <x:c r="D43" s="393"/>
      <x:c r="E43" s="393"/>
      <x:c r="F43" s="393"/>
      <x:c r="G43" s="393"/>
      <x:c r="H43" s="423" t="n">
        <x:f>H41+H42</x:f>
        <x:v>14516740480</x:v>
      </x:c>
      <x:c r="I43" s="423" t="n">
        <x:f>I41+I42</x:f>
        <x:v>23084537170.992</x:v>
      </x:c>
      <x:c r="J43" s="423" t="n">
        <x:f>IF('02_Assumptions'!$C$8=4,I43,H43)</x:f>
        <x:v>14516740480</x:v>
      </x:c>
      <x:c r="K43" s="393"/>
    </x:row>
  </x:sheetData>
  <x:mergeCells>
    <x:mergeCell ref="A1:K1"/>
    <x:mergeCell ref="A2:K2"/>
    <x:mergeCell ref="A41:G41"/>
    <x:mergeCell ref="A42:G42"/>
    <x:mergeCell ref="A43:G43"/>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9" hidden="0" customWidth="1"/>
    <x:col min="2" max="2" width="17" hidden="0" customWidth="1"/>
    <x:col min="3" max="3" width="17" hidden="0" customWidth="1"/>
    <x:col min="4" max="4" width="17" hidden="0" customWidth="1"/>
    <x:col min="5" max="5" width="13" hidden="0" customWidth="1"/>
    <x:col min="6" max="6" width="18" hidden="0" customWidth="1"/>
    <x:col min="7" max="7" width="18" hidden="0" customWidth="1"/>
    <x:col min="8" max="8" width="12" hidden="0" customWidth="1"/>
    <x:col min="9" max="9" width="18" hidden="0" customWidth="1"/>
    <x:col min="10" max="10" width="20" hidden="0" customWidth="1"/>
    <x:col min="11" max="11" width="18" hidden="0" customWidth="1"/>
  </x:cols>
  <x:sheetData>
    <x:row r="1" ht="28" customHeight="1">
      <x:c r="A1" s="313" t="str">
        <x:v>Rencana Biaya Operasional 10 Tahun</x:v>
      </x:c>
      <x:c r="B1" s="313"/>
      <x:c r="C1" s="313"/>
      <x:c r="D1" s="313"/>
      <x:c r="E1" s="313"/>
      <x:c r="F1" s="313"/>
      <x:c r="G1" s="313"/>
      <x:c r="H1" s="313"/>
      <x:c r="I1" s="313"/>
      <x:c r="J1" s="313"/>
      <x:c r="K1" s="313"/>
    </x:row>
    <x:row r="2" ht="38" customHeight="1">
      <x:c r="A2" s="7" t="str">
        <x:v>Proyeksi biaya operasional nominal Tahun 1–10: staf, HOK, input, perawatan, penggantian alat, panen, sertifikasi, dan biaya tambahan aktif. Perubahan upah, inflasi, luas, lokasi, dosis, atau aktivitas akan mengalir ke total tahunan.</x:v>
      </x:c>
      <x:c r="B2" s="7"/>
      <x:c r="C2" s="7"/>
      <x:c r="D2" s="7"/>
      <x:c r="E2" s="7"/>
      <x:c r="F2" s="7"/>
      <x:c r="G2" s="7"/>
      <x:c r="H2" s="7"/>
      <x:c r="I2" s="7"/>
      <x:c r="J2" s="7"/>
      <x:c r="K2" s="7"/>
    </x:row>
    <x:row r="3">
      <x:c r="A3" s="261"/>
      <x:c r="B3" s="261"/>
      <x:c r="C3" s="261"/>
      <x:c r="D3" s="261"/>
      <x:c r="E3" s="261"/>
      <x:c r="F3" s="261"/>
      <x:c r="G3" s="261"/>
      <x:c r="H3" s="261"/>
      <x:c r="I3" s="261"/>
      <x:c r="J3" s="261"/>
      <x:c r="K3" s="261"/>
    </x:row>
    <x:row r="4" ht="20" customHeight="1">
      <x:c r="A4" s="41" t="str">
        <x:v>A. Biaya operasi tahunan</x:v>
      </x:c>
      <x:c r="B4" s="41"/>
      <x:c r="C4" s="41"/>
      <x:c r="D4" s="41"/>
      <x:c r="E4" s="41"/>
      <x:c r="F4" s="41"/>
      <x:c r="G4" s="41"/>
      <x:c r="H4" s="41"/>
      <x:c r="I4" s="41"/>
      <x:c r="J4" s="41"/>
      <x:c r="K4" s="41"/>
    </x:row>
    <x:row r="5" ht="30" customHeight="1">
      <x:c r="A5" s="34" t="str">
        <x:v>Uraian biaya</x:v>
      </x:c>
      <x:c r="B5" s="35" t="str">
        <x:v>T1</x:v>
      </x:c>
      <x:c r="C5" s="35" t="str">
        <x:v>T2</x:v>
      </x:c>
      <x:c r="D5" s="35" t="str">
        <x:v>T3</x:v>
      </x:c>
      <x:c r="E5" s="35" t="str">
        <x:v>T4</x:v>
      </x:c>
      <x:c r="F5" s="35" t="str">
        <x:v>T5</x:v>
      </x:c>
      <x:c r="G5" s="35" t="str">
        <x:v>T6</x:v>
      </x:c>
      <x:c r="H5" s="35" t="str">
        <x:v>T7</x:v>
      </x:c>
      <x:c r="I5" s="35" t="str">
        <x:v>T8</x:v>
      </x:c>
      <x:c r="J5" s="35" t="str">
        <x:v>T9</x:v>
      </x:c>
      <x:c r="K5" s="36" t="str">
        <x:v>T10</x:v>
      </x:c>
    </x:row>
    <x:row r="6">
      <x:c r="A6" s="263" t="str">
        <x:v>Gaji staf tetap</x:v>
      </x:c>
      <x:c r="B6" s="271" t="n">
        <x:f>IF('02_Assumptions'!$C$8=4,$G$34,$F$34)*(1+'02_Assumptions'!$C$11)^0</x:f>
        <x:v>1097100000</x:v>
      </x:c>
      <x:c r="C6" s="271" t="n">
        <x:f>IF('02_Assumptions'!$C$8=4,$G$34,$F$34)*(1+'02_Assumptions'!$C$11)^1</x:f>
        <x:v>1140984000</x:v>
      </x:c>
      <x:c r="D6" s="271" t="n">
        <x:f>IF('02_Assumptions'!$C$8=4,$G$34,$F$34)*(1+'02_Assumptions'!$C$11)^2</x:f>
        <x:v>1186623360.0000002</x:v>
      </x:c>
      <x:c r="E6" s="271" t="n">
        <x:f>IF('02_Assumptions'!$C$8=4,$G$34,$F$34)*(1+'02_Assumptions'!$C$11)^3</x:f>
        <x:v>1234088294.4</x:v>
      </x:c>
      <x:c r="F6" s="271" t="n">
        <x:f>IF('02_Assumptions'!$C$8=4,$G$34,$F$34)*(1+'02_Assumptions'!$C$11)^4</x:f>
        <x:v>1283451826.176</x:v>
      </x:c>
      <x:c r="G6" s="271" t="n">
        <x:f>IF('02_Assumptions'!$C$8=4,$G$34,$F$34)*(1+'02_Assumptions'!$C$11)^5</x:f>
        <x:v>1334789899.22304</x:v>
      </x:c>
      <x:c r="H6" s="271" t="n">
        <x:f>IF('02_Assumptions'!$C$8=4,$G$34,$F$34)*(1+'02_Assumptions'!$C$11)^6</x:f>
        <x:v>1388181495.191962</x:v>
      </x:c>
      <x:c r="I6" s="271" t="n">
        <x:f>IF('02_Assumptions'!$C$8=4,$G$34,$F$34)*(1+'02_Assumptions'!$C$11)^7</x:f>
        <x:v>1443708754.9996405</x:v>
      </x:c>
      <x:c r="J6" s="271" t="n">
        <x:f>IF('02_Assumptions'!$C$8=4,$G$34,$F$34)*(1+'02_Assumptions'!$C$11)^8</x:f>
        <x:v>1501457105.199626</x:v>
      </x:c>
      <x:c r="K6" s="271" t="n">
        <x:f>IF('02_Assumptions'!$C$8=4,$G$34,$F$34)*(1+'02_Assumptions'!$C$11)^9</x:f>
        <x:v>1561515389.4076111</x:v>
      </x:c>
    </x:row>
    <x:row r="7">
      <x:c r="A7" s="263" t="str">
        <x:v>HOK pemeliharaan langsung</x:v>
      </x:c>
      <x:c r="B7" s="271" t="n">
        <x:f>('05_Workplan_Labor'!$B$41+'17_Model_Fleksibel'!$N$68)*'02_Assumptions'!$C$60*(1+'02_Assumptions'!$C$11)^0*(1+'02_Assumptions'!$C$177*('02_Assumptions'!$C$8-1))</x:f>
        <x:v>1030655999.9999999</x:v>
      </x:c>
      <x:c r="C7" s="271" t="n">
        <x:f>('05_Workplan_Labor'!$C$41+'17_Model_Fleksibel'!$O$68)*'02_Assumptions'!$C$60*(1+'02_Assumptions'!$C$11)^1*(1+'02_Assumptions'!$C$177*('02_Assumptions'!$C$8-1))</x:f>
        <x:v>990063360.0000001</x:v>
      </x:c>
      <x:c r="D7" s="271" t="n">
        <x:f>('05_Workplan_Labor'!$D$41+'17_Model_Fleksibel'!$P$68)*'02_Assumptions'!$C$60*(1+'02_Assumptions'!$C$11)^2*(1+'02_Assumptions'!$C$177*('02_Assumptions'!$C$8-1))</x:f>
        <x:v>958280294.4000001</x:v>
      </x:c>
      <x:c r="E7" s="271" t="n">
        <x:f>('05_Workplan_Labor'!$E$41+'17_Model_Fleksibel'!$Q$68)*'02_Assumptions'!$C$60*(1+'02_Assumptions'!$C$11)^3*(1+'02_Assumptions'!$C$177*('02_Assumptions'!$C$8-1))</x:f>
        <x:v>919400841.216</x:v>
      </x:c>
      <x:c r="F7" s="271" t="n">
        <x:f>('05_Workplan_Labor'!$F$41+'17_Model_Fleksibel'!$R$68)*'02_Assumptions'!$C$60*(1+'02_Assumptions'!$C$11)^4*(1+'02_Assumptions'!$C$177*('02_Assumptions'!$C$8-1))</x:f>
        <x:v>899349825.4540801</x:v>
      </x:c>
      <x:c r="G7" s="271" t="n">
        <x:f>('05_Workplan_Labor'!$G$41+'17_Model_Fleksibel'!$S$68)*'02_Assumptions'!$C$60*(1+'02_Assumptions'!$C$11)^5*(1+'02_Assumptions'!$C$177*('02_Assumptions'!$C$8-1))</x:f>
        <x:v>899349825.4540801</x:v>
      </x:c>
      <x:c r="H7" s="271" t="n">
        <x:f>('05_Workplan_Labor'!$H$41+'17_Model_Fleksibel'!$T$68)*'02_Assumptions'!$C$60*(1+'02_Assumptions'!$C$11)^6*(1+'02_Assumptions'!$C$177*('02_Assumptions'!$C$8-1))</x:f>
        <x:v>923298226.5204574</x:v>
      </x:c>
      <x:c r="I7" s="271" t="n">
        <x:f>('05_Workplan_Labor'!$I$41+'17_Model_Fleksibel'!$U$68)*'02_Assumptions'!$C$60*(1+'02_Assumptions'!$C$11)^7*(1+'02_Assumptions'!$C$177*('02_Assumptions'!$C$8-1))</x:f>
        <x:v>960230155.5812756</x:v>
      </x:c>
      <x:c r="J7" s="271" t="n">
        <x:f>('05_Workplan_Labor'!$J$41+'17_Model_Fleksibel'!$V$68)*'02_Assumptions'!$C$60*(1+'02_Assumptions'!$C$11)^8*(1+'02_Assumptions'!$C$177*('02_Assumptions'!$C$8-1))</x:f>
        <x:v>998639361.8045266</x:v>
      </x:c>
      <x:c r="K7" s="271" t="n">
        <x:f>('05_Workplan_Labor'!$K$41+'17_Model_Fleksibel'!$W$68)*'02_Assumptions'!$C$60*(1+'02_Assumptions'!$C$11)^9*(1+'02_Assumptions'!$C$177*('02_Assumptions'!$C$8-1))</x:f>
        <x:v>1038584936.2767078</x:v>
      </x:c>
    </x:row>
    <x:row r="8">
      <x:c r="A8" s="263" t="str">
        <x:v>Input pertanian</x:v>
      </x:c>
      <x:c r="B8" s="271" t="n">
        <x:f>'07_Agri_Inputs'!$B$34</x:f>
        <x:v>755362520</x:v>
      </x:c>
      <x:c r="C8" s="271" t="n">
        <x:f>'07_Agri_Inputs'!$C$34</x:f>
        <x:v>889799173.12</x:v>
      </x:c>
      <x:c r="D8" s="271" t="n">
        <x:f>'07_Agri_Inputs'!$D$34</x:f>
        <x:v>640236268.6720002</x:v>
      </x:c>
      <x:c r="E8" s="271" t="n">
        <x:f>'07_Agri_Inputs'!$E$34</x:f>
        <x:v>666548534.44608</x:v>
      </x:c>
      <x:c r="F8" s="271" t="n">
        <x:f>'07_Agri_Inputs'!$F$34</x:f>
        <x:v>631770089.1820033</x:v>
      </x:c>
      <x:c r="G8" s="271" t="n">
        <x:f>'07_Agri_Inputs'!$G$34</x:f>
        <x:v>711606802.0996015</x:v>
      </x:c>
      <x:c r="H8" s="271" t="n">
        <x:f>'07_Agri_Inputs'!$H$34</x:f>
        <x:v>705245572.3056184</x:v>
      </x:c>
      <x:c r="I8" s="271" t="n">
        <x:f>'07_Agri_Inputs'!$I$34</x:f>
        <x:v>820306892.6274085</x:v>
      </x:c>
      <x:c r="J8" s="271" t="n">
        <x:f>'07_Agri_Inputs'!$J$34</x:f>
        <x:v>762793611.0057569</x:v>
      </x:c>
      <x:c r="K8" s="271" t="n">
        <x:f>'07_Agri_Inputs'!$K$34</x:f>
        <x:v>887243935.0658052</x:v>
      </x:c>
    </x:row>
    <x:row r="9">
      <x:c r="A9" s="263" t="str">
        <x:v>Cadangan perbaikan peralatan</x:v>
      </x:c>
      <x:c r="B9" s="271" t="n">
        <x:f>IF('02_Assumptions'!$C$8=4,'06_Equipment_Tools'!$J$39,'06_Equipment_Tools'!$I$39)*'02_Assumptions'!$C$113*(1+'02_Assumptions'!$C$11)^0</x:f>
        <x:v>114355000</x:v>
      </x:c>
      <x:c r="C9" s="271" t="n">
        <x:f>IF('02_Assumptions'!$C$8=4,'06_Equipment_Tools'!$J$39,'06_Equipment_Tools'!$I$39)*'02_Assumptions'!$C$113*(1+'02_Assumptions'!$C$11)^1</x:f>
        <x:v>118929200</x:v>
      </x:c>
      <x:c r="D9" s="271" t="n">
        <x:f>IF('02_Assumptions'!$C$8=4,'06_Equipment_Tools'!$J$39,'06_Equipment_Tools'!$I$39)*'02_Assumptions'!$C$113*(1+'02_Assumptions'!$C$11)^2</x:f>
        <x:v>123686368.00000001</x:v>
      </x:c>
      <x:c r="E9" s="271" t="n">
        <x:f>IF('02_Assumptions'!$C$8=4,'06_Equipment_Tools'!$J$39,'06_Equipment_Tools'!$I$39)*'02_Assumptions'!$C$113*(1+'02_Assumptions'!$C$11)^3</x:f>
        <x:v>128633822.72000001</x:v>
      </x:c>
      <x:c r="F9" s="271" t="n">
        <x:f>IF('02_Assumptions'!$C$8=4,'06_Equipment_Tools'!$J$39,'06_Equipment_Tools'!$I$39)*'02_Assumptions'!$C$113*(1+'02_Assumptions'!$C$11)^4</x:f>
        <x:v>133779175.62880002</x:v>
      </x:c>
      <x:c r="G9" s="271" t="n">
        <x:f>IF('02_Assumptions'!$C$8=4,'06_Equipment_Tools'!$J$39,'06_Equipment_Tools'!$I$39)*'02_Assumptions'!$C$113*(1+'02_Assumptions'!$C$11)^5</x:f>
        <x:v>139130342.653952</x:v>
      </x:c>
      <x:c r="H9" s="271" t="n">
        <x:f>IF('02_Assumptions'!$C$8=4,'06_Equipment_Tools'!$J$39,'06_Equipment_Tools'!$I$39)*'02_Assumptions'!$C$113*(1+'02_Assumptions'!$C$11)^6</x:f>
        <x:v>144695556.36011013</x:v>
      </x:c>
      <x:c r="I9" s="271" t="n">
        <x:f>IF('02_Assumptions'!$C$8=4,'06_Equipment_Tools'!$J$39,'06_Equipment_Tools'!$I$39)*'02_Assumptions'!$C$113*(1+'02_Assumptions'!$C$11)^7</x:f>
        <x:v>150483378.6145145</x:v>
      </x:c>
      <x:c r="J9" s="271" t="n">
        <x:f>IF('02_Assumptions'!$C$8=4,'06_Equipment_Tools'!$J$39,'06_Equipment_Tools'!$I$39)*'02_Assumptions'!$C$113*(1+'02_Assumptions'!$C$11)^8</x:f>
        <x:v>156502713.7590951</x:v>
      </x:c>
      <x:c r="K9" s="271" t="n">
        <x:f>IF('02_Assumptions'!$C$8=4,'06_Equipment_Tools'!$J$39,'06_Equipment_Tools'!$I$39)*'02_Assumptions'!$C$113*(1+'02_Assumptions'!$C$11)^9</x:f>
        <x:v>162762822.3094589</x:v>
      </x:c>
    </x:row>
    <x:row r="10">
      <x:c r="A10" s="263" t="str">
        <x:v>BBM, listrik, dan air</x:v>
      </x:c>
      <x:c r="B10" s="271" t="n">
        <x:f>'02_Assumptions'!$C$179*(1+'02_Assumptions'!$C$11)^0*(1+'02_Assumptions'!$C$178*('02_Assumptions'!$C$8-1))</x:f>
        <x:v>250000000</x:v>
      </x:c>
      <x:c r="C10" s="271" t="n">
        <x:f>'02_Assumptions'!$C$179*(1+'02_Assumptions'!$C$11)^1*(1+'02_Assumptions'!$C$178*('02_Assumptions'!$C$8-1))</x:f>
        <x:v>260000000</x:v>
      </x:c>
      <x:c r="D10" s="271" t="n">
        <x:f>'02_Assumptions'!$C$179*(1+'02_Assumptions'!$C$11)^2*(1+'02_Assumptions'!$C$178*('02_Assumptions'!$C$8-1))</x:f>
        <x:v>270400000</x:v>
      </x:c>
      <x:c r="E10" s="271" t="n">
        <x:f>'02_Assumptions'!$C$179*(1+'02_Assumptions'!$C$11)^3*(1+'02_Assumptions'!$C$178*('02_Assumptions'!$C$8-1))</x:f>
        <x:v>281216000</x:v>
      </x:c>
      <x:c r="F10" s="271" t="n">
        <x:f>'02_Assumptions'!$C$179*(1+'02_Assumptions'!$C$11)^4*(1+'02_Assumptions'!$C$178*('02_Assumptions'!$C$8-1))</x:f>
        <x:v>292464640.00000006</x:v>
      </x:c>
      <x:c r="G10" s="271" t="n">
        <x:f>'02_Assumptions'!$C$179*(1+'02_Assumptions'!$C$11)^5*(1+'02_Assumptions'!$C$178*('02_Assumptions'!$C$8-1))</x:f>
        <x:v>304163225.6</x:v>
      </x:c>
      <x:c r="H10" s="271" t="n">
        <x:f>'02_Assumptions'!$C$179*(1+'02_Assumptions'!$C$11)^6*(1+'02_Assumptions'!$C$178*('02_Assumptions'!$C$8-1))</x:f>
        <x:v>316329754.6240001</x:v>
      </x:c>
      <x:c r="I10" s="271" t="n">
        <x:f>'02_Assumptions'!$C$179*(1+'02_Assumptions'!$C$11)^7*(1+'02_Assumptions'!$C$178*('02_Assumptions'!$C$8-1))</x:f>
        <x:v>328982944.8089601</x:v>
      </x:c>
      <x:c r="J10" s="271" t="n">
        <x:f>'02_Assumptions'!$C$179*(1+'02_Assumptions'!$C$11)^8*(1+'02_Assumptions'!$C$178*('02_Assumptions'!$C$8-1))</x:f>
        <x:v>342142262.6013185</x:v>
      </x:c>
      <x:c r="K10" s="271" t="n">
        <x:f>'02_Assumptions'!$C$179*(1+'02_Assumptions'!$C$11)^9*(1+'02_Assumptions'!$C$178*('02_Assumptions'!$C$8-1))</x:f>
        <x:v>355827953.10537124</x:v>
      </x:c>
    </x:row>
    <x:row r="11">
      <x:c r="A11" s="263" t="str">
        <x:v>Perawatan jalan dan drainase</x:v>
      </x:c>
      <x:c r="B11" s="271" t="n">
        <x:f>SUM('08_CAPEX_RAB'!$J$23:$J$26)*'02_Assumptions'!$C$114*(1+'02_Assumptions'!$C$11)^0</x:f>
        <x:v>54400000</x:v>
      </x:c>
      <x:c r="C11" s="271" t="n">
        <x:f>SUM('08_CAPEX_RAB'!$J$23:$J$26)*'02_Assumptions'!$C$114*(1+'02_Assumptions'!$C$11)^1</x:f>
        <x:v>56576000</x:v>
      </x:c>
      <x:c r="D11" s="271" t="n">
        <x:f>SUM('08_CAPEX_RAB'!$J$23:$J$26)*'02_Assumptions'!$C$114*(1+'02_Assumptions'!$C$11)^2</x:f>
        <x:v>58839040.00000001</x:v>
      </x:c>
      <x:c r="E11" s="271" t="n">
        <x:f>SUM('08_CAPEX_RAB'!$J$23:$J$26)*'02_Assumptions'!$C$114*(1+'02_Assumptions'!$C$11)^3</x:f>
        <x:v>61192601.6</x:v>
      </x:c>
      <x:c r="F11" s="271" t="n">
        <x:f>SUM('08_CAPEX_RAB'!$J$23:$J$26)*'02_Assumptions'!$C$114*(1+'02_Assumptions'!$C$11)^4</x:f>
        <x:v>63640305.66400001</x:v>
      </x:c>
      <x:c r="G11" s="271" t="n">
        <x:f>SUM('08_CAPEX_RAB'!$J$23:$J$26)*'02_Assumptions'!$C$114*(1+'02_Assumptions'!$C$11)^5</x:f>
        <x:v>66185917.89056001</x:v>
      </x:c>
      <x:c r="H11" s="271" t="n">
        <x:f>SUM('08_CAPEX_RAB'!$J$23:$J$26)*'02_Assumptions'!$C$114*(1+'02_Assumptions'!$C$11)^6</x:f>
        <x:v>68833354.60618243</x:v>
      </x:c>
      <x:c r="I11" s="271" t="n">
        <x:f>SUM('08_CAPEX_RAB'!$J$23:$J$26)*'02_Assumptions'!$C$114*(1+'02_Assumptions'!$C$11)^7</x:f>
        <x:v>71586688.79042971</x:v>
      </x:c>
      <x:c r="J11" s="271" t="n">
        <x:f>SUM('08_CAPEX_RAB'!$J$23:$J$26)*'02_Assumptions'!$C$114*(1+'02_Assumptions'!$C$11)^8</x:f>
        <x:v>74450156.3420469</x:v>
      </x:c>
      <x:c r="K11" s="271" t="n">
        <x:f>SUM('08_CAPEX_RAB'!$J$23:$J$26)*'02_Assumptions'!$C$114*(1+'02_Assumptions'!$C$11)^9</x:f>
        <x:v>77428162.59572878</x:v>
      </x:c>
    </x:row>
    <x:row r="12">
      <x:c r="A12" s="263" t="str">
        <x:v>Stok pembibitan dan sulaman</x:v>
      </x:c>
      <x:c r="B12" s="271" t="n">
        <x:f>'04_Planting_Design'!$G$19*IF(1&lt;=3,'02_Assumptions'!$C$181,'02_Assumptions'!$C$182)*(1+'02_Assumptions'!$C$11)^0</x:f>
        <x:v>51485280.00000001</x:v>
      </x:c>
      <x:c r="C12" s="271" t="n">
        <x:f>'04_Planting_Design'!$G$19*IF(2&lt;=3,'02_Assumptions'!$C$181,'02_Assumptions'!$C$182)*(1+'02_Assumptions'!$C$11)^1</x:f>
        <x:v>53544691.20000001</x:v>
      </x:c>
      <x:c r="D12" s="271" t="n">
        <x:f>'04_Planting_Design'!$G$19*IF(3&lt;=3,'02_Assumptions'!$C$181,'02_Assumptions'!$C$182)*(1+'02_Assumptions'!$C$11)^2</x:f>
        <x:v>55686478.84800001</x:v>
      </x:c>
      <x:c r="E12" s="271" t="n">
        <x:f>'04_Planting_Design'!$G$19*IF(4&lt;=3,'02_Assumptions'!$C$181,'02_Assumptions'!$C$182)*(1+'02_Assumptions'!$C$11)^3</x:f>
        <x:v>19304646.000640005</x:v>
      </x:c>
      <x:c r="F12" s="271" t="n">
        <x:f>'04_Planting_Design'!$G$19*IF(5&lt;=3,'02_Assumptions'!$C$181,'02_Assumptions'!$C$182)*(1+'02_Assumptions'!$C$11)^4</x:f>
        <x:v>20076831.84066561</x:v>
      </x:c>
      <x:c r="G12" s="271" t="n">
        <x:f>'04_Planting_Design'!$G$19*IF(6&lt;=3,'02_Assumptions'!$C$181,'02_Assumptions'!$C$182)*(1+'02_Assumptions'!$C$11)^5</x:f>
        <x:v>20879905.11429223</x:v>
      </x:c>
      <x:c r="H12" s="271" t="n">
        <x:f>'04_Planting_Design'!$G$19*IF(7&lt;=3,'02_Assumptions'!$C$181,'02_Assumptions'!$C$182)*(1+'02_Assumptions'!$C$11)^6</x:f>
        <x:v>21715101.318863925</x:v>
      </x:c>
      <x:c r="I12" s="271" t="n">
        <x:f>'04_Planting_Design'!$G$19*IF(8&lt;=3,'02_Assumptions'!$C$181,'02_Assumptions'!$C$182)*(1+'02_Assumptions'!$C$11)^7</x:f>
        <x:v>22583705.37161848</x:v>
      </x:c>
      <x:c r="J12" s="271" t="n">
        <x:f>'04_Planting_Design'!$G$19*IF(9&lt;=3,'02_Assumptions'!$C$181,'02_Assumptions'!$C$182)*(1+'02_Assumptions'!$C$11)^8</x:f>
        <x:v>23487053.586483218</x:v>
      </x:c>
      <x:c r="K12" s="271" t="n">
        <x:f>'04_Planting_Design'!$G$19*IF(10&lt;=3,'02_Assumptions'!$C$181,'02_Assumptions'!$C$182)*(1+'02_Assumptions'!$C$11)^9</x:f>
        <x:v>24426535.72994255</x:v>
      </x:c>
    </x:row>
    <x:row r="13">
      <x:c r="A13" s="263" t="str">
        <x:v>Sertifikasi, ESG, dan pemetaan</x:v>
      </x:c>
      <x:c r="B13" s="271" t="n">
        <x:f>'14_Certification_ESG'!$D$15+'02_Assumptions'!$C$6*'02_Assumptions'!$C$118*(1+'02_Assumptions'!$C$11)^0</x:f>
        <x:v>145000000</x:v>
      </x:c>
      <x:c r="C13" s="271" t="n">
        <x:f>'14_Certification_ESG'!$E$15+'02_Assumptions'!$C$6*'02_Assumptions'!$C$118*(1+'02_Assumptions'!$C$11)^1</x:f>
        <x:v>150800000</x:v>
      </x:c>
      <x:c r="D13" s="271" t="n">
        <x:f>'14_Certification_ESG'!$F$15+'02_Assumptions'!$C$6*'02_Assumptions'!$C$118*(1+'02_Assumptions'!$C$11)^2</x:f>
        <x:v>156832000.00000003</x:v>
      </x:c>
      <x:c r="E13" s="271" t="n">
        <x:f>'14_Certification_ESG'!$G$15+'02_Assumptions'!$C$6*'02_Assumptions'!$C$118*(1+'02_Assumptions'!$C$11)^3</x:f>
        <x:v>163105280</x:v>
      </x:c>
      <x:c r="F13" s="271" t="n">
        <x:f>'14_Certification_ESG'!$H$15+'02_Assumptions'!$C$6*'02_Assumptions'!$C$118*(1+'02_Assumptions'!$C$11)^4</x:f>
        <x:v>198875955.20000002</x:v>
      </x:c>
      <x:c r="G13" s="271" t="n">
        <x:f>'14_Certification_ESG'!$I$15+'02_Assumptions'!$C$6*'02_Assumptions'!$C$118*(1+'02_Assumptions'!$C$11)^5</x:f>
        <x:v>243330580.48000005</x:v>
      </x:c>
      <x:c r="H13" s="271" t="n">
        <x:f>'14_Certification_ESG'!$J$15+'02_Assumptions'!$C$6*'02_Assumptions'!$C$118*(1+'02_Assumptions'!$C$11)^6</x:f>
        <x:v>227757423.32928008</x:v>
      </x:c>
      <x:c r="I13" s="271" t="n">
        <x:f>'14_Certification_ESG'!$K$15+'02_Assumptions'!$C$6*'02_Assumptions'!$C$118*(1+'02_Assumptions'!$C$11)^7</x:f>
        <x:v>236867720.26245123</x:v>
      </x:c>
      <x:c r="J13" s="271" t="n">
        <x:f>'14_Certification_ESG'!$L$15+'02_Assumptions'!$C$6*'02_Assumptions'!$C$118*(1+'02_Assumptions'!$C$11)^8</x:f>
        <x:v>246342429.07294932</x:v>
      </x:c>
      <x:c r="K13" s="271" t="n">
        <x:f>'14_Certification_ESG'!$M$15+'02_Assumptions'!$C$6*'02_Assumptions'!$C$118*(1+'02_Assumptions'!$C$11)^9</x:f>
        <x:v>256196126.23586732</x:v>
      </x:c>
    </x:row>
    <x:row r="14">
      <x:c r="A14" s="263" t="str">
        <x:v>Administrasi, keamanan, bahan habis pakai, dan OPEX tambahan</x:v>
      </x:c>
      <x:c r="B14" s="271" t="n">
        <x:f>('02_Assumptions'!$C$180*(1+'02_Assumptions'!$C$11)^0*(1+'02_Assumptions'!$C$178*('02_Assumptions'!$C$8-1)))+'17_Model_Fleksibel'!$H$100</x:f>
        <x:v>120000000</x:v>
      </x:c>
      <x:c r="C14" s="271" t="n">
        <x:f>('02_Assumptions'!$C$180*(1+'02_Assumptions'!$C$11)^1*(1+'02_Assumptions'!$C$178*('02_Assumptions'!$C$8-1)))+'17_Model_Fleksibel'!$I$100</x:f>
        <x:v>124800000</x:v>
      </x:c>
      <x:c r="D14" s="271" t="n">
        <x:f>('02_Assumptions'!$C$180*(1+'02_Assumptions'!$C$11)^2*(1+'02_Assumptions'!$C$178*('02_Assumptions'!$C$8-1)))+'17_Model_Fleksibel'!$J$100</x:f>
        <x:v>129792000.00000001</x:v>
      </x:c>
      <x:c r="E14" s="271" t="n">
        <x:f>('02_Assumptions'!$C$180*(1+'02_Assumptions'!$C$11)^3*(1+'02_Assumptions'!$C$178*('02_Assumptions'!$C$8-1)))+'17_Model_Fleksibel'!$K$100</x:f>
        <x:v>134983680</x:v>
      </x:c>
      <x:c r="F14" s="271" t="n">
        <x:f>('02_Assumptions'!$C$180*(1+'02_Assumptions'!$C$11)^4*(1+'02_Assumptions'!$C$178*('02_Assumptions'!$C$8-1)))+'17_Model_Fleksibel'!$L$100</x:f>
        <x:v>140383027.20000002</x:v>
      </x:c>
      <x:c r="G14" s="271" t="n">
        <x:f>('02_Assumptions'!$C$180*(1+'02_Assumptions'!$C$11)^5*(1+'02_Assumptions'!$C$178*('02_Assumptions'!$C$8-1)))+'17_Model_Fleksibel'!$M$100</x:f>
        <x:v>145998348.28800002</x:v>
      </x:c>
      <x:c r="H14" s="271" t="n">
        <x:f>('02_Assumptions'!$C$180*(1+'02_Assumptions'!$C$11)^6*(1+'02_Assumptions'!$C$178*('02_Assumptions'!$C$8-1)))+'17_Model_Fleksibel'!$N$100</x:f>
        <x:v>151838282.21952003</x:v>
      </x:c>
      <x:c r="I14" s="271" t="n">
        <x:f>('02_Assumptions'!$C$180*(1+'02_Assumptions'!$C$11)^7*(1+'02_Assumptions'!$C$178*('02_Assumptions'!$C$8-1)))+'17_Model_Fleksibel'!$O$100</x:f>
        <x:v>157911813.50830084</x:v>
      </x:c>
      <x:c r="J14" s="271" t="n">
        <x:f>('02_Assumptions'!$C$180*(1+'02_Assumptions'!$C$11)^8*(1+'02_Assumptions'!$C$178*('02_Assumptions'!$C$8-1)))+'17_Model_Fleksibel'!$P$100</x:f>
        <x:v>164228286.04863286</x:v>
      </x:c>
      <x:c r="K14" s="271" t="n">
        <x:f>('02_Assumptions'!$C$180*(1+'02_Assumptions'!$C$11)^9*(1+'02_Assumptions'!$C$178*('02_Assumptions'!$C$8-1)))+'17_Model_Fleksibel'!$Q$100</x:f>
        <x:v>170797417.4905782</x:v>
      </x:c>
    </x:row>
    <x:row r="15">
      <x:c r="A15" s="263" t="str">
        <x:v>Panen, pengemasan, dan angkut kebun</x:v>
      </x:c>
      <x:c r="B15" s="271" t="n">
        <x:f>'10_Production_Revenue'!$B$25</x:f>
        <x:v>495475200</x:v>
      </x:c>
      <x:c r="C15" s="271" t="n">
        <x:f>'10_Production_Revenue'!$C$25</x:f>
        <x:v>515294208</x:v>
      </x:c>
      <x:c r="D15" s="271" t="n">
        <x:f>'10_Production_Revenue'!$D$25</x:f>
        <x:v>467474550.4000001</x:v>
      </x:c>
      <x:c r="E15" s="271" t="n">
        <x:f>'10_Production_Revenue'!$E$25</x:f>
        <x:v>387669551.89247996</x:v>
      </x:c>
      <x:c r="F15" s="271" t="n">
        <x:f>'10_Production_Revenue'!$F$25</x:f>
        <x:v>399518864.769024</x:v>
      </x:c>
      <x:c r="G15" s="271" t="n">
        <x:f>'10_Production_Revenue'!$G$25</x:f>
        <x:v>486482410.3155794</x:v>
      </x:c>
      <x:c r="H15" s="271" t="n">
        <x:f>'10_Production_Revenue'!$H$25</x:f>
        <x:v>630276306.1830432</x:v>
      </x:c>
      <x:c r="I15" s="271" t="n">
        <x:f>'10_Production_Revenue'!$I$25</x:f>
        <x:v>776306476.5046335</x:v>
      </x:c>
      <x:c r="J15" s="271" t="n">
        <x:f>'10_Production_Revenue'!$J$25</x:f>
        <x:v>890277597.1907736</x:v>
      </x:c>
      <x:c r="K15" s="271" t="n">
        <x:f>'10_Production_Revenue'!$K$25</x:f>
        <x:v>990565413.1466494</x:v>
      </x:c>
    </x:row>
    <x:row r="16">
      <x:c r="A16" s="263" t="str">
        <x:v>Cadangan OPEX</x:v>
      </x:c>
      <x:c r="B16" s="271" t="n">
        <x:f>SUM(B6:B15)*'02_Assumptions'!$C$15</x:f>
        <x:v>205691700</x:v>
      </x:c>
      <x:c r="C16" s="271" t="n">
        <x:f>SUM(C6:C15)*'02_Assumptions'!$C$15</x:f>
        <x:v>215039531.616</x:v>
      </x:c>
      <x:c r="D16" s="271" t="n">
        <x:f>SUM(D6:D15)*'02_Assumptions'!$C$15</x:f>
        <x:v>202392518.01600003</x:v>
      </x:c>
      <x:c r="E16" s="271" t="n">
        <x:f>SUM(E6:E15)*'02_Assumptions'!$C$15</x:f>
        <x:v>199807162.61376</x:v>
      </x:c>
      <x:c r="F16" s="271" t="n">
        <x:f>SUM(F6:F15)*'02_Assumptions'!$C$15</x:f>
        <x:v>203165527.05572864</x:v>
      </x:c>
      <x:c r="G16" s="271" t="n">
        <x:f>SUM(G6:G15)*'02_Assumptions'!$C$15</x:f>
        <x:v>217595862.85595533</x:v>
      </x:c>
      <x:c r="H16" s="271" t="n">
        <x:f>SUM(H6:H15)*'02_Assumptions'!$C$15</x:f>
        <x:v>228908553.6329519</x:v>
      </x:c>
      <x:c r="I16" s="271" t="n">
        <x:f>SUM(I6:I15)*'02_Assumptions'!$C$15</x:f>
        <x:v>248448426.5534616</x:v>
      </x:c>
      <x:c r="J16" s="271" t="n">
        <x:f>SUM(J6:J15)*'02_Assumptions'!$C$15</x:f>
        <x:v>258016028.83056045</x:v>
      </x:c>
      <x:c r="K16" s="271" t="n">
        <x:f>SUM(K6:K15)*'02_Assumptions'!$C$15</x:f>
        <x:v>276267434.56818604</x:v>
      </x:c>
    </x:row>
    <x:row r="17">
      <x:c r="A17" s="378" t="str">
        <x:v>TOTAL OPEX</x:v>
      </x:c>
      <x:c r="B17" s="378" t="n">
        <x:f>SUM(B6:B16)</x:f>
        <x:v>4319525700</x:v>
      </x:c>
      <x:c r="C17" s="378" t="n">
        <x:f>SUM(C6:C16)</x:f>
        <x:v>4515830163.936</x:v>
      </x:c>
      <x:c r="D17" s="378" t="n">
        <x:f>SUM(D6:D16)</x:f>
        <x:v>4250242878.3360004</x:v>
      </x:c>
      <x:c r="E17" s="378" t="n">
        <x:f>SUM(E6:E16)</x:f>
        <x:v>4195950414.88896</x:v>
      </x:c>
      <x:c r="F17" s="378" t="n">
        <x:f>SUM(F6:F16)</x:f>
        <x:v>4266476068.170301</x:v>
      </x:c>
      <x:c r="G17" s="378" t="n">
        <x:f>SUM(G6:G16)</x:f>
        <x:v>4569513119.975061</x:v>
      </x:c>
      <x:c r="H17" s="378" t="n">
        <x:f>SUM(H6:H16)</x:f>
        <x:v>4807079626.291989</x:v>
      </x:c>
      <x:c r="I17" s="378" t="n">
        <x:f>SUM(I6:I16)</x:f>
        <x:v>5217416957.622694</x:v>
      </x:c>
      <x:c r="J17" s="378" t="n">
        <x:f>SUM(J6:J16)</x:f>
        <x:v>5418336605.44177</x:v>
      </x:c>
      <x:c r="K17" s="378" t="n">
        <x:f>SUM(K6:K16)</x:f>
        <x:v>5801616125.931907</x:v>
      </x:c>
    </x:row>
    <x:row r="18">
      <x:c r="A18" s="263"/>
      <x:c r="B18" s="263"/>
      <x:c r="C18" s="263"/>
      <x:c r="D18" s="263"/>
      <x:c r="E18" s="263"/>
      <x:c r="F18" s="263"/>
      <x:c r="G18" s="263"/>
      <x:c r="H18" s="263"/>
      <x:c r="I18" s="263"/>
      <x:c r="J18" s="263"/>
      <x:c r="K18" s="263"/>
    </x:row>
    <x:row r="19">
      <x:c r="A19" s="263"/>
      <x:c r="B19" s="263"/>
      <x:c r="C19" s="263"/>
      <x:c r="D19" s="263"/>
      <x:c r="E19" s="263"/>
      <x:c r="F19" s="263"/>
      <x:c r="G19" s="263"/>
      <x:c r="H19" s="263"/>
      <x:c r="I19" s="263"/>
      <x:c r="J19" s="263"/>
      <x:c r="K19" s="263"/>
    </x:row>
    <x:row r="20">
      <x:c r="A20" s="263"/>
      <x:c r="B20" s="263"/>
      <x:c r="C20" s="263"/>
      <x:c r="D20" s="263"/>
      <x:c r="E20" s="263"/>
      <x:c r="F20" s="263"/>
      <x:c r="G20" s="263"/>
      <x:c r="H20" s="263"/>
      <x:c r="I20" s="263"/>
      <x:c r="J20" s="263"/>
      <x:c r="K20" s="263"/>
    </x:row>
    <x:row r="21">
      <x:c r="A21" s="263"/>
      <x:c r="B21" s="263"/>
      <x:c r="C21" s="263"/>
      <x:c r="D21" s="263"/>
      <x:c r="E21" s="263"/>
      <x:c r="F21" s="263"/>
      <x:c r="G21" s="263"/>
      <x:c r="H21" s="263"/>
      <x:c r="I21" s="263"/>
      <x:c r="J21" s="263"/>
      <x:c r="K21" s="263"/>
    </x:row>
    <x:row r="22">
      <x:c r="A22" s="263"/>
      <x:c r="B22" s="263"/>
      <x:c r="C22" s="263"/>
      <x:c r="D22" s="263"/>
      <x:c r="E22" s="263"/>
      <x:c r="F22" s="263"/>
      <x:c r="G22" s="263"/>
      <x:c r="H22" s="263"/>
      <x:c r="I22" s="263"/>
      <x:c r="J22" s="263"/>
      <x:c r="K22" s="263"/>
    </x:row>
    <x:row r="23">
      <x:c r="A23" s="263"/>
      <x:c r="B23" s="263"/>
      <x:c r="C23" s="263"/>
      <x:c r="D23" s="263"/>
      <x:c r="E23" s="263"/>
      <x:c r="F23" s="263"/>
      <x:c r="G23" s="263"/>
      <x:c r="H23" s="263"/>
      <x:c r="I23" s="263"/>
      <x:c r="J23" s="263"/>
      <x:c r="K23" s="263"/>
    </x:row>
    <x:row r="24" ht="20" customHeight="1">
      <x:c r="A24" s="41" t="str">
        <x:v>B. Staf tetap dan dasar gaji bulanan</x:v>
      </x:c>
      <x:c r="B24" s="41"/>
      <x:c r="C24" s="41"/>
      <x:c r="D24" s="41"/>
      <x:c r="E24" s="41"/>
      <x:c r="F24" s="41"/>
      <x:c r="G24" s="41"/>
      <x:c r="H24" s="263"/>
      <x:c r="I24" s="263"/>
      <x:c r="J24" s="263"/>
      <x:c r="K24" s="263"/>
    </x:row>
    <x:row r="25" ht="30" customHeight="1">
      <x:c r="A25" s="34" t="str">
        <x:v>Jabatan</x:v>
      </x:c>
      <x:c r="B25" s="35" t="str">
        <x:v>Jumlah 1 lokasi</x:v>
      </x:c>
      <x:c r="C25" s="35" t="str">
        <x:v>Jumlah 4 lokasi</x:v>
      </x:c>
      <x:c r="D25" s="35" t="str">
        <x:v>Gaji bulanan</x:v>
      </x:c>
      <x:c r="E25" s="35" t="str">
        <x:v>Beban</x:v>
      </x:c>
      <x:c r="F25" s="35" t="str">
        <x:v>Tahunan 1 lokasi</x:v>
      </x:c>
      <x:c r="G25" s="36" t="str">
        <x:v>Tahunan 4 lokasi</x:v>
      </x:c>
      <x:c r="H25" s="263" t="str">
        <x:v>Aktif</x:v>
      </x:c>
      <x:c r="I25" s="263" t="str">
        <x:v>Dasar per 100 ha</x:v>
      </x:c>
      <x:c r="J25" s="263" t="str">
        <x:v>Kenaikan per lokasi ekstra</x:v>
      </x:c>
      <x:c r="K25" s="263" t="str">
        <x:v>Minimum per lokasi</x:v>
      </x:c>
    </x:row>
    <x:row r="26">
      <x:c r="A26" s="263" t="str">
        <x:v>Manajer kebun</x:v>
      </x:c>
      <x:c r="B26" s="437" t="n">
        <x:f>IF($H26=0,0,ROUNDUP(MAX($I26*'02_Assumptions'!$C$6/100,$K26),0))</x:f>
        <x:v>1</x:v>
      </x:c>
      <x:c r="C26" s="437" t="n">
        <x:f>IF($H26=0,0,ROUNDUP(MAX($I26*'02_Assumptions'!$C$6/100*(1+$J26*3),$K26*4),0))</x:f>
        <x:v>1</x:v>
      </x:c>
      <x:c r="D26" s="330" t="n">
        <x:v>15000000</x:v>
      </x:c>
      <x:c r="E26" s="330" t="n">
        <x:f>'02_Assumptions'!$C$63</x:f>
        <x:v>0.15</x:v>
      </x:c>
      <x:c r="F26" s="438" t="n">
        <x:f>$B26*$D26*12*(1+$E26)</x:f>
        <x:v>206999999.99999997</x:v>
      </x:c>
      <x:c r="G26" s="438" t="n">
        <x:f>$C26*$D26*12*(1+$E26)</x:f>
        <x:v>206999999.99999997</x:v>
      </x:c>
      <x:c r="H26" s="330" t="n">
        <x:v>1</x:v>
      </x:c>
      <x:c r="I26" s="330" t="n">
        <x:v>1</x:v>
      </x:c>
      <x:c r="J26" s="331" t="n">
        <x:v>0</x:v>
      </x:c>
      <x:c r="K26" s="330" t="n">
        <x:v>0</x:v>
      </x:c>
    </x:row>
    <x:row r="27">
      <x:c r="A27" s="263" t="str">
        <x:v>Agronomis/ketua kesehatan tanaman</x:v>
      </x:c>
      <x:c r="B27" s="437" t="n">
        <x:f>IF($H27=0,0,ROUNDUP(MAX($I27*'02_Assumptions'!$C$6/100,$K27),0))</x:f>
        <x:v>1</x:v>
      </x:c>
      <x:c r="C27" s="437" t="n">
        <x:f>IF($H27=0,0,ROUNDUP(MAX($I27*'02_Assumptions'!$C$6/100*(1+$J27*3),$K27*4),0))</x:f>
        <x:v>1</x:v>
      </x:c>
      <x:c r="D27" s="330" t="n">
        <x:v>12000000</x:v>
      </x:c>
      <x:c r="E27" s="330" t="n">
        <x:f>'02_Assumptions'!$C$63</x:f>
        <x:v>0.15</x:v>
      </x:c>
      <x:c r="F27" s="438" t="n">
        <x:f>$B27*$D27*12*(1+$E27)</x:f>
        <x:v>165600000</x:v>
      </x:c>
      <x:c r="G27" s="438" t="n">
        <x:f>$C27*$D27*12*(1+$E27)</x:f>
        <x:v>165600000</x:v>
      </x:c>
      <x:c r="H27" s="330" t="n">
        <x:v>1</x:v>
      </x:c>
      <x:c r="I27" s="330" t="n">
        <x:v>1</x:v>
      </x:c>
      <x:c r="J27" s="331" t="n">
        <x:v>0</x:v>
      </x:c>
      <x:c r="K27" s="330" t="n">
        <x:v>0</x:v>
      </x:c>
    </x:row>
    <x:row r="28">
      <x:c r="A28" s="263" t="str">
        <x:v>Administrasi/keuangan</x:v>
      </x:c>
      <x:c r="B28" s="437" t="n">
        <x:f>IF($H28=0,0,ROUNDUP(MAX($I28*'02_Assumptions'!$C$6/100,$K28),0))</x:f>
        <x:v>1</x:v>
      </x:c>
      <x:c r="C28" s="437" t="n">
        <x:f>IF($H28=0,0,ROUNDUP(MAX($I28*'02_Assumptions'!$C$6/100*(1+$J28*3),$K28*4),0))</x:f>
        <x:v>1</x:v>
      </x:c>
      <x:c r="D28" s="330" t="n">
        <x:v>6000000</x:v>
      </x:c>
      <x:c r="E28" s="330" t="n">
        <x:f>'02_Assumptions'!$C$63</x:f>
        <x:v>0.15</x:v>
      </x:c>
      <x:c r="F28" s="438" t="n">
        <x:f>$B28*$D28*12*(1+$E28)</x:f>
        <x:v>82800000</x:v>
      </x:c>
      <x:c r="G28" s="438" t="n">
        <x:f>$C28*$D28*12*(1+$E28)</x:f>
        <x:v>82800000</x:v>
      </x:c>
      <x:c r="H28" s="330" t="n">
        <x:v>1</x:v>
      </x:c>
      <x:c r="I28" s="330" t="n">
        <x:v>1</x:v>
      </x:c>
      <x:c r="J28" s="331" t="n">
        <x:v>0</x:v>
      </x:c>
      <x:c r="K28" s="330" t="n">
        <x:v>0</x:v>
      </x:c>
    </x:row>
    <x:row r="29">
      <x:c r="A29" s="263" t="str">
        <x:v>Pengawas lokasi</x:v>
      </x:c>
      <x:c r="B29" s="437" t="n">
        <x:f>IF($H29=0,0,ROUNDUP(MAX($I29*'02_Assumptions'!$C$6/100,$K29),0))</x:f>
        <x:v>1</x:v>
      </x:c>
      <x:c r="C29" s="437" t="n">
        <x:f>IF($H29=0,0,ROUNDUP(MAX($I29*'02_Assumptions'!$C$6/100*(1+$J29*3),$K29*4),0))</x:f>
        <x:v>4</x:v>
      </x:c>
      <x:c r="D29" s="330" t="n">
        <x:v>7000000</x:v>
      </x:c>
      <x:c r="E29" s="330" t="n">
        <x:f>'02_Assumptions'!$C$63</x:f>
        <x:v>0.15</x:v>
      </x:c>
      <x:c r="F29" s="438" t="n">
        <x:f>$B29*$D29*12*(1+$E29)</x:f>
        <x:v>96599999.99999999</x:v>
      </x:c>
      <x:c r="G29" s="438" t="n">
        <x:f>$C29*$D29*12*(1+$E29)</x:f>
        <x:v>386399999.99999994</x:v>
      </x:c>
      <x:c r="H29" s="330" t="n">
        <x:v>1</x:v>
      </x:c>
      <x:c r="I29" s="330" t="n">
        <x:v>1</x:v>
      </x:c>
      <x:c r="J29" s="331" t="n">
        <x:v>1</x:v>
      </x:c>
      <x:c r="K29" s="330" t="n">
        <x:v>0</x:v>
      </x:c>
    </x:row>
    <x:row r="30">
      <x:c r="A30" s="263" t="str">
        <x:v>Mandor</x:v>
      </x:c>
      <x:c r="B30" s="437" t="n">
        <x:f>IF($H30=0,0,ROUNDUP(MAX($I30*'02_Assumptions'!$C$6/100,$K30),0))</x:f>
        <x:v>4</x:v>
      </x:c>
      <x:c r="C30" s="437" t="n">
        <x:f>IF($H30=0,0,ROUNDUP(MAX($I30*'02_Assumptions'!$C$6/100*(1+$J30*3),$K30*4),0))</x:f>
        <x:v>4</x:v>
      </x:c>
      <x:c r="D30" s="330" t="n">
        <x:v>4500000</x:v>
      </x:c>
      <x:c r="E30" s="330" t="n">
        <x:f>'02_Assumptions'!$C$63</x:f>
        <x:v>0.15</x:v>
      </x:c>
      <x:c r="F30" s="438" t="n">
        <x:f>$B30*$D30*12*(1+$E30)</x:f>
        <x:v>248399999.99999997</x:v>
      </x:c>
      <x:c r="G30" s="438" t="n">
        <x:f>$C30*$D30*12*(1+$E30)</x:f>
        <x:v>248399999.99999997</x:v>
      </x:c>
      <x:c r="H30" s="330" t="n">
        <x:v>1</x:v>
      </x:c>
      <x:c r="I30" s="330" t="n">
        <x:v>4</x:v>
      </x:c>
      <x:c r="J30" s="331" t="n">
        <x:v>0</x:v>
      </x:c>
      <x:c r="K30" s="330" t="n">
        <x:v>0</x:v>
      </x:c>
    </x:row>
    <x:row r="31">
      <x:c r="A31" s="263" t="str">
        <x:v>Keamanan</x:v>
      </x:c>
      <x:c r="B31" s="437" t="n">
        <x:f>IF($H31=0,0,ROUNDUP(MAX($I31*'02_Assumptions'!$C$6/100,$K31),0))</x:f>
        <x:v>2</x:v>
      </x:c>
      <x:c r="C31" s="437" t="n">
        <x:f>IF($H31=0,0,ROUNDUP(MAX($I31*'02_Assumptions'!$C$6/100*(1+$J31*3),$K31*4),0))</x:f>
        <x:v>8</x:v>
      </x:c>
      <x:c r="D31" s="330" t="n">
        <x:v>3500000</x:v>
      </x:c>
      <x:c r="E31" s="330" t="n">
        <x:f>'02_Assumptions'!$C$63</x:f>
        <x:v>0.15</x:v>
      </x:c>
      <x:c r="F31" s="438" t="n">
        <x:f>$B31*$D31*12*(1+$E31)</x:f>
        <x:v>96599999.99999999</x:v>
      </x:c>
      <x:c r="G31" s="438" t="n">
        <x:f>$C31*$D31*12*(1+$E31)</x:f>
        <x:v>386399999.99999994</x:v>
      </x:c>
      <x:c r="H31" s="330" t="n">
        <x:v>1</x:v>
      </x:c>
      <x:c r="I31" s="330" t="n">
        <x:v>2</x:v>
      </x:c>
      <x:c r="J31" s="331" t="n">
        <x:v>1</x:v>
      </x:c>
      <x:c r="K31" s="330" t="n">
        <x:v>0</x:v>
      </x:c>
    </x:row>
    <x:row r="32">
      <x:c r="A32" s="263" t="str">
        <x:v>Penanggung jawab gudang/pembibitan</x:v>
      </x:c>
      <x:c r="B32" s="437" t="n">
        <x:f>IF($H32=0,0,ROUNDUP(MAX($I32*'02_Assumptions'!$C$6/100,$K32),0))</x:f>
        <x:v>1</x:v>
      </x:c>
      <x:c r="C32" s="437" t="n">
        <x:f>IF($H32=0,0,ROUNDUP(MAX($I32*'02_Assumptions'!$C$6/100*(1+$J32*3),$K32*4),0))</x:f>
        <x:v>4</x:v>
      </x:c>
      <x:c r="D32" s="330" t="n">
        <x:v>4500000</x:v>
      </x:c>
      <x:c r="E32" s="330" t="n">
        <x:f>'02_Assumptions'!$C$63</x:f>
        <x:v>0.15</x:v>
      </x:c>
      <x:c r="F32" s="438" t="n">
        <x:f>$B32*$D32*12*(1+$E32)</x:f>
        <x:v>62099999.99999999</x:v>
      </x:c>
      <x:c r="G32" s="438" t="n">
        <x:f>$C32*$D32*12*(1+$E32)</x:f>
        <x:v>248399999.99999997</x:v>
      </x:c>
      <x:c r="H32" s="330" t="n">
        <x:v>1</x:v>
      </x:c>
      <x:c r="I32" s="330" t="n">
        <x:v>1</x:v>
      </x:c>
      <x:c r="J32" s="331" t="n">
        <x:v>1</x:v>
      </x:c>
      <x:c r="K32" s="330" t="n">
        <x:v>0</x:v>
      </x:c>
    </x:row>
    <x:row r="33">
      <x:c r="A33" s="263" t="str">
        <x:v>Mekanik/pengemudi</x:v>
      </x:c>
      <x:c r="B33" s="437" t="n">
        <x:f>IF($H33=0,0,ROUNDUP(MAX($I33*'02_Assumptions'!$C$6/100,$K33),0))</x:f>
        <x:v>2</x:v>
      </x:c>
      <x:c r="C33" s="437" t="n">
        <x:f>IF($H33=0,0,ROUNDUP(MAX($I33*'02_Assumptions'!$C$6/100*(1+$J33*3),$K33*4),0))</x:f>
        <x:v>4</x:v>
      </x:c>
      <x:c r="D33" s="330" t="n">
        <x:v>5000000</x:v>
      </x:c>
      <x:c r="E33" s="330" t="n">
        <x:f>'02_Assumptions'!$C$63</x:f>
        <x:v>0.15</x:v>
      </x:c>
      <x:c r="F33" s="438" t="n">
        <x:f>$B33*$D33*12*(1+$E33)</x:f>
        <x:v>138000000</x:v>
      </x:c>
      <x:c r="G33" s="438" t="n">
        <x:f>$C33*$D33*12*(1+$E33)</x:f>
        <x:v>276000000</x:v>
      </x:c>
      <x:c r="H33" s="330" t="n">
        <x:v>1</x:v>
      </x:c>
      <x:c r="I33" s="330" t="n">
        <x:v>2</x:v>
      </x:c>
      <x:c r="J33" s="331" t="n">
        <x:v>0.3333333333333333</x:v>
      </x:c>
      <x:c r="K33" s="330" t="n">
        <x:v>0</x:v>
      </x:c>
    </x:row>
    <x:row r="34">
      <x:c r="A34" s="378" t="str">
        <x:v>TOTAL GAJI TAHUNAN STAF TETAP</x:v>
      </x:c>
      <x:c r="B34" s="378"/>
      <x:c r="C34" s="378"/>
      <x:c r="D34" s="378"/>
      <x:c r="E34" s="378"/>
      <x:c r="F34" s="439" t="n">
        <x:f>SUM(F26:F33)+SUM(F44:F49)</x:f>
        <x:v>1097100000</x:v>
      </x:c>
      <x:c r="G34" s="439" t="n">
        <x:f>SUM(G26:G33)+SUM(G44:G49)</x:f>
        <x:v>2001000000</x:v>
      </x:c>
      <x:c r="H34" s="378"/>
      <x:c r="I34" s="378"/>
      <x:c r="J34" s="378"/>
      <x:c r="K34" s="378"/>
    </x:row>
    <x:row r="35">
      <x:c r="A35" s="263"/>
      <x:c r="B35" s="263"/>
      <x:c r="C35" s="263"/>
      <x:c r="D35" s="263"/>
      <x:c r="E35" s="263"/>
      <x:c r="F35" s="263"/>
      <x:c r="G35" s="263"/>
      <x:c r="H35" s="263"/>
      <x:c r="I35" s="263"/>
      <x:c r="J35" s="285"/>
      <x:c r="K35" s="263"/>
    </x:row>
    <x:row r="36">
      <x:c r="A36" s="263"/>
      <x:c r="B36" s="263"/>
      <x:c r="C36" s="263"/>
      <x:c r="D36" s="263"/>
      <x:c r="E36" s="263"/>
      <x:c r="F36" s="263"/>
      <x:c r="G36" s="263"/>
      <x:c r="H36" s="263"/>
      <x:c r="I36" s="263"/>
      <x:c r="J36" s="285"/>
      <x:c r="K36" s="263"/>
    </x:row>
    <x:row r="37" ht="20" customHeight="1">
      <x:c r="A37" s="41" t="str">
        <x:v>C. Scenario helper totals</x:v>
      </x:c>
      <x:c r="B37" s="41"/>
      <x:c r="C37" s="41"/>
      <x:c r="D37" s="41"/>
      <x:c r="E37" s="41"/>
      <x:c r="F37" s="41"/>
      <x:c r="G37" s="41"/>
      <x:c r="H37" s="41"/>
      <x:c r="I37" s="41"/>
      <x:c r="J37" s="427"/>
      <x:c r="K37" s="41"/>
    </x:row>
    <x:row r="38" ht="30" customHeight="1">
      <x:c r="A38" s="34" t="str">
        <x:v>Pembantu skenario</x:v>
      </x:c>
      <x:c r="B38" s="35" t="str">
        <x:v>T1</x:v>
      </x:c>
      <x:c r="C38" s="35" t="str">
        <x:v>T2</x:v>
      </x:c>
      <x:c r="D38" s="35" t="str">
        <x:v>T3</x:v>
      </x:c>
      <x:c r="E38" s="35" t="str">
        <x:v>T4</x:v>
      </x:c>
      <x:c r="F38" s="35" t="str">
        <x:v>T5</x:v>
      </x:c>
      <x:c r="G38" s="35" t="str">
        <x:v>T6</x:v>
      </x:c>
      <x:c r="H38" s="35" t="str">
        <x:v>T7</x:v>
      </x:c>
      <x:c r="I38" s="35" t="str">
        <x:v>T8</x:v>
      </x:c>
      <x:c r="J38" s="428" t="str">
        <x:v>T9</x:v>
      </x:c>
      <x:c r="K38" s="36" t="str">
        <x:v>T10</x:v>
      </x:c>
    </x:row>
    <x:row r="39">
      <x:c r="A39" s="300" t="str">
        <x:v>OPEX 1 lokasi</x:v>
      </x:c>
      <x:c r="B39" s="300" t="n">
        <x:f>($F$34*(1+'02_Assumptions'!$C$11)^0+('05_Workplan_Labor'!$B$41+'17_Model_Fleksibel'!$N$68)*'02_Assumptions'!$C$60*(1+'02_Assumptions'!$C$11)^0+'07_Agri_Inputs'!$B$34+'06_Equipment_Tools'!$I$39*'02_Assumptions'!$C$113*(1+'02_Assumptions'!$C$11)^0+'02_Assumptions'!$C$179*(1+'02_Assumptions'!$C$11)^0+SUM('08_CAPEX_RAB'!$H$23:$H$26)*'02_Assumptions'!$C$114*(1+'02_Assumptions'!$C$11)^0+'04_Planting_Design'!$G$19*IF(1&lt;=3,'02_Assumptions'!$C$181,'02_Assumptions'!$C$182)*(1+'02_Assumptions'!$C$11)^0+'14_Certification_ESG'!$D$15+'02_Assumptions'!$C$6*'02_Assumptions'!$C$118*(1+'02_Assumptions'!$C$11)^0+'02_Assumptions'!$C$180*(1+'02_Assumptions'!$C$11)^0+'17_Model_Fleksibel'!$H$100+'10_Production_Revenue'!$B$25)*(1+'02_Assumptions'!$C$15)</x:f>
        <x:v>4319525700</x:v>
      </x:c>
      <x:c r="C39" s="300" t="n">
        <x:f>($F$34*(1+'02_Assumptions'!$C$11)^1+('05_Workplan_Labor'!$C$41+'17_Model_Fleksibel'!$O$68)*'02_Assumptions'!$C$60*(1+'02_Assumptions'!$C$11)^1+'07_Agri_Inputs'!$C$34+'06_Equipment_Tools'!$I$39*'02_Assumptions'!$C$113*(1+'02_Assumptions'!$C$11)^1+'02_Assumptions'!$C$179*(1+'02_Assumptions'!$C$11)^1+SUM('08_CAPEX_RAB'!$H$23:$H$26)*'02_Assumptions'!$C$114*(1+'02_Assumptions'!$C$11)^1+'04_Planting_Design'!$G$19*IF(2&lt;=3,'02_Assumptions'!$C$181,'02_Assumptions'!$C$182)*(1+'02_Assumptions'!$C$11)^1+'14_Certification_ESG'!$E$15+'02_Assumptions'!$C$6*'02_Assumptions'!$C$118*(1+'02_Assumptions'!$C$11)^1+'02_Assumptions'!$C$180*(1+'02_Assumptions'!$C$11)^1+'17_Model_Fleksibel'!$I$100+'10_Production_Revenue'!$C$25)*(1+'02_Assumptions'!$C$15)</x:f>
        <x:v>4515830163.936</x:v>
      </x:c>
      <x:c r="D39" s="300" t="n">
        <x:f>($F$34*(1+'02_Assumptions'!$C$11)^2+('05_Workplan_Labor'!$D$41+'17_Model_Fleksibel'!$P$68)*'02_Assumptions'!$C$60*(1+'02_Assumptions'!$C$11)^2+'07_Agri_Inputs'!$D$34+'06_Equipment_Tools'!$I$39*'02_Assumptions'!$C$113*(1+'02_Assumptions'!$C$11)^2+'02_Assumptions'!$C$179*(1+'02_Assumptions'!$C$11)^2+SUM('08_CAPEX_RAB'!$H$23:$H$26)*'02_Assumptions'!$C$114*(1+'02_Assumptions'!$C$11)^2+'04_Planting_Design'!$G$19*IF(3&lt;=3,'02_Assumptions'!$C$181,'02_Assumptions'!$C$182)*(1+'02_Assumptions'!$C$11)^2+'14_Certification_ESG'!$F$15+'02_Assumptions'!$C$6*'02_Assumptions'!$C$118*(1+'02_Assumptions'!$C$11)^2+'02_Assumptions'!$C$180*(1+'02_Assumptions'!$C$11)^2+'17_Model_Fleksibel'!$J$100+'10_Production_Revenue'!$D$25)*(1+'02_Assumptions'!$C$15)</x:f>
        <x:v>4250242878.336001</x:v>
      </x:c>
      <x:c r="E39" s="300" t="n">
        <x:f>($F$34*(1+'02_Assumptions'!$C$11)^3+('05_Workplan_Labor'!$E$41+'17_Model_Fleksibel'!$Q$68)*'02_Assumptions'!$C$60*(1+'02_Assumptions'!$C$11)^3+'07_Agri_Inputs'!$E$34+'06_Equipment_Tools'!$I$39*'02_Assumptions'!$C$113*(1+'02_Assumptions'!$C$11)^3+'02_Assumptions'!$C$179*(1+'02_Assumptions'!$C$11)^3+SUM('08_CAPEX_RAB'!$H$23:$H$26)*'02_Assumptions'!$C$114*(1+'02_Assumptions'!$C$11)^3+'04_Planting_Design'!$G$19*IF(4&lt;=3,'02_Assumptions'!$C$181,'02_Assumptions'!$C$182)*(1+'02_Assumptions'!$C$11)^3+'14_Certification_ESG'!$G$15+'02_Assumptions'!$C$6*'02_Assumptions'!$C$118*(1+'02_Assumptions'!$C$11)^3+'02_Assumptions'!$C$180*(1+'02_Assumptions'!$C$11)^3+'17_Model_Fleksibel'!$K$100+'10_Production_Revenue'!$E$25)*(1+'02_Assumptions'!$C$15)</x:f>
        <x:v>4195950414.88896</x:v>
      </x:c>
      <x:c r="F39" s="300" t="n">
        <x:f>($F$34*(1+'02_Assumptions'!$C$11)^4+('05_Workplan_Labor'!$F$41+'17_Model_Fleksibel'!$R$68)*'02_Assumptions'!$C$60*(1+'02_Assumptions'!$C$11)^4+'07_Agri_Inputs'!$F$34+'06_Equipment_Tools'!$I$39*'02_Assumptions'!$C$113*(1+'02_Assumptions'!$C$11)^4+'02_Assumptions'!$C$179*(1+'02_Assumptions'!$C$11)^4+SUM('08_CAPEX_RAB'!$H$23:$H$26)*'02_Assumptions'!$C$114*(1+'02_Assumptions'!$C$11)^4+'04_Planting_Design'!$G$19*IF(5&lt;=3,'02_Assumptions'!$C$181,'02_Assumptions'!$C$182)*(1+'02_Assumptions'!$C$11)^4+'14_Certification_ESG'!$H$15+'02_Assumptions'!$C$6*'02_Assumptions'!$C$118*(1+'02_Assumptions'!$C$11)^4+'02_Assumptions'!$C$180*(1+'02_Assumptions'!$C$11)^4+'17_Model_Fleksibel'!$L$100+'10_Production_Revenue'!$F$25)*(1+'02_Assumptions'!$C$15)</x:f>
        <x:v>4266476068.170302</x:v>
      </x:c>
      <x:c r="G39" s="300" t="n">
        <x:f>($F$34*(1+'02_Assumptions'!$C$11)^5+('05_Workplan_Labor'!$G$41+'17_Model_Fleksibel'!$S$68)*'02_Assumptions'!$C$60*(1+'02_Assumptions'!$C$11)^5+'07_Agri_Inputs'!$G$34+'06_Equipment_Tools'!$I$39*'02_Assumptions'!$C$113*(1+'02_Assumptions'!$C$11)^5+'02_Assumptions'!$C$179*(1+'02_Assumptions'!$C$11)^5+SUM('08_CAPEX_RAB'!$H$23:$H$26)*'02_Assumptions'!$C$114*(1+'02_Assumptions'!$C$11)^5+'04_Planting_Design'!$G$19*IF(6&lt;=3,'02_Assumptions'!$C$181,'02_Assumptions'!$C$182)*(1+'02_Assumptions'!$C$11)^5+'14_Certification_ESG'!$I$15+'02_Assumptions'!$C$6*'02_Assumptions'!$C$118*(1+'02_Assumptions'!$C$11)^5+'02_Assumptions'!$C$180*(1+'02_Assumptions'!$C$11)^5+'17_Model_Fleksibel'!$M$100+'10_Production_Revenue'!$G$25)*(1+'02_Assumptions'!$C$15)</x:f>
        <x:v>4569513119.975061</x:v>
      </x:c>
      <x:c r="H39" s="300" t="n">
        <x:f>($F$34*(1+'02_Assumptions'!$C$11)^6+('05_Workplan_Labor'!$H$41+'17_Model_Fleksibel'!$T$68)*'02_Assumptions'!$C$60*(1+'02_Assumptions'!$C$11)^6+'07_Agri_Inputs'!$H$34+'06_Equipment_Tools'!$I$39*'02_Assumptions'!$C$113*(1+'02_Assumptions'!$C$11)^6+'02_Assumptions'!$C$179*(1+'02_Assumptions'!$C$11)^6+SUM('08_CAPEX_RAB'!$H$23:$H$26)*'02_Assumptions'!$C$114*(1+'02_Assumptions'!$C$11)^6+'04_Planting_Design'!$G$19*IF(7&lt;=3,'02_Assumptions'!$C$181,'02_Assumptions'!$C$182)*(1+'02_Assumptions'!$C$11)^6+'14_Certification_ESG'!$J$15+'02_Assumptions'!$C$6*'02_Assumptions'!$C$118*(1+'02_Assumptions'!$C$11)^6+'02_Assumptions'!$C$180*(1+'02_Assumptions'!$C$11)^6+'17_Model_Fleksibel'!$N$100+'10_Production_Revenue'!$H$25)*(1+'02_Assumptions'!$C$15)</x:f>
        <x:v>4807079626.291989</x:v>
      </x:c>
      <x:c r="I39" s="300" t="n">
        <x:f>($F$34*(1+'02_Assumptions'!$C$11)^7+('05_Workplan_Labor'!$I$41+'17_Model_Fleksibel'!$U$68)*'02_Assumptions'!$C$60*(1+'02_Assumptions'!$C$11)^7+'07_Agri_Inputs'!$I$34+'06_Equipment_Tools'!$I$39*'02_Assumptions'!$C$113*(1+'02_Assumptions'!$C$11)^7+'02_Assumptions'!$C$179*(1+'02_Assumptions'!$C$11)^7+SUM('08_CAPEX_RAB'!$H$23:$H$26)*'02_Assumptions'!$C$114*(1+'02_Assumptions'!$C$11)^7+'04_Planting_Design'!$G$19*IF(8&lt;=3,'02_Assumptions'!$C$181,'02_Assumptions'!$C$182)*(1+'02_Assumptions'!$C$11)^7+'14_Certification_ESG'!$K$15+'02_Assumptions'!$C$6*'02_Assumptions'!$C$118*(1+'02_Assumptions'!$C$11)^7+'02_Assumptions'!$C$180*(1+'02_Assumptions'!$C$11)^7+'17_Model_Fleksibel'!$O$100+'10_Production_Revenue'!$I$25)*(1+'02_Assumptions'!$C$15)</x:f>
        <x:v>5217416957.622694</x:v>
      </x:c>
      <x:c r="J39" s="300" t="n">
        <x:f>($F$34*(1+'02_Assumptions'!$C$11)^8+('05_Workplan_Labor'!$J$41+'17_Model_Fleksibel'!$V$68)*'02_Assumptions'!$C$60*(1+'02_Assumptions'!$C$11)^8+'07_Agri_Inputs'!$J$34+'06_Equipment_Tools'!$I$39*'02_Assumptions'!$C$113*(1+'02_Assumptions'!$C$11)^8+'02_Assumptions'!$C$179*(1+'02_Assumptions'!$C$11)^8+SUM('08_CAPEX_RAB'!$H$23:$H$26)*'02_Assumptions'!$C$114*(1+'02_Assumptions'!$C$11)^8+'04_Planting_Design'!$G$19*IF(9&lt;=3,'02_Assumptions'!$C$181,'02_Assumptions'!$C$182)*(1+'02_Assumptions'!$C$11)^8+'14_Certification_ESG'!$L$15+'02_Assumptions'!$C$6*'02_Assumptions'!$C$118*(1+'02_Assumptions'!$C$11)^8+'02_Assumptions'!$C$180*(1+'02_Assumptions'!$C$11)^8+'17_Model_Fleksibel'!$P$100+'10_Production_Revenue'!$J$25)*(1+'02_Assumptions'!$C$15)</x:f>
        <x:v>5418336605.44177</x:v>
      </x:c>
      <x:c r="K39" s="300" t="n">
        <x:f>($F$34*(1+'02_Assumptions'!$C$11)^9+('05_Workplan_Labor'!$K$41+'17_Model_Fleksibel'!$W$68)*'02_Assumptions'!$C$60*(1+'02_Assumptions'!$C$11)^9+'07_Agri_Inputs'!$K$34+'06_Equipment_Tools'!$I$39*'02_Assumptions'!$C$113*(1+'02_Assumptions'!$C$11)^9+'02_Assumptions'!$C$179*(1+'02_Assumptions'!$C$11)^9+SUM('08_CAPEX_RAB'!$H$23:$H$26)*'02_Assumptions'!$C$114*(1+'02_Assumptions'!$C$11)^9+'04_Planting_Design'!$G$19*IF(10&lt;=3,'02_Assumptions'!$C$181,'02_Assumptions'!$C$182)*(1+'02_Assumptions'!$C$11)^9+'14_Certification_ESG'!$M$15+'02_Assumptions'!$C$6*'02_Assumptions'!$C$118*(1+'02_Assumptions'!$C$11)^9+'02_Assumptions'!$C$180*(1+'02_Assumptions'!$C$11)^9+'17_Model_Fleksibel'!$Q$100+'10_Production_Revenue'!$K$25)*(1+'02_Assumptions'!$C$15)</x:f>
        <x:v>5801616125.931908</x:v>
      </x:c>
    </x:row>
    <x:row r="40">
      <x:c r="A40" s="301" t="str">
        <x:v>OPEX 4 lokasi</x:v>
      </x:c>
      <x:c r="B40" s="301" t="n">
        <x:f>($G$34*(1+'02_Assumptions'!$C$11)^0+('05_Workplan_Labor'!$B$41+'17_Model_Fleksibel'!$N$68)*'02_Assumptions'!$C$60*(1+'02_Assumptions'!$C$11)^0*(1+'02_Assumptions'!$C$177*3)+'07_Agri_Inputs'!$B$34+'06_Equipment_Tools'!$J$39*'02_Assumptions'!$C$113*(1+'02_Assumptions'!$C$11)^0+'02_Assumptions'!$C$179*(1+'02_Assumptions'!$C$11)^0*(1+'02_Assumptions'!$C$178*3)+SUM('08_CAPEX_RAB'!$I$23:$I$26)*'02_Assumptions'!$C$114*(1+'02_Assumptions'!$C$11)^0+'04_Planting_Design'!$G$19*IF(1&lt;=3,'02_Assumptions'!$C$181,'02_Assumptions'!$C$182)*(1+'02_Assumptions'!$C$11)^0+'14_Certification_ESG'!$D$15+'02_Assumptions'!$C$6*'02_Assumptions'!$C$118*(1+'02_Assumptions'!$C$11)^0+'02_Assumptions'!$C$180*(1+'02_Assumptions'!$C$11)^0*(1+'02_Assumptions'!$C$178*3)+'17_Model_Fleksibel'!$H$100+'10_Production_Revenue'!$B$25)*(1+'02_Assumptions'!$C$15)</x:f>
        <x:v>5519715391.527809</x:v>
      </x:c>
      <x:c r="C40" s="301" t="n">
        <x:f>($G$34*(1+'02_Assumptions'!$C$11)^1+('05_Workplan_Labor'!$C$41+'17_Model_Fleksibel'!$O$68)*'02_Assumptions'!$C$60*(1+'02_Assumptions'!$C$11)^1*(1+'02_Assumptions'!$C$177*3)+'07_Agri_Inputs'!$C$34+'06_Equipment_Tools'!$J$39*'02_Assumptions'!$C$113*(1+'02_Assumptions'!$C$11)^1+'02_Assumptions'!$C$179*(1+'02_Assumptions'!$C$11)^1*(1+'02_Assumptions'!$C$178*3)+SUM('08_CAPEX_RAB'!$I$23:$I$26)*'02_Assumptions'!$C$114*(1+'02_Assumptions'!$C$11)^1+'04_Planting_Design'!$G$19*IF(2&lt;=3,'02_Assumptions'!$C$181,'02_Assumptions'!$C$182)*(1+'02_Assumptions'!$C$11)^1+'14_Certification_ESG'!$E$15+'02_Assumptions'!$C$6*'02_Assumptions'!$C$118*(1+'02_Assumptions'!$C$11)^1+'02_Assumptions'!$C$180*(1+'02_Assumptions'!$C$11)^1*(1+'02_Assumptions'!$C$178*3)+'17_Model_Fleksibel'!$I$100+'10_Production_Revenue'!$C$25)*(1+'02_Assumptions'!$C$15)</x:f>
        <x:v>5759731951.839011</x:v>
      </x:c>
      <x:c r="D40" s="301" t="n">
        <x:f>($G$34*(1+'02_Assumptions'!$C$11)^2+('05_Workplan_Labor'!$D$41+'17_Model_Fleksibel'!$P$68)*'02_Assumptions'!$C$60*(1+'02_Assumptions'!$C$11)^2*(1+'02_Assumptions'!$C$177*3)+'07_Agri_Inputs'!$D$34+'06_Equipment_Tools'!$J$39*'02_Assumptions'!$C$113*(1+'02_Assumptions'!$C$11)^2+'02_Assumptions'!$C$179*(1+'02_Assumptions'!$C$11)^2*(1+'02_Assumptions'!$C$178*3)+SUM('08_CAPEX_RAB'!$I$23:$I$26)*'02_Assumptions'!$C$114*(1+'02_Assumptions'!$C$11)^2+'04_Planting_Design'!$G$19*IF(3&lt;=3,'02_Assumptions'!$C$181,'02_Assumptions'!$C$182)*(1+'02_Assumptions'!$C$11)^2+'14_Certification_ESG'!$F$15+'02_Assumptions'!$C$6*'02_Assumptions'!$C$118*(1+'02_Assumptions'!$C$11)^2+'02_Assumptions'!$C$180*(1+'02_Assumptions'!$C$11)^2*(1+'02_Assumptions'!$C$178*3)+'17_Model_Fleksibel'!$J$100+'10_Production_Revenue'!$D$25)*(1+'02_Assumptions'!$C$15)</x:f>
        <x:v>5540152993.680178</x:v>
      </x:c>
      <x:c r="E40" s="301" t="n">
        <x:f>($G$34*(1+'02_Assumptions'!$C$11)^3+('05_Workplan_Labor'!$E$41+'17_Model_Fleksibel'!$Q$68)*'02_Assumptions'!$C$60*(1+'02_Assumptions'!$C$11)^3*(1+'02_Assumptions'!$C$177*3)+'07_Agri_Inputs'!$E$34+'06_Equipment_Tools'!$J$39*'02_Assumptions'!$C$113*(1+'02_Assumptions'!$C$11)^3+'02_Assumptions'!$C$179*(1+'02_Assumptions'!$C$11)^3*(1+'02_Assumptions'!$C$178*3)+SUM('08_CAPEX_RAB'!$I$23:$I$26)*'02_Assumptions'!$C$114*(1+'02_Assumptions'!$C$11)^3+'04_Planting_Design'!$G$19*IF(4&lt;=3,'02_Assumptions'!$C$181,'02_Assumptions'!$C$182)*(1+'02_Assumptions'!$C$11)^3+'14_Certification_ESG'!$G$15+'02_Assumptions'!$C$6*'02_Assumptions'!$C$118*(1+'02_Assumptions'!$C$11)^3+'02_Assumptions'!$C$180*(1+'02_Assumptions'!$C$11)^3*(1+'02_Assumptions'!$C$178*3)+'17_Model_Fleksibel'!$K$100+'10_Production_Revenue'!$E$25)*(1+'02_Assumptions'!$C$15)</x:f>
        <x:v>5533403374.8554325</x:v>
      </x:c>
      <x:c r="F40" s="301" t="n">
        <x:f>($G$34*(1+'02_Assumptions'!$C$11)^4+('05_Workplan_Labor'!$F$41+'17_Model_Fleksibel'!$R$68)*'02_Assumptions'!$C$60*(1+'02_Assumptions'!$C$11)^4*(1+'02_Assumptions'!$C$177*3)+'07_Agri_Inputs'!$F$34+'06_Equipment_Tools'!$J$39*'02_Assumptions'!$C$113*(1+'02_Assumptions'!$C$11)^4+'02_Assumptions'!$C$179*(1+'02_Assumptions'!$C$11)^4*(1+'02_Assumptions'!$C$178*3)+SUM('08_CAPEX_RAB'!$I$23:$I$26)*'02_Assumptions'!$C$114*(1+'02_Assumptions'!$C$11)^4+'04_Planting_Design'!$G$19*IF(5&lt;=3,'02_Assumptions'!$C$181,'02_Assumptions'!$C$182)*(1+'02_Assumptions'!$C$11)^4+'14_Certification_ESG'!$H$15+'02_Assumptions'!$C$6*'02_Assumptions'!$C$118*(1+'02_Assumptions'!$C$11)^4+'02_Assumptions'!$C$180*(1+'02_Assumptions'!$C$11)^4*(1+'02_Assumptions'!$C$178*3)+'17_Model_Fleksibel'!$L$100+'10_Production_Revenue'!$F$25)*(1+'02_Assumptions'!$C$15)</x:f>
        <x:v>5654443726.38171</x:v>
      </x:c>
      <x:c r="G40" s="301" t="n">
        <x:f>($G$34*(1+'02_Assumptions'!$C$11)^5+('05_Workplan_Labor'!$G$41+'17_Model_Fleksibel'!$S$68)*'02_Assumptions'!$C$60*(1+'02_Assumptions'!$C$11)^5*(1+'02_Assumptions'!$C$177*3)+'07_Agri_Inputs'!$G$34+'06_Equipment_Tools'!$J$39*'02_Assumptions'!$C$113*(1+'02_Assumptions'!$C$11)^5+'02_Assumptions'!$C$179*(1+'02_Assumptions'!$C$11)^5*(1+'02_Assumptions'!$C$178*3)+SUM('08_CAPEX_RAB'!$I$23:$I$26)*'02_Assumptions'!$C$114*(1+'02_Assumptions'!$C$11)^5+'04_Planting_Design'!$G$19*IF(6&lt;=3,'02_Assumptions'!$C$181,'02_Assumptions'!$C$182)*(1+'02_Assumptions'!$C$11)^5+'14_Certification_ESG'!$I$15+'02_Assumptions'!$C$6*'02_Assumptions'!$C$118*(1+'02_Assumptions'!$C$11)^5+'02_Assumptions'!$C$180*(1+'02_Assumptions'!$C$11)^5*(1+'02_Assumptions'!$C$178*3)+'17_Model_Fleksibel'!$M$100+'10_Production_Revenue'!$G$25)*(1+'02_Assumptions'!$C$15)</x:f>
        <x:v>6011110849.843701</x:v>
      </x:c>
      <x:c r="H40" s="301" t="n">
        <x:f>($G$34*(1+'02_Assumptions'!$C$11)^6+('05_Workplan_Labor'!$H$41+'17_Model_Fleksibel'!$T$68)*'02_Assumptions'!$C$60*(1+'02_Assumptions'!$C$11)^6*(1+'02_Assumptions'!$C$177*3)+'07_Agri_Inputs'!$H$34+'06_Equipment_Tools'!$J$39*'02_Assumptions'!$C$113*(1+'02_Assumptions'!$C$11)^6+'02_Assumptions'!$C$179*(1+'02_Assumptions'!$C$11)^6*(1+'02_Assumptions'!$C$178*3)+SUM('08_CAPEX_RAB'!$I$23:$I$26)*'02_Assumptions'!$C$114*(1+'02_Assumptions'!$C$11)^6+'04_Planting_Design'!$G$19*IF(7&lt;=3,'02_Assumptions'!$C$181,'02_Assumptions'!$C$182)*(1+'02_Assumptions'!$C$11)^6+'14_Certification_ESG'!$J$15+'02_Assumptions'!$C$6*'02_Assumptions'!$C$118*(1+'02_Assumptions'!$C$11)^6+'02_Assumptions'!$C$180*(1+'02_Assumptions'!$C$11)^6*(1+'02_Assumptions'!$C$178*3)+'17_Model_Fleksibel'!$N$100+'10_Production_Revenue'!$H$25)*(1+'02_Assumptions'!$C$15)</x:f>
        <x:v>6305709921.765279</x:v>
      </x:c>
      <x:c r="I40" s="301" t="n">
        <x:f>($G$34*(1+'02_Assumptions'!$C$11)^7+('05_Workplan_Labor'!$I$41+'17_Model_Fleksibel'!$U$68)*'02_Assumptions'!$C$60*(1+'02_Assumptions'!$C$11)^7*(1+'02_Assumptions'!$C$177*3)+'07_Agri_Inputs'!$I$34+'06_Equipment_Tools'!$J$39*'02_Assumptions'!$C$113*(1+'02_Assumptions'!$C$11)^7+'02_Assumptions'!$C$179*(1+'02_Assumptions'!$C$11)^7*(1+'02_Assumptions'!$C$178*3)+SUM('08_CAPEX_RAB'!$I$23:$I$26)*'02_Assumptions'!$C$114*(1+'02_Assumptions'!$C$11)^7+'04_Planting_Design'!$G$19*IF(8&lt;=3,'02_Assumptions'!$C$181,'02_Assumptions'!$C$182)*(1+'02_Assumptions'!$C$11)^7+'14_Certification_ESG'!$K$15+'02_Assumptions'!$C$6*'02_Assumptions'!$C$118*(1+'02_Assumptions'!$C$11)^7+'02_Assumptions'!$C$180*(1+'02_Assumptions'!$C$11)^7*(1+'02_Assumptions'!$C$178*3)+'17_Model_Fleksibel'!$O$100+'10_Production_Revenue'!$I$25)*(1+'02_Assumptions'!$C$15)</x:f>
        <x:v>6775992464.914916</x:v>
      </x:c>
      <x:c r="J40" s="301" t="n">
        <x:f>($G$34*(1+'02_Assumptions'!$C$11)^8+('05_Workplan_Labor'!$J$41+'17_Model_Fleksibel'!$V$68)*'02_Assumptions'!$C$60*(1+'02_Assumptions'!$C$11)^8*(1+'02_Assumptions'!$C$177*3)+'07_Agri_Inputs'!$J$34+'06_Equipment_Tools'!$J$39*'02_Assumptions'!$C$113*(1+'02_Assumptions'!$C$11)^8+'02_Assumptions'!$C$179*(1+'02_Assumptions'!$C$11)^8*(1+'02_Assumptions'!$C$178*3)+SUM('08_CAPEX_RAB'!$I$23:$I$26)*'02_Assumptions'!$C$114*(1+'02_Assumptions'!$C$11)^8+'04_Planting_Design'!$G$19*IF(9&lt;=3,'02_Assumptions'!$C$181,'02_Assumptions'!$C$182)*(1+'02_Assumptions'!$C$11)^8+'14_Certification_ESG'!$L$15+'02_Assumptions'!$C$6*'02_Assumptions'!$C$118*(1+'02_Assumptions'!$C$11)^8+'02_Assumptions'!$C$180*(1+'02_Assumptions'!$C$11)^8*(1+'02_Assumptions'!$C$178*3)+'17_Model_Fleksibel'!$P$100+'10_Production_Revenue'!$J$25)*(1+'02_Assumptions'!$C$15)</x:f>
        <x:v>7039255133.025677</x:v>
      </x:c>
      <x:c r="K40" s="301" t="n">
        <x:f>($G$34*(1+'02_Assumptions'!$C$11)^9+('05_Workplan_Labor'!$K$41+'17_Model_Fleksibel'!$W$68)*'02_Assumptions'!$C$60*(1+'02_Assumptions'!$C$11)^9*(1+'02_Assumptions'!$C$177*3)+'07_Agri_Inputs'!$K$34+'06_Equipment_Tools'!$J$39*'02_Assumptions'!$C$113*(1+'02_Assumptions'!$C$11)^9+'02_Assumptions'!$C$179*(1+'02_Assumptions'!$C$11)^9*(1+'02_Assumptions'!$C$178*3)+SUM('08_CAPEX_RAB'!$I$23:$I$26)*'02_Assumptions'!$C$114*(1+'02_Assumptions'!$C$11)^9+'04_Planting_Design'!$G$19*IF(10&lt;=3,'02_Assumptions'!$C$181,'02_Assumptions'!$C$182)*(1+'02_Assumptions'!$C$11)^9+'14_Certification_ESG'!$M$15+'02_Assumptions'!$C$6*'02_Assumptions'!$C$118*(1+'02_Assumptions'!$C$11)^9+'02_Assumptions'!$C$180*(1+'02_Assumptions'!$C$11)^9*(1+'02_Assumptions'!$C$178*3)+'17_Model_Fleksibel'!$Q$100+'10_Production_Revenue'!$K$25)*(1+'02_Assumptions'!$C$15)</x:f>
        <x:v>7487371394.619173</x:v>
      </x:c>
    </x:row>
    <x:row r="41">
      <x:c r="A41" s="261"/>
      <x:c r="B41" s="261"/>
      <x:c r="C41" s="261"/>
      <x:c r="D41" s="261"/>
      <x:c r="E41" s="261"/>
      <x:c r="F41" s="261"/>
      <x:c r="G41" s="261"/>
      <x:c r="H41" s="261"/>
      <x:c r="I41" s="261"/>
      <x:c r="J41" s="445"/>
      <x:c r="K41" s="261"/>
    </x:row>
    <x:row r="42" ht="20" customHeight="1">
      <x:c r="A42" s="316" t="str">
        <x:v>Baris tambahan staf</x:v>
      </x:c>
      <x:c r="B42" s="316"/>
      <x:c r="C42" s="316"/>
      <x:c r="D42" s="316"/>
      <x:c r="E42" s="316"/>
      <x:c r="F42" s="316"/>
      <x:c r="G42" s="316"/>
      <x:c r="H42" s="316"/>
      <x:c r="I42" s="316"/>
      <x:c r="J42" s="402"/>
      <x:c r="K42" s="316"/>
    </x:row>
    <x:row r="43">
      <x:c r="A43" s="261"/>
      <x:c r="B43" s="261"/>
      <x:c r="C43" s="261"/>
      <x:c r="D43" s="261"/>
      <x:c r="E43" s="261"/>
      <x:c r="F43" s="261"/>
      <x:c r="G43" s="261"/>
      <x:c r="H43" s="261"/>
      <x:c r="I43" s="261"/>
      <x:c r="J43" s="445"/>
      <x:c r="K43" s="261"/>
    </x:row>
    <x:row r="44">
      <x:c r="A44" s="330" t="str">
        <x:v>Staf tambahan 1</x:v>
      </x:c>
      <x:c r="B44" s="446" t="n">
        <x:f>IF($H44=0,0,ROUNDUP(MAX($I44*'02_Assumptions'!$C$6/100,$K44),0))</x:f>
        <x:v>0</x:v>
      </x:c>
      <x:c r="C44" s="446" t="n">
        <x:f>IF($H44=0,0,ROUNDUP(MAX($I44*'02_Assumptions'!$C$6/100*(1+$J44*3),$K44*4),0))</x:f>
        <x:v>0</x:v>
      </x:c>
      <x:c r="D44" s="330" t="n">
        <x:v>0</x:v>
      </x:c>
      <x:c r="E44" s="330" t="n">
        <x:v>0.15</x:v>
      </x:c>
      <x:c r="F44" s="438" t="n">
        <x:f>$B44*$D44*12*(1+$E44)</x:f>
        <x:v>0</x:v>
      </x:c>
      <x:c r="G44" s="438" t="n">
        <x:f>$C44*$D44*12*(1+$E44)</x:f>
        <x:v>0</x:v>
      </x:c>
      <x:c r="H44" s="330" t="n">
        <x:v>0</x:v>
      </x:c>
      <x:c r="I44" s="330" t="n">
        <x:v>0</x:v>
      </x:c>
      <x:c r="J44" s="331" t="n">
        <x:v>0</x:v>
      </x:c>
      <x:c r="K44" s="330" t="n">
        <x:v>0</x:v>
      </x:c>
    </x:row>
    <x:row r="45">
      <x:c r="A45" s="330" t="str">
        <x:v>Staf tambahan 2</x:v>
      </x:c>
      <x:c r="B45" s="446" t="n">
        <x:f>IF($H45=0,0,ROUNDUP(MAX($I45*'02_Assumptions'!$C$6/100,$K45),0))</x:f>
        <x:v>0</x:v>
      </x:c>
      <x:c r="C45" s="446" t="n">
        <x:f>IF($H45=0,0,ROUNDUP(MAX($I45*'02_Assumptions'!$C$6/100*(1+$J45*3),$K45*4),0))</x:f>
        <x:v>0</x:v>
      </x:c>
      <x:c r="D45" s="330" t="n">
        <x:v>0</x:v>
      </x:c>
      <x:c r="E45" s="330" t="n">
        <x:v>0.15</x:v>
      </x:c>
      <x:c r="F45" s="438" t="n">
        <x:f>$B45*$D45*12*(1+$E45)</x:f>
        <x:v>0</x:v>
      </x:c>
      <x:c r="G45" s="438" t="n">
        <x:f>$C45*$D45*12*(1+$E45)</x:f>
        <x:v>0</x:v>
      </x:c>
      <x:c r="H45" s="330" t="n">
        <x:v>0</x:v>
      </x:c>
      <x:c r="I45" s="330" t="n">
        <x:v>0</x:v>
      </x:c>
      <x:c r="J45" s="331" t="n">
        <x:v>0</x:v>
      </x:c>
      <x:c r="K45" s="330" t="n">
        <x:v>0</x:v>
      </x:c>
    </x:row>
    <x:row r="46">
      <x:c r="A46" s="330" t="str">
        <x:v>Staf tambahan 3</x:v>
      </x:c>
      <x:c r="B46" s="446" t="n">
        <x:f>IF($H46=0,0,ROUNDUP(MAX($I46*'02_Assumptions'!$C$6/100,$K46),0))</x:f>
        <x:v>0</x:v>
      </x:c>
      <x:c r="C46" s="446" t="n">
        <x:f>IF($H46=0,0,ROUNDUP(MAX($I46*'02_Assumptions'!$C$6/100*(1+$J46*3),$K46*4),0))</x:f>
        <x:v>0</x:v>
      </x:c>
      <x:c r="D46" s="330" t="n">
        <x:v>0</x:v>
      </x:c>
      <x:c r="E46" s="330" t="n">
        <x:v>0.15</x:v>
      </x:c>
      <x:c r="F46" s="438" t="n">
        <x:f>$B46*$D46*12*(1+$E46)</x:f>
        <x:v>0</x:v>
      </x:c>
      <x:c r="G46" s="438" t="n">
        <x:f>$C46*$D46*12*(1+$E46)</x:f>
        <x:v>0</x:v>
      </x:c>
      <x:c r="H46" s="330" t="n">
        <x:v>0</x:v>
      </x:c>
      <x:c r="I46" s="330" t="n">
        <x:v>0</x:v>
      </x:c>
      <x:c r="J46" s="331" t="n">
        <x:v>0</x:v>
      </x:c>
      <x:c r="K46" s="330" t="n">
        <x:v>0</x:v>
      </x:c>
    </x:row>
    <x:row r="47">
      <x:c r="A47" s="330" t="str">
        <x:v>Staf tambahan 4</x:v>
      </x:c>
      <x:c r="B47" s="446" t="n">
        <x:f>IF($H47=0,0,ROUNDUP(MAX($I47*'02_Assumptions'!$C$6/100,$K47),0))</x:f>
        <x:v>0</x:v>
      </x:c>
      <x:c r="C47" s="446" t="n">
        <x:f>IF($H47=0,0,ROUNDUP(MAX($I47*'02_Assumptions'!$C$6/100*(1+$J47*3),$K47*4),0))</x:f>
        <x:v>0</x:v>
      </x:c>
      <x:c r="D47" s="330" t="n">
        <x:v>0</x:v>
      </x:c>
      <x:c r="E47" s="330" t="n">
        <x:v>0.15</x:v>
      </x:c>
      <x:c r="F47" s="438" t="n">
        <x:f>$B47*$D47*12*(1+$E47)</x:f>
        <x:v>0</x:v>
      </x:c>
      <x:c r="G47" s="438" t="n">
        <x:f>$C47*$D47*12*(1+$E47)</x:f>
        <x:v>0</x:v>
      </x:c>
      <x:c r="H47" s="330" t="n">
        <x:v>0</x:v>
      </x:c>
      <x:c r="I47" s="330" t="n">
        <x:v>0</x:v>
      </x:c>
      <x:c r="J47" s="331" t="n">
        <x:v>0</x:v>
      </x:c>
      <x:c r="K47" s="330" t="n">
        <x:v>0</x:v>
      </x:c>
    </x:row>
    <x:row r="48">
      <x:c r="A48" s="330" t="str">
        <x:v>Staf tambahan 5</x:v>
      </x:c>
      <x:c r="B48" s="446" t="n">
        <x:f>IF($H48=0,0,ROUNDUP(MAX($I48*'02_Assumptions'!$C$6/100,$K48),0))</x:f>
        <x:v>0</x:v>
      </x:c>
      <x:c r="C48" s="446" t="n">
        <x:f>IF($H48=0,0,ROUNDUP(MAX($I48*'02_Assumptions'!$C$6/100*(1+$J48*3),$K48*4),0))</x:f>
        <x:v>0</x:v>
      </x:c>
      <x:c r="D48" s="330" t="n">
        <x:v>0</x:v>
      </x:c>
      <x:c r="E48" s="330" t="n">
        <x:v>0.15</x:v>
      </x:c>
      <x:c r="F48" s="438" t="n">
        <x:f>$B48*$D48*12*(1+$E48)</x:f>
        <x:v>0</x:v>
      </x:c>
      <x:c r="G48" s="438" t="n">
        <x:f>$C48*$D48*12*(1+$E48)</x:f>
        <x:v>0</x:v>
      </x:c>
      <x:c r="H48" s="330" t="n">
        <x:v>0</x:v>
      </x:c>
      <x:c r="I48" s="330" t="n">
        <x:v>0</x:v>
      </x:c>
      <x:c r="J48" s="331" t="n">
        <x:v>0</x:v>
      </x:c>
      <x:c r="K48" s="330" t="n">
        <x:v>0</x:v>
      </x:c>
    </x:row>
    <x:row r="49">
      <x:c r="A49" s="330" t="str">
        <x:v>Staf tambahan 6</x:v>
      </x:c>
      <x:c r="B49" s="446" t="n">
        <x:f>IF($H49=0,0,ROUNDUP(MAX($I49*'02_Assumptions'!$C$6/100,$K49),0))</x:f>
        <x:v>0</x:v>
      </x:c>
      <x:c r="C49" s="446" t="n">
        <x:f>IF($H49=0,0,ROUNDUP(MAX($I49*'02_Assumptions'!$C$6/100*(1+$J49*3),$K49*4),0))</x:f>
        <x:v>0</x:v>
      </x:c>
      <x:c r="D49" s="330" t="n">
        <x:v>0</x:v>
      </x:c>
      <x:c r="E49" s="330" t="n">
        <x:v>0.15</x:v>
      </x:c>
      <x:c r="F49" s="438" t="n">
        <x:f>$B49*$D49*12*(1+$E49)</x:f>
        <x:v>0</x:v>
      </x:c>
      <x:c r="G49" s="438" t="n">
        <x:f>$C49*$D49*12*(1+$E49)</x:f>
        <x:v>0</x:v>
      </x:c>
      <x:c r="H49" s="330" t="n">
        <x:v>0</x:v>
      </x:c>
      <x:c r="I49" s="330" t="n">
        <x:v>0</x:v>
      </x:c>
      <x:c r="J49" s="331" t="n">
        <x:v>0</x:v>
      </x:c>
      <x:c r="K49" s="330" t="n">
        <x:v>0</x:v>
      </x:c>
    </x:row>
  </x:sheetData>
  <x:mergeCells>
    <x:mergeCell ref="A1:K1"/>
    <x:mergeCell ref="A2:K2"/>
    <x:mergeCell ref="A24:G24"/>
    <x:mergeCell ref="A34:E34"/>
    <x:mergeCell ref="A4:K4"/>
    <x:mergeCell ref="A37:K37"/>
    <x:mergeCell ref="A42:K42"/>
  </x:mergeCells>
  <x:dataValidations count="2">
    <x:dataValidation type="list" sqref="H26:H33">
      <x:formula1>"0,1"</x:formula1>
    </x:dataValidation>
    <x:dataValidation type="list" sqref="H44:H49">
      <x:formula1>"0,1"</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8" customHeight="1">
      <x:c r="A1" s="313" t="str">
        <x:v>Produksi dan Pendapatan 10 Tahun</x:v>
      </x:c>
      <x:c r="B1" s="313"/>
      <x:c r="C1" s="313"/>
      <x:c r="D1" s="313"/>
      <x:c r="E1" s="313"/>
      <x:c r="F1" s="313"/>
      <x:c r="G1" s="313"/>
      <x:c r="H1" s="313"/>
      <x:c r="I1" s="313"/>
      <x:c r="J1" s="313"/>
      <x:c r="K1" s="313"/>
    </x:row>
    <x:row r="2" ht="38" customHeight="1">
      <x:c r="A2" s="7" t="str">
        <x:v>Menghitung produksi dan pendapatan per komoditas berdasarkan tanaman hidup, kurva hasil menurut umur, harga kebun, dan eskalasi harga. Pisang menopang kas awal, kelapa mulai ringan pada Tahun 3, dan durian dasar pada Tahun 5; opsi hanya masuk bila diaktifkan.</x:v>
      </x:c>
      <x:c r="B2" s="7"/>
      <x:c r="C2" s="7"/>
      <x:c r="D2" s="7"/>
      <x:c r="E2" s="7"/>
      <x:c r="F2" s="7"/>
      <x:c r="G2" s="7"/>
      <x:c r="H2" s="7"/>
      <x:c r="I2" s="7"/>
      <x:c r="J2" s="7"/>
      <x:c r="K2" s="7"/>
    </x:row>
    <x:row r="3">
      <x:c r="A3" s="261"/>
      <x:c r="B3" s="261"/>
      <x:c r="C3" s="261"/>
      <x:c r="D3" s="261"/>
      <x:c r="E3" s="261"/>
      <x:c r="F3" s="261"/>
      <x:c r="G3" s="261"/>
      <x:c r="H3" s="261"/>
      <x:c r="I3" s="261"/>
      <x:c r="J3" s="261"/>
      <x:c r="K3" s="261"/>
    </x:row>
    <x:row r="4" ht="30" customHeight="1">
      <x:c r="A4" s="34" t="str">
        <x:v>Ukuran</x:v>
      </x:c>
      <x:c r="B4" s="35" t="str">
        <x:v>T1</x:v>
      </x:c>
      <x:c r="C4" s="35" t="str">
        <x:v>T2</x:v>
      </x:c>
      <x:c r="D4" s="35" t="str">
        <x:v>T3</x:v>
      </x:c>
      <x:c r="E4" s="35" t="str">
        <x:v>T4</x:v>
      </x:c>
      <x:c r="F4" s="35" t="str">
        <x:v>T5</x:v>
      </x:c>
      <x:c r="G4" s="35" t="str">
        <x:v>T6</x:v>
      </x:c>
      <x:c r="H4" s="35" t="str">
        <x:v>T7</x:v>
      </x:c>
      <x:c r="I4" s="35" t="str">
        <x:v>T8</x:v>
      </x:c>
      <x:c r="J4" s="35" t="str">
        <x:v>T9</x:v>
      </x:c>
      <x:c r="K4" s="36" t="str">
        <x:v>T10</x:v>
      </x:c>
    </x:row>
    <x:row r="5">
      <x:c r="A5" s="263" t="str">
        <x:v>Rumpun pisang dipertahankan</x:v>
      </x:c>
      <x:c r="B5" s="274" t="n">
        <x:f>'04_Planting_Design'!$D$26*'02_Assumptions'!$B$123</x:f>
        <x:v>40480</x:v>
      </x:c>
      <x:c r="C5" s="274" t="n">
        <x:f>'04_Planting_Design'!$D$26*'02_Assumptions'!$C$123</x:f>
        <x:v>36432</x:v>
      </x:c>
      <x:c r="D5" s="274" t="n">
        <x:f>'04_Planting_Design'!$D$26*'02_Assumptions'!$D$123</x:f>
        <x:v>28336</x:v>
      </x:c>
      <x:c r="E5" s="274" t="n">
        <x:f>'04_Planting_Design'!$D$26*'02_Assumptions'!$E$123</x:f>
        <x:v>18216</x:v>
      </x:c>
      <x:c r="F5" s="274" t="n">
        <x:f>'04_Planting_Design'!$D$26*'02_Assumptions'!$F$123</x:f>
        <x:v>10120</x:v>
      </x:c>
      <x:c r="G5" s="274" t="n">
        <x:f>'04_Planting_Design'!$D$26*'02_Assumptions'!$G$123</x:f>
        <x:v>6072</x:v>
      </x:c>
      <x:c r="H5" s="274" t="n">
        <x:f>'04_Planting_Design'!$D$26*'02_Assumptions'!$H$123</x:f>
        <x:v>4048</x:v>
      </x:c>
      <x:c r="I5" s="274" t="n">
        <x:f>'04_Planting_Design'!$D$26*'02_Assumptions'!$I$123</x:f>
        <x:v>4048</x:v>
      </x:c>
      <x:c r="J5" s="274" t="n">
        <x:f>'04_Planting_Design'!$D$26*'02_Assumptions'!$J$123</x:f>
        <x:v>4048</x:v>
      </x:c>
      <x:c r="K5" s="274" t="n">
        <x:f>'04_Planting_Design'!$D$26*'02_Assumptions'!$K$123</x:f>
        <x:v>4048</x:v>
      </x:c>
    </x:row>
    <x:row r="6">
      <x:c r="A6" s="263" t="str">
        <x:v>Hasil pisang kg/rumpun</x:v>
      </x:c>
      <x:c r="B6" s="274" t="n">
        <x:f>'02_Assumptions'!$B$124</x:f>
        <x:v>18</x:v>
      </x:c>
      <x:c r="C6" s="274" t="n">
        <x:f>'02_Assumptions'!$C$124</x:f>
        <x:v>20</x:v>
      </x:c>
      <x:c r="D6" s="274" t="n">
        <x:f>'02_Assumptions'!$D$124</x:f>
        <x:v>20</x:v>
      </x:c>
      <x:c r="E6" s="274" t="n">
        <x:f>'02_Assumptions'!$E$124</x:f>
        <x:v>19</x:v>
      </x:c>
      <x:c r="F6" s="274" t="n">
        <x:f>'02_Assumptions'!$F$124</x:f>
        <x:v>18</x:v>
      </x:c>
      <x:c r="G6" s="274" t="n">
        <x:f>'02_Assumptions'!$G$124</x:f>
        <x:v>18</x:v>
      </x:c>
      <x:c r="H6" s="274" t="n">
        <x:f>'02_Assumptions'!$H$124</x:f>
        <x:v>18</x:v>
      </x:c>
      <x:c r="I6" s="274" t="n">
        <x:f>'02_Assumptions'!$I$124</x:f>
        <x:v>18</x:v>
      </x:c>
      <x:c r="J6" s="274" t="n">
        <x:f>'02_Assumptions'!$J$124</x:f>
        <x:v>18</x:v>
      </x:c>
      <x:c r="K6" s="274" t="n">
        <x:f>'02_Assumptions'!$K$124</x:f>
        <x:v>18</x:v>
      </x:c>
    </x:row>
    <x:row r="7">
      <x:c r="A7" s="263" t="str">
        <x:v>Pisang layak jual kg</x:v>
      </x:c>
      <x:c r="B7" s="274" t="n">
        <x:f>B5*B6*'02_Assumptions'!$C$45</x:f>
        <x:v>619344</x:v>
      </x:c>
      <x:c r="C7" s="274" t="n">
        <x:f>C5*C6*'02_Assumptions'!$C$45</x:f>
        <x:v>619344</x:v>
      </x:c>
      <x:c r="D7" s="274" t="n">
        <x:f>D5*D6*'02_Assumptions'!$C$45</x:f>
        <x:v>481712</x:v>
      </x:c>
      <x:c r="E7" s="274" t="n">
        <x:f>E5*E6*'02_Assumptions'!$C$45</x:f>
        <x:v>294188.39999999997</x:v>
      </x:c>
      <x:c r="F7" s="274" t="n">
        <x:f>F5*F6*'02_Assumptions'!$C$45</x:f>
        <x:v>154836</x:v>
      </x:c>
      <x:c r="G7" s="274" t="n">
        <x:f>G5*G6*'02_Assumptions'!$C$45</x:f>
        <x:v>92901.59999999999</x:v>
      </x:c>
      <x:c r="H7" s="274" t="n">
        <x:f>H5*H6*'02_Assumptions'!$C$45</x:f>
        <x:v>61934.4</x:v>
      </x:c>
      <x:c r="I7" s="274" t="n">
        <x:f>I5*I6*'02_Assumptions'!$C$45</x:f>
        <x:v>61934.4</x:v>
      </x:c>
      <x:c r="J7" s="274" t="n">
        <x:f>J5*J6*'02_Assumptions'!$C$45</x:f>
        <x:v>61934.4</x:v>
      </x:c>
      <x:c r="K7" s="274" t="n">
        <x:f>K5*K6*'02_Assumptions'!$C$45</x:f>
        <x:v>61934.4</x:v>
      </x:c>
    </x:row>
    <x:row r="8">
      <x:c r="A8" s="263" t="str">
        <x:v>Harga pisang Rp/kg</x:v>
      </x:c>
      <x:c r="B8" s="271" t="n">
        <x:f>'02_Assumptions'!$C$48*(1+'02_Assumptions'!$C$12)^0*(1+IF(1&gt;='02_Assumptions'!$C$17+'02_Assumptions'!$C$18+1,'02_Assumptions'!$C$19,0))</x:f>
        <x:v>6000</x:v>
      </x:c>
      <x:c r="C8" s="271" t="n">
        <x:f>'02_Assumptions'!$C$48*(1+'02_Assumptions'!$C$12)^1*(1+IF(2&gt;='02_Assumptions'!$C$17+'02_Assumptions'!$C$18+1,'02_Assumptions'!$C$19,0))</x:f>
        <x:v>6180</x:v>
      </x:c>
      <x:c r="D8" s="271" t="n">
        <x:f>'02_Assumptions'!$C$48*(1+'02_Assumptions'!$C$12)^2*(1+IF(3&gt;='02_Assumptions'!$C$17+'02_Assumptions'!$C$18+1,'02_Assumptions'!$C$19,0))</x:f>
        <x:v>6365.4</x:v>
      </x:c>
      <x:c r="E8" s="271" t="n">
        <x:f>'02_Assumptions'!$C$48*(1+'02_Assumptions'!$C$12)^3*(1+IF(4&gt;='02_Assumptions'!$C$17+'02_Assumptions'!$C$18+1,'02_Assumptions'!$C$19,0))</x:f>
        <x:v>6556.362</x:v>
      </x:c>
      <x:c r="F8" s="271" t="n">
        <x:f>'02_Assumptions'!$C$48*(1+'02_Assumptions'!$C$12)^4*(1+IF(5&gt;='02_Assumptions'!$C$17+'02_Assumptions'!$C$18+1,'02_Assumptions'!$C$19,0))</x:f>
        <x:v>6753.052860000001</x:v>
      </x:c>
      <x:c r="G8" s="271" t="n">
        <x:f>'02_Assumptions'!$C$48*(1+'02_Assumptions'!$C$12)^5*(1+IF(6&gt;='02_Assumptions'!$C$17+'02_Assumptions'!$C$18+1,'02_Assumptions'!$C$19,0))</x:f>
        <x:v>6955.6444458000005</x:v>
      </x:c>
      <x:c r="H8" s="271" t="n">
        <x:f>'02_Assumptions'!$C$48*(1+'02_Assumptions'!$C$12)^6*(1+IF(7&gt;='02_Assumptions'!$C$17+'02_Assumptions'!$C$18+1,'02_Assumptions'!$C$19,0))</x:f>
        <x:v>7164.313779174001</x:v>
      </x:c>
      <x:c r="I8" s="271" t="n">
        <x:f>'02_Assumptions'!$C$48*(1+'02_Assumptions'!$C$12)^7*(1+IF(8&gt;='02_Assumptions'!$C$17+'02_Assumptions'!$C$18+1,'02_Assumptions'!$C$19,0))</x:f>
        <x:v>7379.243192549221</x:v>
      </x:c>
      <x:c r="J8" s="271" t="n">
        <x:f>'02_Assumptions'!$C$48*(1+'02_Assumptions'!$C$12)^8*(1+IF(9&gt;='02_Assumptions'!$C$17+'02_Assumptions'!$C$18+1,'02_Assumptions'!$C$19,0))</x:f>
        <x:v>7600.620488325698</x:v>
      </x:c>
      <x:c r="K8" s="271" t="n">
        <x:f>'02_Assumptions'!$C$48*(1+'02_Assumptions'!$C$12)^9*(1+IF(10&gt;='02_Assumptions'!$C$17+'02_Assumptions'!$C$18+1,'02_Assumptions'!$C$19,0))</x:f>
        <x:v>7828.6391029754695</x:v>
      </x:c>
    </x:row>
    <x:row r="9">
      <x:c r="A9" s="286" t="str">
        <x:v>PENDAPATAN PISANG</x:v>
      </x:c>
      <x:c r="B9" s="286" t="n">
        <x:f>B7*B8</x:f>
        <x:v>3716064000</x:v>
      </x:c>
      <x:c r="C9" s="286" t="n">
        <x:f>C7*C8</x:f>
        <x:v>3827545920</x:v>
      </x:c>
      <x:c r="D9" s="286" t="n">
        <x:f>D7*D8</x:f>
        <x:v>3066289564.7999997</x:v>
      </x:c>
      <x:c r="E9" s="286" t="n">
        <x:f>E7*E8</x:f>
        <x:v>1928805646.6007998</x:v>
      </x:c>
      <x:c r="F9" s="286" t="n">
        <x:f>F7*F8</x:f>
        <x:v>1045615692.6309601</x:v>
      </x:c>
      <x:c r="G9" s="286" t="n">
        <x:f>G7*G8</x:f>
        <x:v>646190498.0459332</x:v>
      </x:c>
      <x:c r="H9" s="286" t="n">
        <x:f>H7*H8</x:f>
        <x:v>443717475.3248743</x:v>
      </x:c>
      <x:c r="I9" s="286" t="n">
        <x:f>I7*I8</x:f>
        <x:v>457028999.5846205</x:v>
      </x:c>
      <x:c r="J9" s="286" t="n">
        <x:f>J7*J8</x:f>
        <x:v>470739869.5721591</x:v>
      </x:c>
      <x:c r="K9" s="286" t="n">
        <x:f>K7*K8</x:f>
        <x:v>484862065.65932393</x:v>
      </x:c>
    </x:row>
    <x:row r="10">
      <x:c r="A10" s="263" t="str">
        <x:v>Pohon kelapa hidup</x:v>
      </x:c>
      <x:c r="B10" s="274" t="n">
        <x:f>'04_Planting_Design'!$D$24</x:f>
        <x:v>6938.799999999999</x:v>
      </x:c>
      <x:c r="C10" s="274" t="n">
        <x:f>'04_Planting_Design'!$D$24</x:f>
        <x:v>6938.799999999999</x:v>
      </x:c>
      <x:c r="D10" s="274" t="n">
        <x:f>'04_Planting_Design'!$D$24</x:f>
        <x:v>6938.799999999999</x:v>
      </x:c>
      <x:c r="E10" s="274" t="n">
        <x:f>'04_Planting_Design'!$D$24</x:f>
        <x:v>6938.799999999999</x:v>
      </x:c>
      <x:c r="F10" s="274" t="n">
        <x:f>'04_Planting_Design'!$D$24</x:f>
        <x:v>6938.799999999999</x:v>
      </x:c>
      <x:c r="G10" s="274" t="n">
        <x:f>'04_Planting_Design'!$D$24</x:f>
        <x:v>6938.799999999999</x:v>
      </x:c>
      <x:c r="H10" s="274" t="n">
        <x:f>'04_Planting_Design'!$D$24</x:f>
        <x:v>6938.799999999999</x:v>
      </x:c>
      <x:c r="I10" s="274" t="n">
        <x:f>'04_Planting_Design'!$D$24</x:f>
        <x:v>6938.799999999999</x:v>
      </x:c>
      <x:c r="J10" s="274" t="n">
        <x:f>'04_Planting_Design'!$D$24</x:f>
        <x:v>6938.799999999999</x:v>
      </x:c>
      <x:c r="K10" s="274" t="n">
        <x:f>'04_Planting_Design'!$D$24</x:f>
        <x:v>6938.799999999999</x:v>
      </x:c>
    </x:row>
    <x:row r="11">
      <x:c r="A11" s="263" t="str">
        <x:v>Butir kelapa/pohon</x:v>
      </x:c>
      <x:c r="B11" s="274" t="n">
        <x:f>'02_Assumptions'!$B$125</x:f>
        <x:v>0</x:v>
      </x:c>
      <x:c r="C11" s="274" t="n">
        <x:f>'02_Assumptions'!$C$125</x:f>
        <x:v>0</x:v>
      </x:c>
      <x:c r="D11" s="274" t="n">
        <x:f>'02_Assumptions'!$D$125</x:f>
        <x:v>15</x:v>
      </x:c>
      <x:c r="E11" s="274" t="n">
        <x:f>'02_Assumptions'!$E$125</x:f>
        <x:v>35</x:v>
      </x:c>
      <x:c r="F11" s="274" t="n">
        <x:f>'02_Assumptions'!$F$125</x:f>
        <x:v>60</x:v>
      </x:c>
      <x:c r="G11" s="274" t="n">
        <x:f>'02_Assumptions'!$G$125</x:f>
        <x:v>80</x:v>
      </x:c>
      <x:c r="H11" s="274" t="n">
        <x:f>'02_Assumptions'!$H$125</x:f>
        <x:v>100</x:v>
      </x:c>
      <x:c r="I11" s="274" t="n">
        <x:f>'02_Assumptions'!$I$125</x:f>
        <x:v>110</x:v>
      </x:c>
      <x:c r="J11" s="274" t="n">
        <x:f>'02_Assumptions'!$J$125</x:f>
        <x:v>110</x:v>
      </x:c>
      <x:c r="K11" s="274" t="n">
        <x:f>'02_Assumptions'!$K$125</x:f>
        <x:v>110</x:v>
      </x:c>
    </x:row>
    <x:row r="12">
      <x:c r="A12" s="263" t="str">
        <x:v>Kelapa layak jual (butir)</x:v>
      </x:c>
      <x:c r="B12" s="274" t="n">
        <x:f>B10*B11*'02_Assumptions'!$C$43</x:f>
        <x:v>0</x:v>
      </x:c>
      <x:c r="C12" s="274" t="n">
        <x:f>C10*C11*'02_Assumptions'!$C$43</x:f>
        <x:v>0</x:v>
      </x:c>
      <x:c r="D12" s="274" t="n">
        <x:f>D10*D11*'02_Assumptions'!$C$43</x:f>
        <x:v>93673.79999999999</x:v>
      </x:c>
      <x:c r="E12" s="274" t="n">
        <x:f>E10*E11*'02_Assumptions'!$C$43</x:f>
        <x:v>218572.19999999998</x:v>
      </x:c>
      <x:c r="F12" s="274" t="n">
        <x:f>F10*F11*'02_Assumptions'!$C$43</x:f>
        <x:v>374695.19999999995</x:v>
      </x:c>
      <x:c r="G12" s="274" t="n">
        <x:f>G10*G11*'02_Assumptions'!$C$43</x:f>
        <x:v>499593.60000000003</x:v>
      </x:c>
      <x:c r="H12" s="274" t="n">
        <x:f>H10*H11*'02_Assumptions'!$C$43</x:f>
        <x:v>624491.9999999999</x:v>
      </x:c>
      <x:c r="I12" s="274" t="n">
        <x:f>I10*I11*'02_Assumptions'!$C$43</x:f>
        <x:v>686941.2</x:v>
      </x:c>
      <x:c r="J12" s="274" t="n">
        <x:f>J10*J11*'02_Assumptions'!$C$43</x:f>
        <x:v>686941.2</x:v>
      </x:c>
      <x:c r="K12" s="274" t="n">
        <x:f>K10*K11*'02_Assumptions'!$C$43</x:f>
        <x:v>686941.2</x:v>
      </x:c>
    </x:row>
    <x:row r="13">
      <x:c r="A13" s="263" t="str">
        <x:v>Harga kelapa Rp/butir</x:v>
      </x:c>
      <x:c r="B13" s="271" t="n">
        <x:f>'02_Assumptions'!$C$46*(1+'02_Assumptions'!$C$12)^0*(1+IF(1&gt;='02_Assumptions'!$C$17+'02_Assumptions'!$C$18+1,'02_Assumptions'!$C$19,0))</x:f>
        <x:v>3000</x:v>
      </x:c>
      <x:c r="C13" s="271" t="n">
        <x:f>'02_Assumptions'!$C$46*(1+'02_Assumptions'!$C$12)^1*(1+IF(2&gt;='02_Assumptions'!$C$17+'02_Assumptions'!$C$18+1,'02_Assumptions'!$C$19,0))</x:f>
        <x:v>3090</x:v>
      </x:c>
      <x:c r="D13" s="271" t="n">
        <x:f>'02_Assumptions'!$C$46*(1+'02_Assumptions'!$C$12)^2*(1+IF(3&gt;='02_Assumptions'!$C$17+'02_Assumptions'!$C$18+1,'02_Assumptions'!$C$19,0))</x:f>
        <x:v>3182.7</x:v>
      </x:c>
      <x:c r="E13" s="271" t="n">
        <x:f>'02_Assumptions'!$C$46*(1+'02_Assumptions'!$C$12)^3*(1+IF(4&gt;='02_Assumptions'!$C$17+'02_Assumptions'!$C$18+1,'02_Assumptions'!$C$19,0))</x:f>
        <x:v>3278.181</x:v>
      </x:c>
      <x:c r="F13" s="271" t="n">
        <x:f>'02_Assumptions'!$C$46*(1+'02_Assumptions'!$C$12)^4*(1+IF(5&gt;='02_Assumptions'!$C$17+'02_Assumptions'!$C$18+1,'02_Assumptions'!$C$19,0))</x:f>
        <x:v>3376.5264300000003</x:v>
      </x:c>
      <x:c r="G13" s="271" t="n">
        <x:f>'02_Assumptions'!$C$46*(1+'02_Assumptions'!$C$12)^5*(1+IF(6&gt;='02_Assumptions'!$C$17+'02_Assumptions'!$C$18+1,'02_Assumptions'!$C$19,0))</x:f>
        <x:v>3477.8222229000003</x:v>
      </x:c>
      <x:c r="H13" s="271" t="n">
        <x:f>'02_Assumptions'!$C$46*(1+'02_Assumptions'!$C$12)^6*(1+IF(7&gt;='02_Assumptions'!$C$17+'02_Assumptions'!$C$18+1,'02_Assumptions'!$C$19,0))</x:f>
        <x:v>3582.1568895870005</x:v>
      </x:c>
      <x:c r="I13" s="271" t="n">
        <x:f>'02_Assumptions'!$C$46*(1+'02_Assumptions'!$C$12)^7*(1+IF(8&gt;='02_Assumptions'!$C$17+'02_Assumptions'!$C$18+1,'02_Assumptions'!$C$19,0))</x:f>
        <x:v>3689.6215962746105</x:v>
      </x:c>
      <x:c r="J13" s="271" t="n">
        <x:f>'02_Assumptions'!$C$46*(1+'02_Assumptions'!$C$12)^8*(1+IF(9&gt;='02_Assumptions'!$C$17+'02_Assumptions'!$C$18+1,'02_Assumptions'!$C$19,0))</x:f>
        <x:v>3800.310244162849</x:v>
      </x:c>
      <x:c r="K13" s="271" t="n">
        <x:f>'02_Assumptions'!$C$46*(1+'02_Assumptions'!$C$12)^9*(1+IF(10&gt;='02_Assumptions'!$C$17+'02_Assumptions'!$C$18+1,'02_Assumptions'!$C$19,0))</x:f>
        <x:v>3914.3195514877348</x:v>
      </x:c>
    </x:row>
    <x:row r="14">
      <x:c r="A14" s="286" t="str">
        <x:v>PENDAPATAN KELAPA</x:v>
      </x:c>
      <x:c r="B14" s="286" t="n">
        <x:f>B12*B13</x:f>
        <x:v>0</x:v>
      </x:c>
      <x:c r="C14" s="286" t="n">
        <x:f>C12*C13</x:f>
        <x:v>0</x:v>
      </x:c>
      <x:c r="D14" s="286" t="n">
        <x:f>D12*D13</x:f>
        <x:v>298135603.25999993</x:v>
      </x:c>
      <x:c r="E14" s="286" t="n">
        <x:f>E12*E13</x:f>
        <x:v>716519233.1681999</x:v>
      </x:c>
      <x:c r="F14" s="286" t="n">
        <x:f>F12*F13</x:f>
        <x:v>1265168245.9941359</x:v>
      </x:c>
      <x:c r="G14" s="286" t="n">
        <x:f>G12*G13</x:f>
        <x:v>1737497724.4986136</x:v>
      </x:c>
      <x:c r="H14" s="286" t="n">
        <x:f>H12*H13</x:f>
        <x:v>2237028320.2919645</x:v>
      </x:c>
      <x:c r="I14" s="286" t="n">
        <x:f>I12*I13</x:f>
        <x:v>2534553086.890796</x:v>
      </x:c>
      <x:c r="J14" s="286" t="n">
        <x:f>J12*J13</x:f>
        <x:v>2610589679.4975204</x:v>
      </x:c>
      <x:c r="K14" s="286" t="n">
        <x:f>K12*K13</x:f>
        <x:v>2688907369.8824463</x:v>
      </x:c>
    </x:row>
    <x:row r="15">
      <x:c r="A15" s="263" t="str">
        <x:v>Pohon durian hidup</x:v>
      </x:c>
      <x:c r="B15" s="274" t="n">
        <x:f>'04_Planting_Design'!$D$25</x:f>
        <x:v>2376</x:v>
      </x:c>
      <x:c r="C15" s="274" t="n">
        <x:f>'04_Planting_Design'!$D$25</x:f>
        <x:v>2376</x:v>
      </x:c>
      <x:c r="D15" s="274" t="n">
        <x:f>'04_Planting_Design'!$D$25</x:f>
        <x:v>2376</x:v>
      </x:c>
      <x:c r="E15" s="274" t="n">
        <x:f>'04_Planting_Design'!$D$25</x:f>
        <x:v>2376</x:v>
      </x:c>
      <x:c r="F15" s="274" t="n">
        <x:f>'04_Planting_Design'!$D$25</x:f>
        <x:v>2376</x:v>
      </x:c>
      <x:c r="G15" s="274" t="n">
        <x:f>'04_Planting_Design'!$D$25</x:f>
        <x:v>2376</x:v>
      </x:c>
      <x:c r="H15" s="274" t="n">
        <x:f>'04_Planting_Design'!$D$25</x:f>
        <x:v>2376</x:v>
      </x:c>
      <x:c r="I15" s="274" t="n">
        <x:f>'04_Planting_Design'!$D$25</x:f>
        <x:v>2376</x:v>
      </x:c>
      <x:c r="J15" s="274" t="n">
        <x:f>'04_Planting_Design'!$D$25</x:f>
        <x:v>2376</x:v>
      </x:c>
      <x:c r="K15" s="274" t="n">
        <x:f>'04_Planting_Design'!$D$25</x:f>
        <x:v>2376</x:v>
      </x:c>
    </x:row>
    <x:row r="16">
      <x:c r="A16" s="263" t="str">
        <x:v>Hasil durian kg/pohon</x:v>
      </x:c>
      <x:c r="B16" s="274" t="n">
        <x:f>'02_Assumptions'!$B$126</x:f>
        <x:v>0</x:v>
      </x:c>
      <x:c r="C16" s="274" t="n">
        <x:f>'02_Assumptions'!$C$126</x:f>
        <x:v>0</x:v>
      </x:c>
      <x:c r="D16" s="274" t="n">
        <x:f>'02_Assumptions'!$D$126</x:f>
        <x:v>0</x:v>
      </x:c>
      <x:c r="E16" s="274" t="n">
        <x:f>'02_Assumptions'!$E$126</x:f>
        <x:v>0</x:v>
      </x:c>
      <x:c r="F16" s="274" t="n">
        <x:f>'02_Assumptions'!$F$126</x:f>
        <x:v>10</x:v>
      </x:c>
      <x:c r="G16" s="274" t="n">
        <x:f>'02_Assumptions'!$G$126</x:f>
        <x:v>25</x:v>
      </x:c>
      <x:c r="H16" s="274" t="n">
        <x:f>'02_Assumptions'!$H$126</x:f>
        <x:v>45</x:v>
      </x:c>
      <x:c r="I16" s="274" t="n">
        <x:f>'02_Assumptions'!$I$126</x:f>
        <x:v>65</x:v>
      </x:c>
      <x:c r="J16" s="274" t="n">
        <x:f>'02_Assumptions'!$J$126</x:f>
        <x:v>85</x:v>
      </x:c>
      <x:c r="K16" s="274" t="n">
        <x:f>'02_Assumptions'!$K$126</x:f>
        <x:v>100</x:v>
      </x:c>
    </x:row>
    <x:row r="17">
      <x:c r="A17" s="263" t="str">
        <x:v>Durian layak jual kg</x:v>
      </x:c>
      <x:c r="B17" s="274" t="n">
        <x:f>B15*B16*'02_Assumptions'!$C$44</x:f>
        <x:v>0</x:v>
      </x:c>
      <x:c r="C17" s="274" t="n">
        <x:f>C15*C16*'02_Assumptions'!$C$44</x:f>
        <x:v>0</x:v>
      </x:c>
      <x:c r="D17" s="274" t="n">
        <x:f>D15*D16*'02_Assumptions'!$C$44</x:f>
        <x:v>0</x:v>
      </x:c>
      <x:c r="E17" s="274" t="n">
        <x:f>E15*E16*'02_Assumptions'!$C$44</x:f>
        <x:v>0</x:v>
      </x:c>
      <x:c r="F17" s="274" t="n">
        <x:f>F15*F16*'02_Assumptions'!$C$44</x:f>
        <x:v>20196</x:v>
      </x:c>
      <x:c r="G17" s="274" t="n">
        <x:f>G15*G16*'02_Assumptions'!$C$44</x:f>
        <x:v>50490</x:v>
      </x:c>
      <x:c r="H17" s="274" t="n">
        <x:f>H15*H16*'02_Assumptions'!$C$44</x:f>
        <x:v>90882</x:v>
      </x:c>
      <x:c r="I17" s="274" t="n">
        <x:f>I15*I16*'02_Assumptions'!$C$44</x:f>
        <x:v>131274</x:v>
      </x:c>
      <x:c r="J17" s="274" t="n">
        <x:f>J15*J16*'02_Assumptions'!$C$44</x:f>
        <x:v>171666</x:v>
      </x:c>
      <x:c r="K17" s="274" t="n">
        <x:f>K15*K16*'02_Assumptions'!$C$44</x:f>
        <x:v>201960</x:v>
      </x:c>
    </x:row>
    <x:row r="18">
      <x:c r="A18" s="263" t="str">
        <x:v>Harga durian Rp/kg</x:v>
      </x:c>
      <x:c r="B18" s="271" t="n">
        <x:f>'02_Assumptions'!$C$47*(1+'02_Assumptions'!$C$12)^0*(1+IF(1&gt;='02_Assumptions'!$C$17+'02_Assumptions'!$C$18+1,'02_Assumptions'!$C$19,0))</x:f>
        <x:v>35000</x:v>
      </x:c>
      <x:c r="C18" s="271" t="n">
        <x:f>'02_Assumptions'!$C$47*(1+'02_Assumptions'!$C$12)^1*(1+IF(2&gt;='02_Assumptions'!$C$17+'02_Assumptions'!$C$18+1,'02_Assumptions'!$C$19,0))</x:f>
        <x:v>36050</x:v>
      </x:c>
      <x:c r="D18" s="271" t="n">
        <x:f>'02_Assumptions'!$C$47*(1+'02_Assumptions'!$C$12)^2*(1+IF(3&gt;='02_Assumptions'!$C$17+'02_Assumptions'!$C$18+1,'02_Assumptions'!$C$19,0))</x:f>
        <x:v>37131.5</x:v>
      </x:c>
      <x:c r="E18" s="271" t="n">
        <x:f>'02_Assumptions'!$C$47*(1+'02_Assumptions'!$C$12)^3*(1+IF(4&gt;='02_Assumptions'!$C$17+'02_Assumptions'!$C$18+1,'02_Assumptions'!$C$19,0))</x:f>
        <x:v>38245.445</x:v>
      </x:c>
      <x:c r="F18" s="271" t="n">
        <x:f>'02_Assumptions'!$C$47*(1+'02_Assumptions'!$C$12)^4*(1+IF(5&gt;='02_Assumptions'!$C$17+'02_Assumptions'!$C$18+1,'02_Assumptions'!$C$19,0))</x:f>
        <x:v>39392.80835000001</x:v>
      </x:c>
      <x:c r="G18" s="271" t="n">
        <x:f>'02_Assumptions'!$C$47*(1+'02_Assumptions'!$C$12)^5*(1+IF(6&gt;='02_Assumptions'!$C$17+'02_Assumptions'!$C$18+1,'02_Assumptions'!$C$19,0))</x:f>
        <x:v>40574.5926005</x:v>
      </x:c>
      <x:c r="H18" s="271" t="n">
        <x:f>'02_Assumptions'!$C$47*(1+'02_Assumptions'!$C$12)^6*(1+IF(7&gt;='02_Assumptions'!$C$17+'02_Assumptions'!$C$18+1,'02_Assumptions'!$C$19,0))</x:f>
        <x:v>41791.830378515006</x:v>
      </x:c>
      <x:c r="I18" s="271" t="n">
        <x:f>'02_Assumptions'!$C$47*(1+'02_Assumptions'!$C$12)^7*(1+IF(8&gt;='02_Assumptions'!$C$17+'02_Assumptions'!$C$18+1,'02_Assumptions'!$C$19,0))</x:f>
        <x:v>43045.585289870454</x:v>
      </x:c>
      <x:c r="J18" s="271" t="n">
        <x:f>'02_Assumptions'!$C$47*(1+'02_Assumptions'!$C$12)^8*(1+IF(9&gt;='02_Assumptions'!$C$17+'02_Assumptions'!$C$18+1,'02_Assumptions'!$C$19,0))</x:f>
        <x:v>44336.95284856657</x:v>
      </x:c>
      <x:c r="K18" s="271" t="n">
        <x:f>'02_Assumptions'!$C$47*(1+'02_Assumptions'!$C$12)^9*(1+IF(10&gt;='02_Assumptions'!$C$17+'02_Assumptions'!$C$18+1,'02_Assumptions'!$C$19,0))</x:f>
        <x:v>45667.06143402357</x:v>
      </x:c>
    </x:row>
    <x:row r="19">
      <x:c r="A19" s="286" t="str">
        <x:v>PENDAPATAN DURIAN</x:v>
      </x:c>
      <x:c r="B19" s="286" t="n">
        <x:f>B17*B18</x:f>
        <x:v>0</x:v>
      </x:c>
      <x:c r="C19" s="286" t="n">
        <x:f>C17*C18</x:f>
        <x:v>0</x:v>
      </x:c>
      <x:c r="D19" s="286" t="n">
        <x:f>D17*D18</x:f>
        <x:v>0</x:v>
      </x:c>
      <x:c r="E19" s="286" t="n">
        <x:f>E17*E18</x:f>
        <x:v>0</x:v>
      </x:c>
      <x:c r="F19" s="286" t="n">
        <x:f>F17*F18</x:f>
        <x:v>795577157.4366001</x:v>
      </x:c>
      <x:c r="G19" s="286" t="n">
        <x:f>G17*G18</x:f>
        <x:v>2048611180.399245</x:v>
      </x:c>
      <x:c r="H19" s="286" t="n">
        <x:f>H17*H18</x:f>
        <x:v>3798125128.460201</x:v>
      </x:c>
      <x:c r="I19" s="286" t="n">
        <x:f>I17*I18</x:f>
        <x:v>5650766163.342454</x:v>
      </x:c>
      <x:c r="J19" s="286" t="n">
        <x:f>J17*J18</x:f>
        <x:v>7611147347.702029</x:v>
      </x:c>
      <x:c r="K19" s="286" t="n">
        <x:f>K17*K18</x:f>
        <x:v>9222919727.2154</x:v>
      </x:c>
    </x:row>
    <x:row r="20">
      <x:c r="A20" s="263" t="str">
        <x:v>PENDAPATAN OPSI DAN TAMBAHAN</x:v>
      </x:c>
      <x:c r="B20" s="271" t="n">
        <x:f>'17_Model_Fleksibel'!$P$34+'17_Model_Fleksibel'!$H$116</x:f>
        <x:v>0</x:v>
      </x:c>
      <x:c r="C20" s="271" t="n">
        <x:f>'17_Model_Fleksibel'!$Q$34+'17_Model_Fleksibel'!$I$116</x:f>
        <x:v>0</x:v>
      </x:c>
      <x:c r="D20" s="271" t="n">
        <x:f>'17_Model_Fleksibel'!$R$34+'17_Model_Fleksibel'!$J$116</x:f>
        <x:v>0</x:v>
      </x:c>
      <x:c r="E20" s="271" t="n">
        <x:f>'17_Model_Fleksibel'!$S$34+'17_Model_Fleksibel'!$K$116</x:f>
        <x:v>0</x:v>
      </x:c>
      <x:c r="F20" s="271" t="n">
        <x:f>'17_Model_Fleksibel'!$T$34+'17_Model_Fleksibel'!$L$116</x:f>
        <x:v>0</x:v>
      </x:c>
      <x:c r="G20" s="271" t="n">
        <x:f>'17_Model_Fleksibel'!$U$34+'17_Model_Fleksibel'!$M$116</x:f>
        <x:v>0</x:v>
      </x:c>
      <x:c r="H20" s="271" t="n">
        <x:f>'17_Model_Fleksibel'!$V$34+'17_Model_Fleksibel'!$N$116</x:f>
        <x:v>0</x:v>
      </x:c>
      <x:c r="I20" s="271" t="n">
        <x:f>'17_Model_Fleksibel'!$W$34+'17_Model_Fleksibel'!$O$116</x:f>
        <x:v>0</x:v>
      </x:c>
      <x:c r="J20" s="271" t="n">
        <x:f>'17_Model_Fleksibel'!$X$34+'17_Model_Fleksibel'!$P$116</x:f>
        <x:v>0</x:v>
      </x:c>
      <x:c r="K20" s="271" t="n">
        <x:f>'17_Model_Fleksibel'!$Y$34+'17_Model_Fleksibel'!$Q$116</x:f>
        <x:v>0</x:v>
      </x:c>
    </x:row>
    <x:row r="21">
      <x:c r="A21" s="286" t="str">
        <x:v>TOTAL PENDAPATAN</x:v>
      </x:c>
      <x:c r="B21" s="286" t="n">
        <x:f>SUM(B9,B14,B19,B20)</x:f>
        <x:v>3716064000</x:v>
      </x:c>
      <x:c r="C21" s="286" t="n">
        <x:f>SUM(C9,C14,C19,C20)</x:f>
        <x:v>3827545920</x:v>
      </x:c>
      <x:c r="D21" s="286" t="n">
        <x:f>SUM(D9,D14,D19,D20)</x:f>
        <x:v>3364425168.0599995</x:v>
      </x:c>
      <x:c r="E21" s="286" t="n">
        <x:f>SUM(E9,E14,E19,E20)</x:f>
        <x:v>2645324879.7689996</x:v>
      </x:c>
      <x:c r="F21" s="286" t="n">
        <x:f>SUM(F9,F14,F19,F20)</x:f>
        <x:v>3106361096.061696</x:v>
      </x:c>
      <x:c r="G21" s="286" t="n">
        <x:f>SUM(G9,G14,G19,G20)</x:f>
        <x:v>4432299402.943792</x:v>
      </x:c>
      <x:c r="H21" s="286" t="n">
        <x:f>SUM(H9,H14,H19,H20)</x:f>
        <x:v>6478870924.07704</x:v>
      </x:c>
      <x:c r="I21" s="286" t="n">
        <x:f>SUM(I9,I14,I19,I20)</x:f>
        <x:v>8642348249.817871</x:v>
      </x:c>
      <x:c r="J21" s="286" t="n">
        <x:f>SUM(J9,J14,J19,J20)</x:f>
        <x:v>10692476896.77171</x:v>
      </x:c>
      <x:c r="K21" s="286" t="n">
        <x:f>SUM(K9,K14,K19,K20)</x:f>
        <x:v>12396689162.757172</x:v>
      </x:c>
    </x:row>
    <x:row r="22">
      <x:c r="A22" s="263" t="str">
        <x:v>Biaya panen/pengemasan pisang</x:v>
      </x:c>
      <x:c r="B22" s="271" t="n">
        <x:f>B7*'02_Assumptions'!$C$115*(1+'02_Assumptions'!$C$11)^0</x:f>
        <x:v>495475200</x:v>
      </x:c>
      <x:c r="C22" s="271" t="n">
        <x:f>C7*'02_Assumptions'!$C$115*(1+'02_Assumptions'!$C$11)^1</x:f>
        <x:v>515294208</x:v>
      </x:c>
      <x:c r="D22" s="271" t="n">
        <x:f>D7*'02_Assumptions'!$C$115*(1+'02_Assumptions'!$C$11)^2</x:f>
        <x:v>416815759.3600001</x:v>
      </x:c>
      <x:c r="E22" s="271" t="n">
        <x:f>E7*'02_Assumptions'!$C$115*(1+'02_Assumptions'!$C$11)^3</x:f>
        <x:v>264737552.30207998</x:v>
      </x:c>
      <x:c r="F22" s="271" t="n">
        <x:f>F7*'02_Assumptions'!$C$115*(1+'02_Assumptions'!$C$11)^4</x:f>
        <x:v>144908975.99692804</x:v>
      </x:c>
      <x:c r="G22" s="271" t="n">
        <x:f>G7*'02_Assumptions'!$C$115*(1+'02_Assumptions'!$C$11)^5</x:f>
        <x:v>90423201.02208307</x:v>
      </x:c>
      <x:c r="H22" s="271" t="n">
        <x:f>H7*'02_Assumptions'!$C$115*(1+'02_Assumptions'!$C$11)^6</x:f>
        <x:v>62693419.37531095</x:v>
      </x:c>
      <x:c r="I22" s="271" t="n">
        <x:f>I7*'02_Assumptions'!$C$115*(1+'02_Assumptions'!$C$11)^7</x:f>
        <x:v>65201156.15032338</x:v>
      </x:c>
      <x:c r="J22" s="271" t="n">
        <x:f>J7*'02_Assumptions'!$C$115*(1+'02_Assumptions'!$C$11)^8</x:f>
        <x:v>67809202.39633632</x:v>
      </x:c>
      <x:c r="K22" s="271" t="n">
        <x:f>K7*'02_Assumptions'!$C$115*(1+'02_Assumptions'!$C$11)^9</x:f>
        <x:v>70521570.49218978</x:v>
      </x:c>
    </x:row>
    <x:row r="23">
      <x:c r="A23" s="263" t="str">
        <x:v>Biaya panen/pengumpulan kelapa</x:v>
      </x:c>
      <x:c r="B23" s="271" t="n">
        <x:f>B12*'02_Assumptions'!$C$116*(1+'02_Assumptions'!$C$11)^0</x:f>
        <x:v>0</x:v>
      </x:c>
      <x:c r="C23" s="271" t="n">
        <x:f>C12*'02_Assumptions'!$C$116*(1+'02_Assumptions'!$C$11)^1</x:f>
        <x:v>0</x:v>
      </x:c>
      <x:c r="D23" s="271" t="n">
        <x:f>D12*'02_Assumptions'!$C$116*(1+'02_Assumptions'!$C$11)^2</x:f>
        <x:v>50658791.04</x:v>
      </x:c>
      <x:c r="E23" s="271" t="n">
        <x:f>E12*'02_Assumptions'!$C$116*(1+'02_Assumptions'!$C$11)^3</x:f>
        <x:v>122931999.5904</x:v>
      </x:c>
      <x:c r="F23" s="271" t="n">
        <x:f>F12*'02_Assumptions'!$C$116*(1+'02_Assumptions'!$C$11)^4</x:f>
        <x:v>219170193.555456</x:v>
      </x:c>
      <x:c r="G23" s="271" t="n">
        <x:f>G12*'02_Assumptions'!$C$116*(1+'02_Assumptions'!$C$11)^5</x:f>
        <x:v>303916001.73023236</x:v>
      </x:c>
      <x:c r="H23" s="271" t="n">
        <x:f>H12*'02_Assumptions'!$C$116*(1+'02_Assumptions'!$C$11)^6</x:f>
        <x:v>395090802.249302</x:v>
      </x:c>
      <x:c r="I23" s="271" t="n">
        <x:f>I12*'02_Assumptions'!$C$116*(1+'02_Assumptions'!$C$11)^7</x:f>
        <x:v>451983877.7732016</x:v>
      </x:c>
      <x:c r="J23" s="271" t="n">
        <x:f>J12*'02_Assumptions'!$C$116*(1+'02_Assumptions'!$C$11)^8</x:f>
        <x:v>470063232.88412964</x:v>
      </x:c>
      <x:c r="K23" s="271" t="n">
        <x:f>K12*'02_Assumptions'!$C$116*(1+'02_Assumptions'!$C$11)^9</x:f>
        <x:v>488865762.1994949</x:v>
      </x:c>
    </x:row>
    <x:row r="24">
      <x:c r="A24" s="263" t="str">
        <x:v>Biaya panen/grading durian</x:v>
      </x:c>
      <x:c r="B24" s="271" t="n">
        <x:f>B17*'02_Assumptions'!$C$117*(1+'02_Assumptions'!$C$11)^0</x:f>
        <x:v>0</x:v>
      </x:c>
      <x:c r="C24" s="271" t="n">
        <x:f>C17*'02_Assumptions'!$C$117*(1+'02_Assumptions'!$C$11)^1</x:f>
        <x:v>0</x:v>
      </x:c>
      <x:c r="D24" s="271" t="n">
        <x:f>D17*'02_Assumptions'!$C$117*(1+'02_Assumptions'!$C$11)^2</x:f>
        <x:v>0</x:v>
      </x:c>
      <x:c r="E24" s="271" t="n">
        <x:f>E17*'02_Assumptions'!$C$117*(1+'02_Assumptions'!$C$11)^3</x:f>
        <x:v>0</x:v>
      </x:c>
      <x:c r="F24" s="271" t="n">
        <x:f>F17*'02_Assumptions'!$C$117*(1+'02_Assumptions'!$C$11)^4</x:f>
        <x:v>35439695.21664</x:v>
      </x:c>
      <x:c r="G24" s="271" t="n">
        <x:f>G17*'02_Assumptions'!$C$117*(1+'02_Assumptions'!$C$11)^5</x:f>
        <x:v>92143207.56326401</x:v>
      </x:c>
      <x:c r="H24" s="271" t="n">
        <x:f>H17*'02_Assumptions'!$C$117*(1+'02_Assumptions'!$C$11)^6</x:f>
        <x:v>172492084.55843025</x:v>
      </x:c>
      <x:c r="I24" s="271" t="n">
        <x:f>I17*'02_Assumptions'!$C$117*(1+'02_Assumptions'!$C$11)^7</x:f>
        <x:v>259121442.58110854</x:v>
      </x:c>
      <x:c r="J24" s="271" t="n">
        <x:f>J17*'02_Assumptions'!$C$117*(1+'02_Assumptions'!$C$11)^8</x:f>
        <x:v>352405161.91030765</x:v>
      </x:c>
      <x:c r="K24" s="271" t="n">
        <x:f>K17*'02_Assumptions'!$C$117*(1+'02_Assumptions'!$C$11)^9</x:f>
        <x:v>431178080.45496464</x:v>
      </x:c>
    </x:row>
    <x:row r="25">
      <x:c r="A25" s="286" t="str">
        <x:v>TOTAL BIAYA PANEN VARIABEL</x:v>
      </x:c>
      <x:c r="B25" s="286" t="n">
        <x:f>SUM(B22:B24)+'17_Model_Fleksibel'!$Z$35</x:f>
        <x:v>495475200</x:v>
      </x:c>
      <x:c r="C25" s="286" t="n">
        <x:f>SUM(C22:C24)+'17_Model_Fleksibel'!$AA$35</x:f>
        <x:v>515294208</x:v>
      </x:c>
      <x:c r="D25" s="286" t="n">
        <x:f>SUM(D22:D24)+'17_Model_Fleksibel'!$AB$35</x:f>
        <x:v>467474550.4000001</x:v>
      </x:c>
      <x:c r="E25" s="286" t="n">
        <x:f>SUM(E22:E24)+'17_Model_Fleksibel'!$AC$35</x:f>
        <x:v>387669551.89247996</x:v>
      </x:c>
      <x:c r="F25" s="286" t="n">
        <x:f>SUM(F22:F24)+'17_Model_Fleksibel'!$AD$35</x:f>
        <x:v>399518864.769024</x:v>
      </x:c>
      <x:c r="G25" s="286" t="n">
        <x:f>SUM(G22:G24)+'17_Model_Fleksibel'!$AE$35</x:f>
        <x:v>486482410.3155794</x:v>
      </x:c>
      <x:c r="H25" s="286" t="n">
        <x:f>SUM(H22:H24)+'17_Model_Fleksibel'!$AF$35</x:f>
        <x:v>630276306.1830432</x:v>
      </x:c>
      <x:c r="I25" s="286" t="n">
        <x:f>SUM(I22:I24)+'17_Model_Fleksibel'!$AG$35</x:f>
        <x:v>776306476.5046335</x:v>
      </x:c>
      <x:c r="J25" s="286" t="n">
        <x:f>SUM(J22:J24)+'17_Model_Fleksibel'!$AH$35</x:f>
        <x:v>890277597.1907736</x:v>
      </x:c>
      <x:c r="K25" s="286" t="n">
        <x:f>SUM(K22:K24)+'17_Model_Fleksibel'!$AI$35</x:f>
        <x:v>990565413.1466494</x:v>
      </x:c>
    </x:row>
  </x:sheetData>
  <x:mergeCells>
    <x:mergeCell ref="A1:K1"/>
    <x:mergeCell ref="A2:K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1"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s>
  <x:sheetData>
    <x:row r="1" ht="28" customHeight="1">
      <x:c r="A1" s="313" t="str">
        <x:v>Arus Kas Proyek dan Hasil Investasi</x:v>
      </x:c>
      <x:c r="B1" s="313"/>
      <x:c r="C1" s="313"/>
      <x:c r="D1" s="313"/>
      <x:c r="E1" s="313"/>
      <x:c r="F1" s="313"/>
      <x:c r="G1" s="313"/>
      <x:c r="H1" s="313"/>
      <x:c r="I1" s="313"/>
      <x:c r="J1" s="313"/>
      <x:c r="K1" s="313"/>
      <x:c r="L1" s="313"/>
    </x:row>
    <x:row r="2" ht="38" customHeight="1">
      <x:c r="A2" s="7" t="str">
        <x:v>Menggabungkan pendapatan, OPEX, dan CAPEX menjadi arus kas proyek, arus kas kumulatif, NPV, IRR, tahun pengembalian, dan kebutuhan pendanaan puncak. Hasil negatif berarti desain komersial perlu diperbaiki sebelum investasi, bukan menghapus pengendalian teknis yang penting.</x:v>
      </x:c>
      <x:c r="B2" s="7"/>
      <x:c r="C2" s="7"/>
      <x:c r="D2" s="7"/>
      <x:c r="E2" s="7"/>
      <x:c r="F2" s="7"/>
      <x:c r="G2" s="7"/>
      <x:c r="H2" s="7"/>
      <x:c r="I2" s="7"/>
      <x:c r="J2" s="7"/>
      <x:c r="K2" s="7"/>
      <x:c r="L2" s="7"/>
    </x:row>
    <x:row r="3">
      <x:c r="A3" s="261"/>
      <x:c r="B3" s="261"/>
      <x:c r="C3" s="261"/>
      <x:c r="D3" s="261"/>
      <x:c r="E3" s="261"/>
      <x:c r="F3" s="261"/>
      <x:c r="G3" s="261"/>
      <x:c r="H3" s="261"/>
      <x:c r="I3" s="261"/>
      <x:c r="J3" s="261"/>
      <x:c r="K3" s="261"/>
      <x:c r="L3" s="261"/>
    </x:row>
    <x:row r="4" ht="30" customHeight="1">
      <x:c r="A4" s="34" t="str">
        <x:v>Ukuran</x:v>
      </x:c>
      <x:c r="B4" s="35" t="str">
        <x:v>T0</x:v>
      </x:c>
      <x:c r="C4" s="35" t="str">
        <x:v>T1</x:v>
      </x:c>
      <x:c r="D4" s="35" t="str">
        <x:v>T2</x:v>
      </x:c>
      <x:c r="E4" s="35" t="str">
        <x:v>T3</x:v>
      </x:c>
      <x:c r="F4" s="35" t="str">
        <x:v>T4</x:v>
      </x:c>
      <x:c r="G4" s="35" t="str">
        <x:v>T5</x:v>
      </x:c>
      <x:c r="H4" s="35" t="str">
        <x:v>T6</x:v>
      </x:c>
      <x:c r="I4" s="35" t="str">
        <x:v>T7</x:v>
      </x:c>
      <x:c r="J4" s="35" t="str">
        <x:v>T8</x:v>
      </x:c>
      <x:c r="K4" s="35" t="str">
        <x:v>T9</x:v>
      </x:c>
      <x:c r="L4" s="36" t="str">
        <x:v>T10</x:v>
      </x:c>
    </x:row>
    <x:row r="5">
      <x:c r="A5" s="263" t="str">
        <x:v>Pendapatan</x:v>
      </x:c>
      <x:c r="B5" s="271" t="n">
        <x:v>0</x:v>
      </x:c>
      <x:c r="C5" s="271" t="n">
        <x:f>'10_Production_Revenue'!$B$21</x:f>
        <x:v>3716064000</x:v>
      </x:c>
      <x:c r="D5" s="271" t="n">
        <x:f>'10_Production_Revenue'!$C$21</x:f>
        <x:v>3827545920</x:v>
      </x:c>
      <x:c r="E5" s="271" t="n">
        <x:f>'10_Production_Revenue'!$D$21</x:f>
        <x:v>3364425168.0599995</x:v>
      </x:c>
      <x:c r="F5" s="271" t="n">
        <x:f>'10_Production_Revenue'!$E$21</x:f>
        <x:v>2645324879.7689996</x:v>
      </x:c>
      <x:c r="G5" s="271" t="n">
        <x:f>'10_Production_Revenue'!$F$21</x:f>
        <x:v>3106361096.061696</x:v>
      </x:c>
      <x:c r="H5" s="271" t="n">
        <x:f>'10_Production_Revenue'!$G$21</x:f>
        <x:v>4432299402.943792</x:v>
      </x:c>
      <x:c r="I5" s="271" t="n">
        <x:f>'10_Production_Revenue'!$H$21</x:f>
        <x:v>6478870924.07704</x:v>
      </x:c>
      <x:c r="J5" s="271" t="n">
        <x:f>'10_Production_Revenue'!$I$21</x:f>
        <x:v>8642348249.817871</x:v>
      </x:c>
      <x:c r="K5" s="271" t="n">
        <x:f>'10_Production_Revenue'!$J$21</x:f>
        <x:v>10692476896.77171</x:v>
      </x:c>
      <x:c r="L5" s="271" t="n">
        <x:f>'10_Production_Revenue'!$K$21</x:f>
        <x:v>12396689162.757172</x:v>
      </x:c>
    </x:row>
    <x:row r="6">
      <x:c r="A6" s="263" t="str">
        <x:v>OPEX</x:v>
      </x:c>
      <x:c r="B6" s="271" t="n">
        <x:v>0</x:v>
      </x:c>
      <x:c r="C6" s="271" t="n">
        <x:f>-'09_OPEX_10Y'!$B$17</x:f>
        <x:v>-4319525700</x:v>
      </x:c>
      <x:c r="D6" s="271" t="n">
        <x:f>-'09_OPEX_10Y'!$C$17</x:f>
        <x:v>-4515830163.936</x:v>
      </x:c>
      <x:c r="E6" s="271" t="n">
        <x:f>-'09_OPEX_10Y'!$D$17</x:f>
        <x:v>-4250242878.3360004</x:v>
      </x:c>
      <x:c r="F6" s="271" t="n">
        <x:f>-'09_OPEX_10Y'!$E$17</x:f>
        <x:v>-4195950414.88896</x:v>
      </x:c>
      <x:c r="G6" s="271" t="n">
        <x:f>-'09_OPEX_10Y'!$F$17</x:f>
        <x:v>-4266476068.170301</x:v>
      </x:c>
      <x:c r="H6" s="271" t="n">
        <x:f>-'09_OPEX_10Y'!$G$17</x:f>
        <x:v>-4569513119.975061</x:v>
      </x:c>
      <x:c r="I6" s="271" t="n">
        <x:f>-'09_OPEX_10Y'!$H$17</x:f>
        <x:v>-4807079626.291989</x:v>
      </x:c>
      <x:c r="J6" s="271" t="n">
        <x:f>-'09_OPEX_10Y'!$I$17</x:f>
        <x:v>-5217416957.622694</x:v>
      </x:c>
      <x:c r="K6" s="271" t="n">
        <x:f>-'09_OPEX_10Y'!$J$17</x:f>
        <x:v>-5418336605.44177</x:v>
      </x:c>
      <x:c r="L6" s="271" t="n">
        <x:f>-'09_OPEX_10Y'!$K$17</x:f>
        <x:v>-5801616125.931907</x:v>
      </x:c>
    </x:row>
    <x:row r="7">
      <x:c r="A7" s="263" t="str">
        <x:v>CAPEX awal/lanjutan</x:v>
      </x:c>
      <x:c r="B7" s="271" t="n">
        <x:f>-'08_CAPEX_RAB'!$J$43</x:f>
        <x:v>-14516740480</x:v>
      </x:c>
      <x:c r="C7" s="271" t="n">
        <x:f>0</x:f>
        <x:v>0</x:v>
      </x:c>
      <x:c r="D7" s="271" t="n">
        <x:f>0</x:f>
        <x:v>0</x:v>
      </x:c>
      <x:c r="E7" s="271" t="n">
        <x:f>0</x:f>
        <x:v>0</x:v>
      </x:c>
      <x:c r="F7" s="271" t="n">
        <x:f>0</x:f>
        <x:v>0</x:v>
      </x:c>
      <x:c r="G7" s="271" t="n">
        <x:f>-IF('02_Assumptions'!$C$8=4,'06_Equipment_Tools'!$J$39,'06_Equipment_Tools'!$I$39)*'02_Assumptions'!$C$183</x:f>
        <x:v>-457420000</x:v>
      </x:c>
      <x:c r="H7" s="271" t="n">
        <x:f>0</x:f>
        <x:v>0</x:v>
      </x:c>
      <x:c r="I7" s="271" t="n">
        <x:f>0</x:f>
        <x:v>0</x:v>
      </x:c>
      <x:c r="J7" s="271" t="n">
        <x:f>-IF('02_Assumptions'!$C$8=4,'06_Equipment_Tools'!$J$39,'06_Equipment_Tools'!$I$39)*'02_Assumptions'!$C$184</x:f>
        <x:v>-228710000</x:v>
      </x:c>
      <x:c r="K7" s="271" t="n">
        <x:f>0</x:f>
        <x:v>0</x:v>
      </x:c>
      <x:c r="L7" s="271" t="n">
        <x:f>0</x:f>
        <x:v>0</x:v>
      </x:c>
    </x:row>
    <x:row r="8">
      <x:c r="A8" s="286" t="str">
        <x:v>ARUS KAS PROYEK</x:v>
      </x:c>
      <x:c r="B8" s="286" t="n">
        <x:f>SUM(B5:B7)</x:f>
        <x:v>-14516740480</x:v>
      </x:c>
      <x:c r="C8" s="286" t="n">
        <x:f>SUM(C5:C7)</x:f>
        <x:v>-603461700</x:v>
      </x:c>
      <x:c r="D8" s="286" t="n">
        <x:f>SUM(D5:D7)</x:f>
        <x:v>-688284243.9359999</x:v>
      </x:c>
      <x:c r="E8" s="286" t="n">
        <x:f>SUM(E5:E7)</x:f>
        <x:v>-885817710.276001</x:v>
      </x:c>
      <x:c r="F8" s="286" t="n">
        <x:f>SUM(F5:F7)</x:f>
        <x:v>-1550625535.1199603</x:v>
      </x:c>
      <x:c r="G8" s="286" t="n">
        <x:f>SUM(G5:G7)</x:f>
        <x:v>-1617534972.108605</x:v>
      </x:c>
      <x:c r="H8" s="286" t="n">
        <x:f>SUM(H5:H7)</x:f>
        <x:v>-137213717.03126907</x:v>
      </x:c>
      <x:c r="I8" s="286" t="n">
        <x:f>SUM(I5:I7)</x:f>
        <x:v>1671791297.7850504</x:v>
      </x:c>
      <x:c r="J8" s="286" t="n">
        <x:f>SUM(J5:J7)</x:f>
        <x:v>3196221292.195177</x:v>
      </x:c>
      <x:c r="K8" s="286" t="n">
        <x:f>SUM(K5:K7)</x:f>
        <x:v>5274140291.32994</x:v>
      </x:c>
      <x:c r="L8" s="286" t="n">
        <x:f>SUM(L5:L7)</x:f>
        <x:v>6595073036.825265</x:v>
      </x:c>
    </x:row>
    <x:row r="9">
      <x:c r="A9" s="286" t="str">
        <x:v>Arus kas kumulatif</x:v>
      </x:c>
      <x:c r="B9" s="286" t="n">
        <x:f>B8</x:f>
        <x:v>-14516740480</x:v>
      </x:c>
      <x:c r="C9" s="286" t="n">
        <x:f>B9+C8</x:f>
        <x:v>-15120202180</x:v>
      </x:c>
      <x:c r="D9" s="286" t="n">
        <x:f>C9+D8</x:f>
        <x:v>-15808486423.936</x:v>
      </x:c>
      <x:c r="E9" s="286" t="n">
        <x:f>D9+E8</x:f>
        <x:v>-16694304134.212002</x:v>
      </x:c>
      <x:c r="F9" s="286" t="n">
        <x:f>E9+F8</x:f>
        <x:v>-18244929669.331963</x:v>
      </x:c>
      <x:c r="G9" s="286" t="n">
        <x:f>F9+G8</x:f>
        <x:v>-19862464641.440567</x:v>
      </x:c>
      <x:c r="H9" s="286" t="n">
        <x:f>G9+H8</x:f>
        <x:v>-19999678358.471836</x:v>
      </x:c>
      <x:c r="I9" s="286" t="n">
        <x:f>H9+I8</x:f>
        <x:v>-18327887060.686787</x:v>
      </x:c>
      <x:c r="J9" s="286" t="n">
        <x:f>I9+J8</x:f>
        <x:v>-15131665768.49161</x:v>
      </x:c>
      <x:c r="K9" s="286" t="n">
        <x:f>J9+K8</x:f>
        <x:v>-9857525477.16167</x:v>
      </x:c>
      <x:c r="L9" s="286" t="n">
        <x:f>K9+L8</x:f>
        <x:v>-3262452440.3364058</x:v>
      </x:c>
    </x:row>
    <x:row r="10">
      <x:c r="A10" s="263" t="str">
        <x:v>Faktor diskonto</x:v>
      </x:c>
      <x:c r="B10" s="302" t="n">
        <x:v>1</x:v>
      </x:c>
      <x:c r="C10" s="302" t="n">
        <x:f>1/(1+'02_Assumptions'!$C$13)^1</x:f>
        <x:v>0.8928571428571428</x:v>
      </x:c>
      <x:c r="D10" s="302" t="n">
        <x:f>1/(1+'02_Assumptions'!$C$13)^2</x:f>
        <x:v>0.7971938775510203</x:v>
      </x:c>
      <x:c r="E10" s="302" t="n">
        <x:f>1/(1+'02_Assumptions'!$C$13)^3</x:f>
        <x:v>0.7117802478134109</x:v>
      </x:c>
      <x:c r="F10" s="302" t="n">
        <x:f>1/(1+'02_Assumptions'!$C$13)^4</x:f>
        <x:v>0.6355180784048311</x:v>
      </x:c>
      <x:c r="G10" s="302" t="n">
        <x:f>1/(1+'02_Assumptions'!$C$13)^5</x:f>
        <x:v>0.5674268557185992</x:v>
      </x:c>
      <x:c r="H10" s="302" t="n">
        <x:f>1/(1+'02_Assumptions'!$C$13)^6</x:f>
        <x:v>0.5066311211773206</x:v>
      </x:c>
      <x:c r="I10" s="302" t="n">
        <x:f>1/(1+'02_Assumptions'!$C$13)^7</x:f>
        <x:v>0.4523492153368934</x:v>
      </x:c>
      <x:c r="J10" s="302" t="n">
        <x:f>1/(1+'02_Assumptions'!$C$13)^8</x:f>
        <x:v>0.40388322797936904</x:v>
      </x:c>
      <x:c r="K10" s="302" t="n">
        <x:f>1/(1+'02_Assumptions'!$C$13)^9</x:f>
        <x:v>0.36061002498157946</x:v>
      </x:c>
      <x:c r="L10" s="302" t="n">
        <x:f>1/(1+'02_Assumptions'!$C$13)^10</x:f>
        <x:v>0.32197323659069593</x:v>
      </x:c>
    </x:row>
    <x:row r="11">
      <x:c r="A11" s="286" t="str">
        <x:v>Arus kas terdiskonto</x:v>
      </x:c>
      <x:c r="B11" s="286" t="n">
        <x:f>B8</x:f>
        <x:v>-14516740480</x:v>
      </x:c>
      <x:c r="C11" s="286" t="n">
        <x:f>C8*C10</x:f>
        <x:v>-538805089.2857143</x:v>
      </x:c>
      <x:c r="D11" s="286" t="n">
        <x:f>D8*D10</x:f>
        <x:v>-548695985.2806121</x:v>
      </x:c>
      <x:c r="E11" s="286" t="n">
        <x:f>E8*E10</x:f>
        <x:v>-630507549.3377602</x:v>
      </x:c>
      <x:c r="F11" s="286" t="n">
        <x:f>F8*F10</x:f>
        <x:v>-985450560.4049001</x:v>
      </x:c>
      <x:c r="G11" s="286" t="n">
        <x:f>G8*G10</x:f>
        <x:v>-917832783.2384577</x:v>
      </x:c>
      <x:c r="H11" s="286" t="n">
        <x:f>H8*H10</x:f>
        <x:v>-69516739.30045946</x:v>
      </x:c>
      <x:c r="I11" s="286" t="n">
        <x:f>I8*I10</x:f>
        <x:v>756233481.7601142</x:v>
      </x:c>
      <x:c r="J11" s="286" t="n">
        <x:f>J8*J10</x:f>
        <x:v>1290900172.8281782</x:v>
      </x:c>
      <x:c r="K11" s="286" t="n">
        <x:f>K8*K10</x:f>
        <x:v>1901907862.2128444</x:v>
      </x:c>
      <x:c r="L11" s="286" t="n">
        <x:f>L8*L10</x:f>
        <x:v>2123437011.2186606</x:v>
      </x:c>
    </x:row>
    <x:row r="12">
      <x:c r="A12" s="263" t="str">
        <x:v>Penanda kumulatif positif</x:v>
      </x:c>
      <x:c r="B12" s="263" t="n">
        <x:f>IF(B9&gt;=0,1,0)</x:f>
        <x:v>0</x:v>
      </x:c>
      <x:c r="C12" s="263" t="n">
        <x:f>IF(C9&gt;=0,1,0)</x:f>
        <x:v>0</x:v>
      </x:c>
      <x:c r="D12" s="263" t="n">
        <x:f>IF(D9&gt;=0,1,0)</x:f>
        <x:v>0</x:v>
      </x:c>
      <x:c r="E12" s="263" t="n">
        <x:f>IF(E9&gt;=0,1,0)</x:f>
        <x:v>0</x:v>
      </x:c>
      <x:c r="F12" s="263" t="n">
        <x:f>IF(F9&gt;=0,1,0)</x:f>
        <x:v>0</x:v>
      </x:c>
      <x:c r="G12" s="263" t="n">
        <x:f>IF(G9&gt;=0,1,0)</x:f>
        <x:v>0</x:v>
      </x:c>
      <x:c r="H12" s="263" t="n">
        <x:f>IF(H9&gt;=0,1,0)</x:f>
        <x:v>0</x:v>
      </x:c>
      <x:c r="I12" s="263" t="n">
        <x:f>IF(I9&gt;=0,1,0)</x:f>
        <x:v>0</x:v>
      </x:c>
      <x:c r="J12" s="263" t="n">
        <x:f>IF(J9&gt;=0,1,0)</x:f>
        <x:v>0</x:v>
      </x:c>
      <x:c r="K12" s="263" t="n">
        <x:f>IF(K9&gt;=0,1,0)</x:f>
        <x:v>0</x:v>
      </x:c>
      <x:c r="L12" s="263" t="n">
        <x:f>IF(L9&gt;=0,1,0)</x:f>
        <x:v>0</x:v>
      </x:c>
    </x:row>
    <x:row r="13">
      <x:c r="A13" s="263"/>
      <x:c r="B13" s="263"/>
      <x:c r="C13" s="263"/>
      <x:c r="D13" s="263"/>
      <x:c r="E13" s="263"/>
      <x:c r="F13" s="263"/>
      <x:c r="G13" s="263"/>
      <x:c r="H13" s="263"/>
      <x:c r="I13" s="263"/>
      <x:c r="J13" s="263"/>
      <x:c r="K13" s="263"/>
      <x:c r="L13" s="263"/>
    </x:row>
    <x:row r="14">
      <x:c r="A14" s="263"/>
      <x:c r="B14" s="263"/>
      <x:c r="C14" s="263"/>
      <x:c r="D14" s="263"/>
      <x:c r="E14" s="263"/>
      <x:c r="F14" s="263"/>
      <x:c r="G14" s="263"/>
      <x:c r="H14" s="263"/>
      <x:c r="I14" s="263"/>
      <x:c r="J14" s="263"/>
      <x:c r="K14" s="263"/>
      <x:c r="L14" s="263"/>
    </x:row>
    <x:row r="15" ht="20" customHeight="1">
      <x:c r="A15" s="41" t="str">
        <x:v>Ukuran hasil investasi</x:v>
      </x:c>
      <x:c r="B15" s="41"/>
      <x:c r="C15" s="41"/>
      <x:c r="D15" s="41"/>
      <x:c r="E15" s="263"/>
      <x:c r="F15" s="263"/>
      <x:c r="G15" s="263"/>
      <x:c r="H15" s="263"/>
      <x:c r="I15" s="263"/>
      <x:c r="J15" s="263"/>
      <x:c r="K15" s="263"/>
      <x:c r="L15" s="263"/>
    </x:row>
    <x:row r="16">
      <x:c r="A16" s="303" t="str">
        <x:v>NPV pada tingkat diskonto</x:v>
      </x:c>
      <x:c r="B16" s="300" t="n">
        <x:f>SUM(B11:L11)</x:f>
        <x:v>-12135070658.828112</x:v>
      </x:c>
      <x:c r="C16" s="263"/>
      <x:c r="D16" s="263"/>
      <x:c r="E16" s="263"/>
      <x:c r="F16" s="263"/>
      <x:c r="G16" s="263"/>
      <x:c r="H16" s="263"/>
      <x:c r="I16" s="263"/>
      <x:c r="J16" s="263"/>
      <x:c r="K16" s="263"/>
      <x:c r="L16" s="263"/>
    </x:row>
    <x:row r="17">
      <x:c r="A17" s="304" t="str">
        <x:v>IRR 10 tahun</x:v>
      </x:c>
      <x:c r="B17" s="305" t="n">
        <x:f>IRR(B8:L8)</x:f>
        <x:v>-0.022037456450085563</x:v>
      </x:c>
      <x:c r="C17" s="263"/>
      <x:c r="D17" s="263"/>
      <x:c r="E17" s="263"/>
      <x:c r="F17" s="263"/>
      <x:c r="G17" s="263"/>
      <x:c r="H17" s="263"/>
      <x:c r="I17" s="263"/>
      <x:c r="J17" s="263"/>
      <x:c r="K17" s="263"/>
      <x:c r="L17" s="263"/>
    </x:row>
    <x:row r="18">
      <x:c r="A18" s="304" t="str">
        <x:v>Tahun pengembalian</x:v>
      </x:c>
      <x:c r="B18" s="304" t="str">
        <x:f>IFERROR(MATCH(1,B12:L12,0)-1,"Beyond Y10")</x:f>
        <x:v>Beyond Y10</x:v>
      </x:c>
      <x:c r="C18" s="263"/>
      <x:c r="D18" s="263"/>
      <x:c r="E18" s="263"/>
      <x:c r="F18" s="263"/>
      <x:c r="G18" s="263"/>
      <x:c r="H18" s="263"/>
      <x:c r="I18" s="263"/>
      <x:c r="J18" s="263"/>
      <x:c r="K18" s="263"/>
      <x:c r="L18" s="263"/>
    </x:row>
    <x:row r="19">
      <x:c r="A19" s="304" t="str">
        <x:v>Kebutuhan pendanaan puncak</x:v>
      </x:c>
      <x:c r="B19" s="306" t="n">
        <x:f>-MIN(B9:L9)</x:f>
        <x:v>19999678358.471836</x:v>
      </x:c>
      <x:c r="C19" s="263"/>
      <x:c r="D19" s="263"/>
      <x:c r="E19" s="263"/>
      <x:c r="F19" s="263"/>
      <x:c r="G19" s="263"/>
      <x:c r="H19" s="263"/>
      <x:c r="I19" s="263"/>
      <x:c r="J19" s="263"/>
      <x:c r="K19" s="263"/>
      <x:c r="L19" s="263"/>
    </x:row>
    <x:row r="20">
      <x:c r="A20" s="307" t="str">
        <x:v>Rasio pendapatan/biaya terdiskonto</x:v>
      </x:c>
      <x:c r="B20" s="308" t="n">
        <x:f>SUMPRODUCT(C5:L5,C10:L10)/(SUMPRODUCT(-C6:L6,C10:L10)+SUMPRODUCT(-C7:L7,C10:L10)-B7)</x:f>
        <x:v>0.7029850413940653</x:v>
      </x:c>
      <x:c r="C20" s="263"/>
      <x:c r="D20" s="263"/>
      <x:c r="E20" s="263"/>
      <x:c r="F20" s="263"/>
      <x:c r="G20" s="263"/>
      <x:c r="H20" s="263"/>
      <x:c r="I20" s="263"/>
      <x:c r="J20" s="263"/>
      <x:c r="K20" s="263"/>
      <x:c r="L20" s="263"/>
    </x:row>
    <x:row r="21">
      <x:c r="A21" s="263" t="str">
        <x:v>Horizon model</x:v>
      </x:c>
      <x:c r="B21" s="263" t="n">
        <x:v>10</x:v>
      </x:c>
      <x:c r="C21" s="263"/>
      <x:c r="D21" s="263"/>
      <x:c r="E21" s="263"/>
      <x:c r="F21" s="263"/>
      <x:c r="G21" s="263"/>
      <x:c r="H21" s="263"/>
      <x:c r="I21" s="263"/>
      <x:c r="J21" s="263"/>
      <x:c r="K21" s="263"/>
      <x:c r="L21" s="263"/>
    </x:row>
  </x:sheetData>
  <x:mergeCells>
    <x:mergeCell ref="A1:L1"/>
    <x:mergeCell ref="A2:L2"/>
    <x:mergeCell ref="A15:D15"/>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8" hidden="0" customWidth="1"/>
    <x:col min="4" max="4" width="18" hidden="0" customWidth="1"/>
    <x:col min="5" max="5" width="35"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8" customHeight="1">
      <x:c r="A1" s="313" t="str">
        <x:v>Perbandingan Skenario: Satu Lokasi dan Empat Lokasi</x:v>
      </x:c>
      <x:c r="B1" s="313"/>
      <x:c r="C1" s="313"/>
      <x:c r="D1" s="313"/>
      <x:c r="E1" s="313"/>
      <x:c r="F1" s="313"/>
      <x:c r="G1" s="313"/>
      <x:c r="H1" s="313"/>
      <x:c r="I1" s="313"/>
      <x:c r="J1" s="313"/>
      <x:c r="K1" s="313"/>
      <x:c r="L1" s="313"/>
    </x:row>
    <x:row r="2" ht="38" customHeight="1">
      <x:c r="A2" s="7" t="str">
        <x:v>Membandingkan satu lokasi dengan empat lokasi pada produksi agronomis yang sama, sehingga selisih terutama menunjukkan duplikasi perimeter, fasilitas, alat, staf, mobilisasi, dan logistik. Gunakan untuk menilai biaya fragmentasi kebun.</x:v>
      </x:c>
      <x:c r="B2" s="7"/>
      <x:c r="C2" s="7"/>
      <x:c r="D2" s="7"/>
      <x:c r="E2" s="7"/>
      <x:c r="F2" s="7"/>
      <x:c r="G2" s="7"/>
      <x:c r="H2" s="7"/>
      <x:c r="I2" s="7"/>
      <x:c r="J2" s="7"/>
      <x:c r="K2" s="7"/>
      <x:c r="L2" s="7"/>
    </x:row>
    <x:row r="3">
      <x:c r="A3" s="261"/>
      <x:c r="B3" s="261"/>
      <x:c r="C3" s="261"/>
      <x:c r="D3" s="261"/>
      <x:c r="E3" s="261"/>
      <x:c r="F3" s="261"/>
      <x:c r="G3" s="261"/>
      <x:c r="H3" s="261"/>
      <x:c r="I3" s="261"/>
      <x:c r="J3" s="261"/>
      <x:c r="K3" s="261"/>
      <x:c r="L3" s="261"/>
    </x:row>
    <x:row r="4" ht="30" customHeight="1">
      <x:c r="A4" s="34" t="str">
        <x:v>Ukuran</x:v>
      </x:c>
      <x:c r="B4" s="35" t="str">
        <x:v>Satu lokasi</x:v>
      </x:c>
      <x:c r="C4" s="35" t="str">
        <x:v>Empat lokasi</x:v>
      </x:c>
      <x:c r="D4" s="35" t="str">
        <x:v>Selisih</x:v>
      </x:c>
      <x:c r="E4" s="36" t="str">
        <x:v>Interpretasi</x:v>
      </x:c>
      <x:c r="F4" s="264"/>
      <x:c r="G4" s="264"/>
      <x:c r="H4" s="264"/>
      <x:c r="I4" s="264"/>
      <x:c r="J4" s="264"/>
      <x:c r="K4" s="264"/>
      <x:c r="L4" s="264"/>
    </x:row>
    <x:row r="5">
      <x:c r="A5" s="264" t="str">
        <x:v>Investasi awal</x:v>
      </x:c>
      <x:c r="B5" s="287" t="n">
        <x:f>'08_CAPEX_RAB'!$H$43</x:f>
        <x:v>14516740480</x:v>
      </x:c>
      <x:c r="C5" s="287" t="n">
        <x:f>'08_CAPEX_RAB'!$I$43</x:f>
        <x:v>23084537170.992</x:v>
      </x:c>
      <x:c r="D5" s="287" t="n">
        <x:f>C5-B5</x:f>
        <x:v>8567796690.992001</x:v>
      </x:c>
      <x:c r="E5" s="264" t="str">
        <x:v>Duplikasi sarana fisik</x:v>
      </x:c>
      <x:c r="F5" s="264"/>
      <x:c r="G5" s="264"/>
      <x:c r="H5" s="264"/>
      <x:c r="I5" s="264"/>
      <x:c r="J5" s="264"/>
      <x:c r="K5" s="264"/>
      <x:c r="L5" s="264"/>
    </x:row>
    <x:row r="6">
      <x:c r="A6" s="264" t="str">
        <x:v>Pendapatan nominal 10 tahun</x:v>
      </x:c>
      <x:c r="B6" s="287" t="n">
        <x:f>SUM('10_Production_Revenue'!B21:K21)</x:f>
        <x:v>59302405700.258286</x:v>
      </x:c>
      <x:c r="C6" s="287" t="n">
        <x:f>B6</x:f>
        <x:v>59302405700.258286</x:v>
      </x:c>
      <x:c r="D6" s="287" t="n">
        <x:f>C6-B6</x:f>
        <x:v>0</x:v>
      </x:c>
      <x:c r="E6" s="264" t="str">
        <x:v>Asumsi produksi sama</x:v>
      </x:c>
      <x:c r="F6" s="264"/>
      <x:c r="G6" s="264"/>
      <x:c r="H6" s="264"/>
      <x:c r="I6" s="264"/>
      <x:c r="J6" s="264"/>
      <x:c r="K6" s="264"/>
      <x:c r="L6" s="264"/>
    </x:row>
    <x:row r="7">
      <x:c r="A7" s="264" t="str">
        <x:v>OPEX nominal 10 tahun</x:v>
      </x:c>
      <x:c r="B7" s="287" t="n">
        <x:f>SUM('09_OPEX_10Y'!B39:K39)</x:f>
        <x:v>47361987660.59469</x:v>
      </x:c>
      <x:c r="C7" s="287" t="n">
        <x:f>SUM('09_OPEX_10Y'!B40:K40)</x:f>
        <x:v>61626887202.45288</x:v>
      </x:c>
      <x:c r="D7" s="287" t="n">
        <x:f>C7-B7</x:f>
        <x:v>14264899541.858192</x:v>
      </x:c>
      <x:c r="E7" s="264" t="str">
        <x:v>Tambahan staf/logistik</x:v>
      </x:c>
      <x:c r="F7" s="264"/>
      <x:c r="G7" s="264"/>
      <x:c r="H7" s="264"/>
      <x:c r="I7" s="264"/>
      <x:c r="J7" s="264"/>
      <x:c r="K7" s="264"/>
      <x:c r="L7" s="264"/>
    </x:row>
    <x:row r="8">
      <x:c r="A8" s="264" t="str">
        <x:v>NPV pada tingkat diskonto</x:v>
      </x:c>
      <x:c r="B8" s="287" t="n">
        <x:f>B16+C16/(1+'02_Assumptions'!$C$13)^1+D16/(1+'02_Assumptions'!$C$13)^2+E16/(1+'02_Assumptions'!$C$13)^3+F16/(1+'02_Assumptions'!$C$13)^4+G16/(1+'02_Assumptions'!$C$13)^5+H16/(1+'02_Assumptions'!$C$13)^6+I16/(1+'02_Assumptions'!$C$13)^7+J16/(1+'02_Assumptions'!$C$13)^8+K16/(1+'02_Assumptions'!$C$13)^9+L16/(1+'02_Assumptions'!$C$13)^10</x:f>
        <x:v>-12135070658.828112</x:v>
      </x:c>
      <x:c r="C8" s="287" t="n">
        <x:f>B18+C18/(1+'02_Assumptions'!$C$13)^1+D18/(1+'02_Assumptions'!$C$13)^2+E18/(1+'02_Assumptions'!$C$13)^3+F18/(1+'02_Assumptions'!$C$13)^4+G18/(1+'02_Assumptions'!$C$13)^5+H18/(1+'02_Assumptions'!$C$13)^6+I18/(1+'02_Assumptions'!$C$13)^7+J18/(1+'02_Assumptions'!$C$13)^8+K18/(1+'02_Assumptions'!$C$13)^9+L18/(1+'02_Assumptions'!$C$13)^10</x:f>
        <x:v>-28806633421.928894</x:v>
      </x:c>
      <x:c r="D8" s="287" t="n">
        <x:f>C8-B8</x:f>
        <x:v>-16671562763.100782</x:v>
      </x:c>
      <x:c r="E8" s="264" t="str">
        <x:v>Ukuran keputusan</x:v>
      </x:c>
      <x:c r="F8" s="264"/>
      <x:c r="G8" s="264"/>
      <x:c r="H8" s="264"/>
      <x:c r="I8" s="264"/>
      <x:c r="J8" s="264"/>
      <x:c r="K8" s="264"/>
      <x:c r="L8" s="264"/>
    </x:row>
    <x:row r="9">
      <x:c r="A9" s="264" t="str">
        <x:v>IRR</x:v>
      </x:c>
      <x:c r="B9" s="280" t="n">
        <x:f>IFERROR(IRR(B16:L16),"Tidak terhitung")</x:f>
        <x:v>-0.022037456450086236</x:v>
      </x:c>
      <x:c r="C9" s="280" t="n">
        <x:f>IFERROR(IRR(B18:L18),"Tidak terhitung")</x:f>
        <x:v>-0.15577111155960882</x:v>
      </x:c>
      <x:c r="D9" s="280" t="n">
        <x:f>IFERROR(C9-B9,"Tidak terhitung")</x:f>
        <x:v>-0.1337336551095226</x:v>
      </x:c>
      <x:c r="E9" s="264" t="str">
        <x:v>Tingkat hasil</x:v>
      </x:c>
      <x:c r="F9" s="264"/>
      <x:c r="G9" s="264"/>
      <x:c r="H9" s="264"/>
      <x:c r="I9" s="264"/>
      <x:c r="J9" s="264"/>
      <x:c r="K9" s="264"/>
      <x:c r="L9" s="264"/>
    </x:row>
    <x:row r="10">
      <x:c r="A10" s="264" t="str">
        <x:v>Tahun pengembalian</x:v>
      </x:c>
      <x:c r="B10" s="264" t="str">
        <x:f>IF(B17&gt;=0,0,IF(C17&gt;=0,1,IF(D17&gt;=0,2,IF(E17&gt;=0,3,IF(F17&gt;=0,4,IF(G17&gt;=0,5,IF(H17&gt;=0,6,IF(I17&gt;=0,7,IF(J17&gt;=0,8,IF(K17&gt;=0,9,IF(L17&gt;=0,10,"Lewat T10")))))))))))</x:f>
        <x:v>Lewat T10</x:v>
      </x:c>
      <x:c r="C10" s="264" t="str">
        <x:f>IF(B19&gt;=0,0,IF(C19&gt;=0,1,IF(D19&gt;=0,2,IF(E19&gt;=0,3,IF(F19&gt;=0,4,IF(G19&gt;=0,5,IF(H19&gt;=0,6,IF(I19&gt;=0,7,IF(J19&gt;=0,8,IF(K19&gt;=0,9,IF(L19&gt;=0,10,"Lewat T10")))))))))))</x:f>
        <x:v>Lewat T10</x:v>
      </x:c>
      <x:c r="D10" s="264" t="str">
        <x:f>IFERROR(C10-B10,"Tidak terhitung")</x:f>
        <x:v>Tidak terhitung</x:v>
      </x:c>
      <x:c r="E10" s="264" t="str">
        <x:v>Waktu pemulihan</x:v>
      </x:c>
      <x:c r="F10" s="264"/>
      <x:c r="G10" s="264"/>
      <x:c r="H10" s="264"/>
      <x:c r="I10" s="264"/>
      <x:c r="J10" s="264"/>
      <x:c r="K10" s="264"/>
      <x:c r="L10" s="264"/>
    </x:row>
    <x:row r="11">
      <x:c r="A11" s="264" t="str">
        <x:v>Pendanaan puncak</x:v>
      </x:c>
      <x:c r="B11" s="287" t="n">
        <x:f>-MIN(B17:L17)</x:f>
        <x:v>19999678358.471836</x:v>
      </x:c>
      <x:c r="C11" s="287" t="n">
        <x:f>-MIN(B19:L19)</x:f>
        <x:v>36884194992.285355</x:v>
      </x:c>
      <x:c r="D11" s="287" t="n">
        <x:f>C11-B11</x:f>
        <x:v>16884516633.813519</x:v>
      </x:c>
      <x:c r="E11" s="264" t="str">
        <x:v>Kebutuhan kas</x:v>
      </x:c>
      <x:c r="F11" s="264"/>
      <x:c r="G11" s="264"/>
      <x:c r="H11" s="264"/>
      <x:c r="I11" s="264"/>
      <x:c r="J11" s="264"/>
      <x:c r="K11" s="264"/>
      <x:c r="L11" s="264"/>
    </x:row>
    <x:row r="12">
      <x:c r="A12" s="264"/>
      <x:c r="B12" s="264"/>
      <x:c r="C12" s="264"/>
      <x:c r="D12" s="264"/>
      <x:c r="E12" s="264"/>
      <x:c r="F12" s="264"/>
      <x:c r="G12" s="264"/>
      <x:c r="H12" s="264"/>
      <x:c r="I12" s="264"/>
      <x:c r="J12" s="264"/>
      <x:c r="K12" s="264"/>
      <x:c r="L12" s="264"/>
    </x:row>
    <x:row r="13">
      <x:c r="A13" s="264"/>
      <x:c r="B13" s="264"/>
      <x:c r="C13" s="264"/>
      <x:c r="D13" s="264"/>
      <x:c r="E13" s="264"/>
      <x:c r="F13" s="264"/>
      <x:c r="G13" s="264"/>
      <x:c r="H13" s="264"/>
      <x:c r="I13" s="264"/>
      <x:c r="J13" s="264"/>
      <x:c r="K13" s="264"/>
      <x:c r="L13" s="264"/>
    </x:row>
    <x:row r="14" ht="20" customHeight="1">
      <x:c r="A14" s="69" t="str">
        <x:v>Arus kas tahunan per skenario</x:v>
      </x:c>
      <x:c r="B14" s="69"/>
      <x:c r="C14" s="69"/>
      <x:c r="D14" s="69"/>
      <x:c r="E14" s="69"/>
      <x:c r="F14" s="69"/>
      <x:c r="G14" s="69"/>
      <x:c r="H14" s="69"/>
      <x:c r="I14" s="69"/>
      <x:c r="J14" s="69"/>
      <x:c r="K14" s="69"/>
      <x:c r="L14" s="69"/>
    </x:row>
    <x:row r="15" ht="30" customHeight="1">
      <x:c r="A15" s="34" t="str">
        <x:v>Metric</x:v>
      </x:c>
      <x:c r="B15" s="35" t="str">
        <x:v>Y0</x:v>
      </x:c>
      <x:c r="C15" s="35" t="str">
        <x:v>Y1</x:v>
      </x:c>
      <x:c r="D15" s="35" t="str">
        <x:v>Y2</x:v>
      </x:c>
      <x:c r="E15" s="35" t="str">
        <x:v>Y3</x:v>
      </x:c>
      <x:c r="F15" s="35" t="str">
        <x:v>Y4</x:v>
      </x:c>
      <x:c r="G15" s="35" t="str">
        <x:v>Y5</x:v>
      </x:c>
      <x:c r="H15" s="35" t="str">
        <x:v>Y6</x:v>
      </x:c>
      <x:c r="I15" s="35" t="str">
        <x:v>Y7</x:v>
      </x:c>
      <x:c r="J15" s="35" t="str">
        <x:v>Y8</x:v>
      </x:c>
      <x:c r="K15" s="35" t="str">
        <x:v>Y9</x:v>
      </x:c>
      <x:c r="L15" s="36" t="str">
        <x:v>Y10</x:v>
      </x:c>
    </x:row>
    <x:row r="16">
      <x:c r="A16" s="297" t="str">
        <x:v>Cash flow 1 block</x:v>
      </x:c>
      <x:c r="B16" s="297" t="n">
        <x:f>-'08_CAPEX_RAB'!$H$43</x:f>
        <x:v>-14516740480</x:v>
      </x:c>
      <x:c r="C16" s="297" t="n">
        <x:f>'10_Production_Revenue'!B21-'09_OPEX_10Y'!B39-0</x:f>
        <x:v>-603461700</x:v>
      </x:c>
      <x:c r="D16" s="297" t="n">
        <x:f>'10_Production_Revenue'!C21-'09_OPEX_10Y'!C39-0</x:f>
        <x:v>-688284243.9359999</x:v>
      </x:c>
      <x:c r="E16" s="297" t="n">
        <x:f>'10_Production_Revenue'!D21-'09_OPEX_10Y'!D39-0</x:f>
        <x:v>-885817710.2760015</x:v>
      </x:c>
      <x:c r="F16" s="297" t="n">
        <x:f>'10_Production_Revenue'!E21-'09_OPEX_10Y'!E39-0</x:f>
        <x:v>-1550625535.1199603</x:v>
      </x:c>
      <x:c r="G16" s="297" t="n">
        <x:f>'10_Production_Revenue'!F21-'09_OPEX_10Y'!F39-'06_Equipment_Tools'!$I$39*'02_Assumptions'!$C$183</x:f>
        <x:v>-1617534972.1086059</x:v>
      </x:c>
      <x:c r="H16" s="297" t="n">
        <x:f>'10_Production_Revenue'!G21-'09_OPEX_10Y'!G39-0</x:f>
        <x:v>-137213717.03126907</x:v>
      </x:c>
      <x:c r="I16" s="297" t="n">
        <x:f>'10_Production_Revenue'!H21-'09_OPEX_10Y'!H39-0</x:f>
        <x:v>1671791297.7850504</x:v>
      </x:c>
      <x:c r="J16" s="297" t="n">
        <x:f>'10_Production_Revenue'!I21-'09_OPEX_10Y'!I39-'06_Equipment_Tools'!$I$39*'02_Assumptions'!$C$184</x:f>
        <x:v>3196221292.195177</x:v>
      </x:c>
      <x:c r="K16" s="297" t="n">
        <x:f>'10_Production_Revenue'!J21-'09_OPEX_10Y'!J39-0</x:f>
        <x:v>5274140291.32994</x:v>
      </x:c>
      <x:c r="L16" s="297" t="n">
        <x:f>'10_Production_Revenue'!K21-'09_OPEX_10Y'!K39-0</x:f>
        <x:v>6595073036.825264</x:v>
      </x:c>
    </x:row>
    <x:row r="17">
      <x:c r="A17" s="298" t="str">
        <x:v>Cumulative 1 block</x:v>
      </x:c>
      <x:c r="B17" s="298" t="n">
        <x:f>B16</x:f>
        <x:v>-14516740480</x:v>
      </x:c>
      <x:c r="C17" s="298" t="n">
        <x:f>B17+C16</x:f>
        <x:v>-15120202180</x:v>
      </x:c>
      <x:c r="D17" s="298" t="n">
        <x:f>C17+D16</x:f>
        <x:v>-15808486423.936</x:v>
      </x:c>
      <x:c r="E17" s="298" t="n">
        <x:f>D17+E16</x:f>
        <x:v>-16694304134.212002</x:v>
      </x:c>
      <x:c r="F17" s="298" t="n">
        <x:f>E17+F16</x:f>
        <x:v>-18244929669.331963</x:v>
      </x:c>
      <x:c r="G17" s="298" t="n">
        <x:f>F17+G16</x:f>
        <x:v>-19862464641.440567</x:v>
      </x:c>
      <x:c r="H17" s="298" t="n">
        <x:f>G17+H16</x:f>
        <x:v>-19999678358.471836</x:v>
      </x:c>
      <x:c r="I17" s="298" t="n">
        <x:f>H17+I16</x:f>
        <x:v>-18327887060.686787</x:v>
      </x:c>
      <x:c r="J17" s="298" t="n">
        <x:f>I17+J16</x:f>
        <x:v>-15131665768.49161</x:v>
      </x:c>
      <x:c r="K17" s="298" t="n">
        <x:f>J17+K16</x:f>
        <x:v>-9857525477.16167</x:v>
      </x:c>
      <x:c r="L17" s="298" t="n">
        <x:f>K17+L16</x:f>
        <x:v>-3262452440.3364067</x:v>
      </x:c>
    </x:row>
    <x:row r="18">
      <x:c r="A18" s="298" t="str">
        <x:v>Cash flow 4 sites</x:v>
      </x:c>
      <x:c r="B18" s="298" t="n">
        <x:f>-'08_CAPEX_RAB'!$I$43</x:f>
        <x:v>-23084537170.992</x:v>
      </x:c>
      <x:c r="C18" s="298" t="n">
        <x:f>'10_Production_Revenue'!B21-'09_OPEX_10Y'!B40-0</x:f>
        <x:v>-1803651391.5278091</x:v>
      </x:c>
      <x:c r="D18" s="298" t="n">
        <x:f>'10_Production_Revenue'!C21-'09_OPEX_10Y'!C40-0</x:f>
        <x:v>-1932186031.8390112</x:v>
      </x:c>
      <x:c r="E18" s="298" t="n">
        <x:f>'10_Production_Revenue'!D21-'09_OPEX_10Y'!D40-0</x:f>
        <x:v>-2175727825.620178</x:v>
      </x:c>
      <x:c r="F18" s="298" t="n">
        <x:f>'10_Production_Revenue'!E21-'09_OPEX_10Y'!E40-0</x:f>
        <x:v>-2888078495.086433</x:v>
      </x:c>
      <x:c r="G18" s="298" t="n">
        <x:f>'10_Production_Revenue'!F21-'09_OPEX_10Y'!F40-'06_Equipment_Tools'!$J$39*'02_Assumptions'!$C$183</x:f>
        <x:v>-3421202630.320014</x:v>
      </x:c>
      <x:c r="H18" s="298" t="n">
        <x:f>'10_Production_Revenue'!G21-'09_OPEX_10Y'!G40-0</x:f>
        <x:v>-1578811446.899909</x:v>
      </x:c>
      <x:c r="I18" s="298" t="n">
        <x:f>'10_Production_Revenue'!H21-'09_OPEX_10Y'!H40-0</x:f>
        <x:v>173161002.3117609</x:v>
      </x:c>
      <x:c r="J18" s="298" t="n">
        <x:f>'10_Production_Revenue'!I21-'09_OPEX_10Y'!I40-'06_Equipment_Tools'!$J$39*'02_Assumptions'!$C$184</x:f>
        <x:v>1429795784.902955</x:v>
      </x:c>
      <x:c r="K18" s="298" t="n">
        <x:f>'10_Production_Revenue'!J21-'09_OPEX_10Y'!J40-0</x:f>
        <x:v>3653221763.7460327</x:v>
      </x:c>
      <x:c r="L18" s="298" t="n">
        <x:f>'10_Production_Revenue'!K21-'09_OPEX_10Y'!K40-0</x:f>
        <x:v>4909317768.137999</x:v>
      </x:c>
    </x:row>
    <x:row r="19">
      <x:c r="A19" s="299" t="str">
        <x:v>Cumulative 4 sites</x:v>
      </x:c>
      <x:c r="B19" s="299" t="n">
        <x:f>B18</x:f>
        <x:v>-23084537170.992</x:v>
      </x:c>
      <x:c r="C19" s="299" t="n">
        <x:f>B19+C18</x:f>
        <x:v>-24888188562.51981</x:v>
      </x:c>
      <x:c r="D19" s="299" t="n">
        <x:f>C19+D18</x:f>
        <x:v>-26820374594.35882</x:v>
      </x:c>
      <x:c r="E19" s="299" t="n">
        <x:f>D19+E18</x:f>
        <x:v>-28996102419.979</x:v>
      </x:c>
      <x:c r="F19" s="299" t="n">
        <x:f>E19+F18</x:f>
        <x:v>-31884180915.065434</x:v>
      </x:c>
      <x:c r="G19" s="299" t="n">
        <x:f>F19+G18</x:f>
        <x:v>-35305383545.385445</x:v>
      </x:c>
      <x:c r="H19" s="299" t="n">
        <x:f>G19+H18</x:f>
        <x:v>-36884194992.285355</x:v>
      </x:c>
      <x:c r="I19" s="299" t="n">
        <x:f>H19+I18</x:f>
        <x:v>-36711033989.973595</x:v>
      </x:c>
      <x:c r="J19" s="299" t="n">
        <x:f>I19+J18</x:f>
        <x:v>-35281238205.07064</x:v>
      </x:c>
      <x:c r="K19" s="299" t="n">
        <x:f>J19+K18</x:f>
        <x:v>-31628016441.324608</x:v>
      </x:c>
      <x:c r="L19" s="299" t="n">
        <x:f>K19+L18</x:f>
        <x:v>-26718698673.186607</x:v>
      </x:c>
    </x:row>
  </x:sheetData>
  <x:mergeCells>
    <x:mergeCell ref="A1:L1"/>
    <x:mergeCell ref="A2:L2"/>
    <x:mergeCell ref="A14:L14"/>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6" hidden="0" customWidth="1"/>
  </x:cols>
  <x:sheetData>
    <x:row r="1" ht="28" customHeight="1">
      <x:c r="A1" s="313" t="str">
        <x:v>Sensitivitas NPV terhadap Harga dan Hasil</x:v>
      </x:c>
      <x:c r="B1" s="313"/>
      <x:c r="C1" s="313"/>
      <x:c r="D1" s="313"/>
      <x:c r="E1" s="313"/>
      <x:c r="F1" s="313"/>
      <x:c r="G1" s="313"/>
      <x:c r="H1" s="313"/>
    </x:row>
    <x:row r="2" ht="38" customHeight="1">
      <x:c r="A2" s="7" t="str">
        <x:v>Menunjukkan bagaimana NPV berubah bila harga jual dan hasil biologis bergerak di bawah atau di atas kasus dasar. Tabel ini adalah uji ketahanan, bukan prakiraan; fokus pada kombinasi harga-hasil yang membuat proyek layak atau tetap merugi.</x:v>
      </x:c>
      <x:c r="B2" s="7"/>
      <x:c r="C2" s="7"/>
      <x:c r="D2" s="7"/>
      <x:c r="E2" s="7"/>
      <x:c r="F2" s="7"/>
      <x:c r="G2" s="7"/>
      <x:c r="H2" s="7"/>
    </x:row>
    <x:row r="3">
      <x:c r="A3" s="261"/>
      <x:c r="B3" s="261"/>
      <x:c r="C3" s="261"/>
      <x:c r="D3" s="261"/>
      <x:c r="E3" s="261"/>
      <x:c r="F3" s="261"/>
      <x:c r="G3" s="261"/>
      <x:c r="H3" s="261"/>
    </x:row>
    <x:row r="4" ht="20" customHeight="1">
      <x:c r="A4" s="10" t="str">
        <x:v>NPV (Rp) by price multiplier and yield multiplier</x:v>
      </x:c>
      <x:c r="B4" s="10"/>
      <x:c r="C4" s="10"/>
      <x:c r="D4" s="10"/>
      <x:c r="E4" s="10"/>
      <x:c r="F4" s="10"/>
      <x:c r="G4" s="261"/>
      <x:c r="H4" s="261"/>
    </x:row>
    <x:row r="5">
      <x:c r="A5" s="309" t="str">
        <x:v>Hasil \ Harga</x:v>
      </x:c>
      <x:c r="B5" s="310" t="n">
        <x:v>0.7</x:v>
      </x:c>
      <x:c r="C5" s="310" t="n">
        <x:v>0.85</x:v>
      </x:c>
      <x:c r="D5" s="310" t="n">
        <x:v>1</x:v>
      </x:c>
      <x:c r="E5" s="310" t="n">
        <x:v>1.15</x:v>
      </x:c>
      <x:c r="F5" s="310" t="n">
        <x:v>1.3</x:v>
      </x:c>
      <x:c r="G5" s="263"/>
      <x:c r="H5" s="263"/>
    </x:row>
    <x:row r="6">
      <x:c r="A6" s="310" t="n">
        <x:v>0.7</x:v>
      </x:c>
      <x:c r="B6" s="271" t="n">
        <x:f>-'08_CAPEX_RAB'!$H$43+('10_Production_Revenue'!B21*$A6*B$5-('09_OPEX_10Y'!B39-'10_Production_Revenue'!B25)-'10_Production_Revenue'!B25*$A6-0)/(1+'02_Assumptions'!$C$13)^1+('10_Production_Revenue'!C21*$A6*B$5-('09_OPEX_10Y'!C39-'10_Production_Revenue'!C25)-'10_Production_Revenue'!C25*$A6-0)/(1+'02_Assumptions'!$C$13)^2+('10_Production_Revenue'!D21*$A6*B$5-('09_OPEX_10Y'!D39-'10_Production_Revenue'!D25)-'10_Production_Revenue'!D25*$A6-0)/(1+'02_Assumptions'!$C$13)^3+('10_Production_Revenue'!E21*$A6*B$5-('09_OPEX_10Y'!E39-'10_Production_Revenue'!E25)-'10_Production_Revenue'!E25*$A6-0)/(1+'02_Assumptions'!$C$13)^4+('10_Production_Revenue'!F21*$A6*B$5-('09_OPEX_10Y'!F39-'10_Production_Revenue'!F25)-'10_Production_Revenue'!F25*$A6-'06_Equipment_Tools'!$I$39*0.20)/(1+'02_Assumptions'!$C$13)^5+('10_Production_Revenue'!G21*$A6*B$5-('09_OPEX_10Y'!G39-'10_Production_Revenue'!G25)-'10_Production_Revenue'!G25*$A6-0)/(1+'02_Assumptions'!$C$13)^6+('10_Production_Revenue'!H21*$A6*B$5-('09_OPEX_10Y'!H39-'10_Production_Revenue'!H25)-'10_Production_Revenue'!H25*$A6-0)/(1+'02_Assumptions'!$C$13)^7+('10_Production_Revenue'!I21*$A6*B$5-('09_OPEX_10Y'!I39-'10_Production_Revenue'!I25)-'10_Production_Revenue'!I25*$A6-'06_Equipment_Tools'!$I$39*0.10)/(1+'02_Assumptions'!$C$13)^8+('10_Production_Revenue'!J21*$A6*B$5-('09_OPEX_10Y'!J39-'10_Production_Revenue'!J25)-'10_Production_Revenue'!J25*$A6-0)/(1+'02_Assumptions'!$C$13)^9+('10_Production_Revenue'!K21*$A6*B$5-('09_OPEX_10Y'!K39-'10_Production_Revenue'!K25)-'10_Production_Revenue'!K25*$A6-0)/(1+'02_Assumptions'!$C$13)^10</x:f>
        <x:v>-25839913161.449528</x:v>
      </x:c>
      <x:c r="C6" s="271" t="n">
        <x:f>-'08_CAPEX_RAB'!$H$43+('10_Production_Revenue'!B21*$A6*C$5-('09_OPEX_10Y'!B39-'10_Production_Revenue'!B25)-'10_Production_Revenue'!B25*$A6-0)/(1+'02_Assumptions'!$C$13)^1+('10_Production_Revenue'!C21*$A6*C$5-('09_OPEX_10Y'!C39-'10_Production_Revenue'!C25)-'10_Production_Revenue'!C25*$A6-0)/(1+'02_Assumptions'!$C$13)^2+('10_Production_Revenue'!D21*$A6*C$5-('09_OPEX_10Y'!D39-'10_Production_Revenue'!D25)-'10_Production_Revenue'!D25*$A6-0)/(1+'02_Assumptions'!$C$13)^3+('10_Production_Revenue'!E21*$A6*C$5-('09_OPEX_10Y'!E39-'10_Production_Revenue'!E25)-'10_Production_Revenue'!E25*$A6-0)/(1+'02_Assumptions'!$C$13)^4+('10_Production_Revenue'!F21*$A6*C$5-('09_OPEX_10Y'!F39-'10_Production_Revenue'!F25)-'10_Production_Revenue'!F25*$A6-'06_Equipment_Tools'!$I$39*0.20)/(1+'02_Assumptions'!$C$13)^5+('10_Production_Revenue'!G21*$A6*C$5-('09_OPEX_10Y'!G39-'10_Production_Revenue'!G25)-'10_Production_Revenue'!G25*$A6-0)/(1+'02_Assumptions'!$C$13)^6+('10_Production_Revenue'!H21*$A6*C$5-('09_OPEX_10Y'!H39-'10_Production_Revenue'!H25)-'10_Production_Revenue'!H25*$A6-0)/(1+'02_Assumptions'!$C$13)^7+('10_Production_Revenue'!I21*$A6*C$5-('09_OPEX_10Y'!I39-'10_Production_Revenue'!I25)-'10_Production_Revenue'!I25*$A6-'06_Equipment_Tools'!$I$39*0.10)/(1+'02_Assumptions'!$C$13)^8+('10_Production_Revenue'!J21*$A6*C$5-('09_OPEX_10Y'!J39-'10_Production_Revenue'!J25)-'10_Production_Revenue'!J25*$A6-0)/(1+'02_Assumptions'!$C$13)^9+('10_Production_Revenue'!K21*$A6*C$5-('09_OPEX_10Y'!K39-'10_Production_Revenue'!K25)-'10_Production_Revenue'!K25*$A6-0)/(1+'02_Assumptions'!$C$13)^10</x:f>
        <x:v>-22824135151.84055</x:v>
      </x:c>
      <x:c r="D6" s="271" t="n">
        <x:f>-'08_CAPEX_RAB'!$H$43+('10_Production_Revenue'!B21*$A6*D$5-('09_OPEX_10Y'!B39-'10_Production_Revenue'!B25)-'10_Production_Revenue'!B25*$A6-0)/(1+'02_Assumptions'!$C$13)^1+('10_Production_Revenue'!C21*$A6*D$5-('09_OPEX_10Y'!C39-'10_Production_Revenue'!C25)-'10_Production_Revenue'!C25*$A6-0)/(1+'02_Assumptions'!$C$13)^2+('10_Production_Revenue'!D21*$A6*D$5-('09_OPEX_10Y'!D39-'10_Production_Revenue'!D25)-'10_Production_Revenue'!D25*$A6-0)/(1+'02_Assumptions'!$C$13)^3+('10_Production_Revenue'!E21*$A6*D$5-('09_OPEX_10Y'!E39-'10_Production_Revenue'!E25)-'10_Production_Revenue'!E25*$A6-0)/(1+'02_Assumptions'!$C$13)^4+('10_Production_Revenue'!F21*$A6*D$5-('09_OPEX_10Y'!F39-'10_Production_Revenue'!F25)-'10_Production_Revenue'!F25*$A6-'06_Equipment_Tools'!$I$39*0.20)/(1+'02_Assumptions'!$C$13)^5+('10_Production_Revenue'!G21*$A6*D$5-('09_OPEX_10Y'!G39-'10_Production_Revenue'!G25)-'10_Production_Revenue'!G25*$A6-0)/(1+'02_Assumptions'!$C$13)^6+('10_Production_Revenue'!H21*$A6*D$5-('09_OPEX_10Y'!H39-'10_Production_Revenue'!H25)-'10_Production_Revenue'!H25*$A6-0)/(1+'02_Assumptions'!$C$13)^7+('10_Production_Revenue'!I21*$A6*D$5-('09_OPEX_10Y'!I39-'10_Production_Revenue'!I25)-'10_Production_Revenue'!I25*$A6-'06_Equipment_Tools'!$I$39*0.10)/(1+'02_Assumptions'!$C$13)^8+('10_Production_Revenue'!J21*$A6*D$5-('09_OPEX_10Y'!J39-'10_Production_Revenue'!J25)-'10_Production_Revenue'!J25*$A6-0)/(1+'02_Assumptions'!$C$13)^9+('10_Production_Revenue'!K21*$A6*D$5-('09_OPEX_10Y'!K39-'10_Production_Revenue'!K25)-'10_Production_Revenue'!K25*$A6-0)/(1+'02_Assumptions'!$C$13)^10</x:f>
        <x:v>-19808357142.231575</x:v>
      </x:c>
      <x:c r="E6" s="271" t="n">
        <x:f>-'08_CAPEX_RAB'!$H$43+('10_Production_Revenue'!B21*$A6*E$5-('09_OPEX_10Y'!B39-'10_Production_Revenue'!B25)-'10_Production_Revenue'!B25*$A6-0)/(1+'02_Assumptions'!$C$13)^1+('10_Production_Revenue'!C21*$A6*E$5-('09_OPEX_10Y'!C39-'10_Production_Revenue'!C25)-'10_Production_Revenue'!C25*$A6-0)/(1+'02_Assumptions'!$C$13)^2+('10_Production_Revenue'!D21*$A6*E$5-('09_OPEX_10Y'!D39-'10_Production_Revenue'!D25)-'10_Production_Revenue'!D25*$A6-0)/(1+'02_Assumptions'!$C$13)^3+('10_Production_Revenue'!E21*$A6*E$5-('09_OPEX_10Y'!E39-'10_Production_Revenue'!E25)-'10_Production_Revenue'!E25*$A6-0)/(1+'02_Assumptions'!$C$13)^4+('10_Production_Revenue'!F21*$A6*E$5-('09_OPEX_10Y'!F39-'10_Production_Revenue'!F25)-'10_Production_Revenue'!F25*$A6-'06_Equipment_Tools'!$I$39*0.20)/(1+'02_Assumptions'!$C$13)^5+('10_Production_Revenue'!G21*$A6*E$5-('09_OPEX_10Y'!G39-'10_Production_Revenue'!G25)-'10_Production_Revenue'!G25*$A6-0)/(1+'02_Assumptions'!$C$13)^6+('10_Production_Revenue'!H21*$A6*E$5-('09_OPEX_10Y'!H39-'10_Production_Revenue'!H25)-'10_Production_Revenue'!H25*$A6-0)/(1+'02_Assumptions'!$C$13)^7+('10_Production_Revenue'!I21*$A6*E$5-('09_OPEX_10Y'!I39-'10_Production_Revenue'!I25)-'10_Production_Revenue'!I25*$A6-'06_Equipment_Tools'!$I$39*0.10)/(1+'02_Assumptions'!$C$13)^8+('10_Production_Revenue'!J21*$A6*E$5-('09_OPEX_10Y'!J39-'10_Production_Revenue'!J25)-'10_Production_Revenue'!J25*$A6-0)/(1+'02_Assumptions'!$C$13)^9+('10_Production_Revenue'!K21*$A6*E$5-('09_OPEX_10Y'!K39-'10_Production_Revenue'!K25)-'10_Production_Revenue'!K25*$A6-0)/(1+'02_Assumptions'!$C$13)^10</x:f>
        <x:v>-16792579132.622597</x:v>
      </x:c>
      <x:c r="F6" s="271" t="n">
        <x:f>-'08_CAPEX_RAB'!$H$43+('10_Production_Revenue'!B21*$A6*F$5-('09_OPEX_10Y'!B39-'10_Production_Revenue'!B25)-'10_Production_Revenue'!B25*$A6-0)/(1+'02_Assumptions'!$C$13)^1+('10_Production_Revenue'!C21*$A6*F$5-('09_OPEX_10Y'!C39-'10_Production_Revenue'!C25)-'10_Production_Revenue'!C25*$A6-0)/(1+'02_Assumptions'!$C$13)^2+('10_Production_Revenue'!D21*$A6*F$5-('09_OPEX_10Y'!D39-'10_Production_Revenue'!D25)-'10_Production_Revenue'!D25*$A6-0)/(1+'02_Assumptions'!$C$13)^3+('10_Production_Revenue'!E21*$A6*F$5-('09_OPEX_10Y'!E39-'10_Production_Revenue'!E25)-'10_Production_Revenue'!E25*$A6-0)/(1+'02_Assumptions'!$C$13)^4+('10_Production_Revenue'!F21*$A6*F$5-('09_OPEX_10Y'!F39-'10_Production_Revenue'!F25)-'10_Production_Revenue'!F25*$A6-'06_Equipment_Tools'!$I$39*0.20)/(1+'02_Assumptions'!$C$13)^5+('10_Production_Revenue'!G21*$A6*F$5-('09_OPEX_10Y'!G39-'10_Production_Revenue'!G25)-'10_Production_Revenue'!G25*$A6-0)/(1+'02_Assumptions'!$C$13)^6+('10_Production_Revenue'!H21*$A6*F$5-('09_OPEX_10Y'!H39-'10_Production_Revenue'!H25)-'10_Production_Revenue'!H25*$A6-0)/(1+'02_Assumptions'!$C$13)^7+('10_Production_Revenue'!I21*$A6*F$5-('09_OPEX_10Y'!I39-'10_Production_Revenue'!I25)-'10_Production_Revenue'!I25*$A6-'06_Equipment_Tools'!$I$39*0.10)/(1+'02_Assumptions'!$C$13)^8+('10_Production_Revenue'!J21*$A6*F$5-('09_OPEX_10Y'!J39-'10_Production_Revenue'!J25)-'10_Production_Revenue'!J25*$A6-0)/(1+'02_Assumptions'!$C$13)^9+('10_Production_Revenue'!K21*$A6*F$5-('09_OPEX_10Y'!K39-'10_Production_Revenue'!K25)-'10_Production_Revenue'!K25*$A6-0)/(1+'02_Assumptions'!$C$13)^10</x:f>
        <x:v>-13776801123.01361</x:v>
      </x:c>
      <x:c r="G6" s="263"/>
      <x:c r="H6" s="263"/>
    </x:row>
    <x:row r="7">
      <x:c r="A7" s="310" t="n">
        <x:v>0.85</x:v>
      </x:c>
      <x:c r="B7" s="271" t="n">
        <x:f>-'08_CAPEX_RAB'!$H$43+('10_Production_Revenue'!B21*$A7*B$5-('09_OPEX_10Y'!B39-'10_Production_Revenue'!B25)-'10_Production_Revenue'!B25*$A7-0)/(1+'02_Assumptions'!$C$13)^1+('10_Production_Revenue'!C21*$A7*B$5-('09_OPEX_10Y'!C39-'10_Production_Revenue'!C25)-'10_Production_Revenue'!C25*$A7-0)/(1+'02_Assumptions'!$C$13)^2+('10_Production_Revenue'!D21*$A7*B$5-('09_OPEX_10Y'!D39-'10_Production_Revenue'!D25)-'10_Production_Revenue'!D25*$A7-0)/(1+'02_Assumptions'!$C$13)^3+('10_Production_Revenue'!E21*$A7*B$5-('09_OPEX_10Y'!E39-'10_Production_Revenue'!E25)-'10_Production_Revenue'!E25*$A7-0)/(1+'02_Assumptions'!$C$13)^4+('10_Production_Revenue'!F21*$A7*B$5-('09_OPEX_10Y'!F39-'10_Production_Revenue'!F25)-'10_Production_Revenue'!F25*$A7-'06_Equipment_Tools'!$I$39*0.20)/(1+'02_Assumptions'!$C$13)^5+('10_Production_Revenue'!G21*$A7*B$5-('09_OPEX_10Y'!G39-'10_Production_Revenue'!G25)-'10_Production_Revenue'!G25*$A7-0)/(1+'02_Assumptions'!$C$13)^6+('10_Production_Revenue'!H21*$A7*B$5-('09_OPEX_10Y'!H39-'10_Production_Revenue'!H25)-'10_Production_Revenue'!H25*$A7-0)/(1+'02_Assumptions'!$C$13)^7+('10_Production_Revenue'!I21*$A7*B$5-('09_OPEX_10Y'!I39-'10_Production_Revenue'!I25)-'10_Production_Revenue'!I25*$A7-'06_Equipment_Tools'!$I$39*0.10)/(1+'02_Assumptions'!$C$13)^8+('10_Production_Revenue'!J21*$A7*B$5-('09_OPEX_10Y'!J39-'10_Production_Revenue'!J25)-'10_Production_Revenue'!J25*$A7-0)/(1+'02_Assumptions'!$C$13)^9+('10_Production_Revenue'!K21*$A7*B$5-('09_OPEX_10Y'!K39-'10_Production_Revenue'!K25)-'10_Production_Revenue'!K25*$A7-0)/(1+'02_Assumptions'!$C$13)^10</x:f>
        <x:v>-23295746209.580215</x:v>
      </x:c>
      <x:c r="C7" s="271" t="n">
        <x:f>-'08_CAPEX_RAB'!$H$43+('10_Production_Revenue'!B21*$A7*C$5-('09_OPEX_10Y'!B39-'10_Production_Revenue'!B25)-'10_Production_Revenue'!B25*$A7-0)/(1+'02_Assumptions'!$C$13)^1+('10_Production_Revenue'!C21*$A7*C$5-('09_OPEX_10Y'!C39-'10_Production_Revenue'!C25)-'10_Production_Revenue'!C25*$A7-0)/(1+'02_Assumptions'!$C$13)^2+('10_Production_Revenue'!D21*$A7*C$5-('09_OPEX_10Y'!D39-'10_Production_Revenue'!D25)-'10_Production_Revenue'!D25*$A7-0)/(1+'02_Assumptions'!$C$13)^3+('10_Production_Revenue'!E21*$A7*C$5-('09_OPEX_10Y'!E39-'10_Production_Revenue'!E25)-'10_Production_Revenue'!E25*$A7-0)/(1+'02_Assumptions'!$C$13)^4+('10_Production_Revenue'!F21*$A7*C$5-('09_OPEX_10Y'!F39-'10_Production_Revenue'!F25)-'10_Production_Revenue'!F25*$A7-'06_Equipment_Tools'!$I$39*0.20)/(1+'02_Assumptions'!$C$13)^5+('10_Production_Revenue'!G21*$A7*C$5-('09_OPEX_10Y'!G39-'10_Production_Revenue'!G25)-'10_Production_Revenue'!G25*$A7-0)/(1+'02_Assumptions'!$C$13)^6+('10_Production_Revenue'!H21*$A7*C$5-('09_OPEX_10Y'!H39-'10_Production_Revenue'!H25)-'10_Production_Revenue'!H25*$A7-0)/(1+'02_Assumptions'!$C$13)^7+('10_Production_Revenue'!I21*$A7*C$5-('09_OPEX_10Y'!I39-'10_Production_Revenue'!I25)-'10_Production_Revenue'!I25*$A7-'06_Equipment_Tools'!$I$39*0.10)/(1+'02_Assumptions'!$C$13)^8+('10_Production_Revenue'!J21*$A7*C$5-('09_OPEX_10Y'!J39-'10_Production_Revenue'!J25)-'10_Production_Revenue'!J25*$A7-0)/(1+'02_Assumptions'!$C$13)^9+('10_Production_Revenue'!K21*$A7*C$5-('09_OPEX_10Y'!K39-'10_Production_Revenue'!K25)-'10_Production_Revenue'!K25*$A7-0)/(1+'02_Assumptions'!$C$13)^10</x:f>
        <x:v>-19633730055.055027</x:v>
      </x:c>
      <x:c r="D7" s="271" t="n">
        <x:f>-'08_CAPEX_RAB'!$H$43+('10_Production_Revenue'!B21*$A7*D$5-('09_OPEX_10Y'!B39-'10_Production_Revenue'!B25)-'10_Production_Revenue'!B25*$A7-0)/(1+'02_Assumptions'!$C$13)^1+('10_Production_Revenue'!C21*$A7*D$5-('09_OPEX_10Y'!C39-'10_Production_Revenue'!C25)-'10_Production_Revenue'!C25*$A7-0)/(1+'02_Assumptions'!$C$13)^2+('10_Production_Revenue'!D21*$A7*D$5-('09_OPEX_10Y'!D39-'10_Production_Revenue'!D25)-'10_Production_Revenue'!D25*$A7-0)/(1+'02_Assumptions'!$C$13)^3+('10_Production_Revenue'!E21*$A7*D$5-('09_OPEX_10Y'!E39-'10_Production_Revenue'!E25)-'10_Production_Revenue'!E25*$A7-0)/(1+'02_Assumptions'!$C$13)^4+('10_Production_Revenue'!F21*$A7*D$5-('09_OPEX_10Y'!F39-'10_Production_Revenue'!F25)-'10_Production_Revenue'!F25*$A7-'06_Equipment_Tools'!$I$39*0.20)/(1+'02_Assumptions'!$C$13)^5+('10_Production_Revenue'!G21*$A7*D$5-('09_OPEX_10Y'!G39-'10_Production_Revenue'!G25)-'10_Production_Revenue'!G25*$A7-0)/(1+'02_Assumptions'!$C$13)^6+('10_Production_Revenue'!H21*$A7*D$5-('09_OPEX_10Y'!H39-'10_Production_Revenue'!H25)-'10_Production_Revenue'!H25*$A7-0)/(1+'02_Assumptions'!$C$13)^7+('10_Production_Revenue'!I21*$A7*D$5-('09_OPEX_10Y'!I39-'10_Production_Revenue'!I25)-'10_Production_Revenue'!I25*$A7-'06_Equipment_Tools'!$I$39*0.10)/(1+'02_Assumptions'!$C$13)^8+('10_Production_Revenue'!J21*$A7*D$5-('09_OPEX_10Y'!J39-'10_Production_Revenue'!J25)-'10_Production_Revenue'!J25*$A7-0)/(1+'02_Assumptions'!$C$13)^9+('10_Production_Revenue'!K21*$A7*D$5-('09_OPEX_10Y'!K39-'10_Production_Revenue'!K25)-'10_Production_Revenue'!K25*$A7-0)/(1+'02_Assumptions'!$C$13)^10</x:f>
        <x:v>-15971713900.529846</x:v>
      </x:c>
      <x:c r="E7" s="271" t="n">
        <x:f>-'08_CAPEX_RAB'!$H$43+('10_Production_Revenue'!B21*$A7*E$5-('09_OPEX_10Y'!B39-'10_Production_Revenue'!B25)-'10_Production_Revenue'!B25*$A7-0)/(1+'02_Assumptions'!$C$13)^1+('10_Production_Revenue'!C21*$A7*E$5-('09_OPEX_10Y'!C39-'10_Production_Revenue'!C25)-'10_Production_Revenue'!C25*$A7-0)/(1+'02_Assumptions'!$C$13)^2+('10_Production_Revenue'!D21*$A7*E$5-('09_OPEX_10Y'!D39-'10_Production_Revenue'!D25)-'10_Production_Revenue'!D25*$A7-0)/(1+'02_Assumptions'!$C$13)^3+('10_Production_Revenue'!E21*$A7*E$5-('09_OPEX_10Y'!E39-'10_Production_Revenue'!E25)-'10_Production_Revenue'!E25*$A7-0)/(1+'02_Assumptions'!$C$13)^4+('10_Production_Revenue'!F21*$A7*E$5-('09_OPEX_10Y'!F39-'10_Production_Revenue'!F25)-'10_Production_Revenue'!F25*$A7-'06_Equipment_Tools'!$I$39*0.20)/(1+'02_Assumptions'!$C$13)^5+('10_Production_Revenue'!G21*$A7*E$5-('09_OPEX_10Y'!G39-'10_Production_Revenue'!G25)-'10_Production_Revenue'!G25*$A7-0)/(1+'02_Assumptions'!$C$13)^6+('10_Production_Revenue'!H21*$A7*E$5-('09_OPEX_10Y'!H39-'10_Production_Revenue'!H25)-'10_Production_Revenue'!H25*$A7-0)/(1+'02_Assumptions'!$C$13)^7+('10_Production_Revenue'!I21*$A7*E$5-('09_OPEX_10Y'!I39-'10_Production_Revenue'!I25)-'10_Production_Revenue'!I25*$A7-'06_Equipment_Tools'!$I$39*0.10)/(1+'02_Assumptions'!$C$13)^8+('10_Production_Revenue'!J21*$A7*E$5-('09_OPEX_10Y'!J39-'10_Production_Revenue'!J25)-'10_Production_Revenue'!J25*$A7-0)/(1+'02_Assumptions'!$C$13)^9+('10_Production_Revenue'!K21*$A7*E$5-('09_OPEX_10Y'!K39-'10_Production_Revenue'!K25)-'10_Production_Revenue'!K25*$A7-0)/(1+'02_Assumptions'!$C$13)^10</x:f>
        <x:v>-12309697746.004654</x:v>
      </x:c>
      <x:c r="F7" s="271" t="n">
        <x:f>-'08_CAPEX_RAB'!$H$43+('10_Production_Revenue'!B21*$A7*F$5-('09_OPEX_10Y'!B39-'10_Production_Revenue'!B25)-'10_Production_Revenue'!B25*$A7-0)/(1+'02_Assumptions'!$C$13)^1+('10_Production_Revenue'!C21*$A7*F$5-('09_OPEX_10Y'!C39-'10_Production_Revenue'!C25)-'10_Production_Revenue'!C25*$A7-0)/(1+'02_Assumptions'!$C$13)^2+('10_Production_Revenue'!D21*$A7*F$5-('09_OPEX_10Y'!D39-'10_Production_Revenue'!D25)-'10_Production_Revenue'!D25*$A7-0)/(1+'02_Assumptions'!$C$13)^3+('10_Production_Revenue'!E21*$A7*F$5-('09_OPEX_10Y'!E39-'10_Production_Revenue'!E25)-'10_Production_Revenue'!E25*$A7-0)/(1+'02_Assumptions'!$C$13)^4+('10_Production_Revenue'!F21*$A7*F$5-('09_OPEX_10Y'!F39-'10_Production_Revenue'!F25)-'10_Production_Revenue'!F25*$A7-'06_Equipment_Tools'!$I$39*0.20)/(1+'02_Assumptions'!$C$13)^5+('10_Production_Revenue'!G21*$A7*F$5-('09_OPEX_10Y'!G39-'10_Production_Revenue'!G25)-'10_Production_Revenue'!G25*$A7-0)/(1+'02_Assumptions'!$C$13)^6+('10_Production_Revenue'!H21*$A7*F$5-('09_OPEX_10Y'!H39-'10_Production_Revenue'!H25)-'10_Production_Revenue'!H25*$A7-0)/(1+'02_Assumptions'!$C$13)^7+('10_Production_Revenue'!I21*$A7*F$5-('09_OPEX_10Y'!I39-'10_Production_Revenue'!I25)-'10_Production_Revenue'!I25*$A7-'06_Equipment_Tools'!$I$39*0.10)/(1+'02_Assumptions'!$C$13)^8+('10_Production_Revenue'!J21*$A7*F$5-('09_OPEX_10Y'!J39-'10_Production_Revenue'!J25)-'10_Production_Revenue'!J25*$A7-0)/(1+'02_Assumptions'!$C$13)^9+('10_Production_Revenue'!K21*$A7*F$5-('09_OPEX_10Y'!K39-'10_Production_Revenue'!K25)-'10_Production_Revenue'!K25*$A7-0)/(1+'02_Assumptions'!$C$13)^10</x:f>
        <x:v>-8647681591.47946</x:v>
      </x:c>
      <x:c r="G7" s="263"/>
      <x:c r="H7" s="263"/>
    </x:row>
    <x:row r="8">
      <x:c r="A8" s="310" t="n">
        <x:v>1</x:v>
      </x:c>
      <x:c r="B8" s="271" t="n">
        <x:f>-'08_CAPEX_RAB'!$H$43+('10_Production_Revenue'!B21*$A8*B$5-('09_OPEX_10Y'!B39-'10_Production_Revenue'!B25)-'10_Production_Revenue'!B25*$A8-0)/(1+'02_Assumptions'!$C$13)^1+('10_Production_Revenue'!C21*$A8*B$5-('09_OPEX_10Y'!C39-'10_Production_Revenue'!C25)-'10_Production_Revenue'!C25*$A8-0)/(1+'02_Assumptions'!$C$13)^2+('10_Production_Revenue'!D21*$A8*B$5-('09_OPEX_10Y'!D39-'10_Production_Revenue'!D25)-'10_Production_Revenue'!D25*$A8-0)/(1+'02_Assumptions'!$C$13)^3+('10_Production_Revenue'!E21*$A8*B$5-('09_OPEX_10Y'!E39-'10_Production_Revenue'!E25)-'10_Production_Revenue'!E25*$A8-0)/(1+'02_Assumptions'!$C$13)^4+('10_Production_Revenue'!F21*$A8*B$5-('09_OPEX_10Y'!F39-'10_Production_Revenue'!F25)-'10_Production_Revenue'!F25*$A8-'06_Equipment_Tools'!$I$39*0.20)/(1+'02_Assumptions'!$C$13)^5+('10_Production_Revenue'!G21*$A8*B$5-('09_OPEX_10Y'!G39-'10_Production_Revenue'!G25)-'10_Production_Revenue'!G25*$A8-0)/(1+'02_Assumptions'!$C$13)^6+('10_Production_Revenue'!H21*$A8*B$5-('09_OPEX_10Y'!H39-'10_Production_Revenue'!H25)-'10_Production_Revenue'!H25*$A8-0)/(1+'02_Assumptions'!$C$13)^7+('10_Production_Revenue'!I21*$A8*B$5-('09_OPEX_10Y'!I39-'10_Production_Revenue'!I25)-'10_Production_Revenue'!I25*$A8-'06_Equipment_Tools'!$I$39*0.10)/(1+'02_Assumptions'!$C$13)^8+('10_Production_Revenue'!J21*$A8*B$5-('09_OPEX_10Y'!J39-'10_Production_Revenue'!J25)-'10_Production_Revenue'!J25*$A8-0)/(1+'02_Assumptions'!$C$13)^9+('10_Production_Revenue'!K21*$A8*B$5-('09_OPEX_10Y'!K39-'10_Production_Revenue'!K25)-'10_Production_Revenue'!K25*$A8-0)/(1+'02_Assumptions'!$C$13)^10</x:f>
        <x:v>-20751579257.710903</x:v>
      </x:c>
      <x:c r="C8" s="271" t="n">
        <x:f>-'08_CAPEX_RAB'!$H$43+('10_Production_Revenue'!B21*$A8*C$5-('09_OPEX_10Y'!B39-'10_Production_Revenue'!B25)-'10_Production_Revenue'!B25*$A8-0)/(1+'02_Assumptions'!$C$13)^1+('10_Production_Revenue'!C21*$A8*C$5-('09_OPEX_10Y'!C39-'10_Production_Revenue'!C25)-'10_Production_Revenue'!C25*$A8-0)/(1+'02_Assumptions'!$C$13)^2+('10_Production_Revenue'!D21*$A8*C$5-('09_OPEX_10Y'!D39-'10_Production_Revenue'!D25)-'10_Production_Revenue'!D25*$A8-0)/(1+'02_Assumptions'!$C$13)^3+('10_Production_Revenue'!E21*$A8*C$5-('09_OPEX_10Y'!E39-'10_Production_Revenue'!E25)-'10_Production_Revenue'!E25*$A8-0)/(1+'02_Assumptions'!$C$13)^4+('10_Production_Revenue'!F21*$A8*C$5-('09_OPEX_10Y'!F39-'10_Production_Revenue'!F25)-'10_Production_Revenue'!F25*$A8-'06_Equipment_Tools'!$I$39*0.20)/(1+'02_Assumptions'!$C$13)^5+('10_Production_Revenue'!G21*$A8*C$5-('09_OPEX_10Y'!G39-'10_Production_Revenue'!G25)-'10_Production_Revenue'!G25*$A8-0)/(1+'02_Assumptions'!$C$13)^6+('10_Production_Revenue'!H21*$A8*C$5-('09_OPEX_10Y'!H39-'10_Production_Revenue'!H25)-'10_Production_Revenue'!H25*$A8-0)/(1+'02_Assumptions'!$C$13)^7+('10_Production_Revenue'!I21*$A8*C$5-('09_OPEX_10Y'!I39-'10_Production_Revenue'!I25)-'10_Production_Revenue'!I25*$A8-'06_Equipment_Tools'!$I$39*0.10)/(1+'02_Assumptions'!$C$13)^8+('10_Production_Revenue'!J21*$A8*C$5-('09_OPEX_10Y'!J39-'10_Production_Revenue'!J25)-'10_Production_Revenue'!J25*$A8-0)/(1+'02_Assumptions'!$C$13)^9+('10_Production_Revenue'!K21*$A8*C$5-('09_OPEX_10Y'!K39-'10_Production_Revenue'!K25)-'10_Production_Revenue'!K25*$A8-0)/(1+'02_Assumptions'!$C$13)^10</x:f>
        <x:v>-16443324958.269508</x:v>
      </x:c>
      <x:c r="D8" s="271" t="n">
        <x:f>-'08_CAPEX_RAB'!$H$43+('10_Production_Revenue'!B21*$A8*D$5-('09_OPEX_10Y'!B39-'10_Production_Revenue'!B25)-'10_Production_Revenue'!B25*$A8-0)/(1+'02_Assumptions'!$C$13)^1+('10_Production_Revenue'!C21*$A8*D$5-('09_OPEX_10Y'!C39-'10_Production_Revenue'!C25)-'10_Production_Revenue'!C25*$A8-0)/(1+'02_Assumptions'!$C$13)^2+('10_Production_Revenue'!D21*$A8*D$5-('09_OPEX_10Y'!D39-'10_Production_Revenue'!D25)-'10_Production_Revenue'!D25*$A8-0)/(1+'02_Assumptions'!$C$13)^3+('10_Production_Revenue'!E21*$A8*D$5-('09_OPEX_10Y'!E39-'10_Production_Revenue'!E25)-'10_Production_Revenue'!E25*$A8-0)/(1+'02_Assumptions'!$C$13)^4+('10_Production_Revenue'!F21*$A8*D$5-('09_OPEX_10Y'!F39-'10_Production_Revenue'!F25)-'10_Production_Revenue'!F25*$A8-'06_Equipment_Tools'!$I$39*0.20)/(1+'02_Assumptions'!$C$13)^5+('10_Production_Revenue'!G21*$A8*D$5-('09_OPEX_10Y'!G39-'10_Production_Revenue'!G25)-'10_Production_Revenue'!G25*$A8-0)/(1+'02_Assumptions'!$C$13)^6+('10_Production_Revenue'!H21*$A8*D$5-('09_OPEX_10Y'!H39-'10_Production_Revenue'!H25)-'10_Production_Revenue'!H25*$A8-0)/(1+'02_Assumptions'!$C$13)^7+('10_Production_Revenue'!I21*$A8*D$5-('09_OPEX_10Y'!I39-'10_Production_Revenue'!I25)-'10_Production_Revenue'!I25*$A8-'06_Equipment_Tools'!$I$39*0.10)/(1+'02_Assumptions'!$C$13)^8+('10_Production_Revenue'!J21*$A8*D$5-('09_OPEX_10Y'!J39-'10_Production_Revenue'!J25)-'10_Production_Revenue'!J25*$A8-0)/(1+'02_Assumptions'!$C$13)^9+('10_Production_Revenue'!K21*$A8*D$5-('09_OPEX_10Y'!K39-'10_Production_Revenue'!K25)-'10_Production_Revenue'!K25*$A8-0)/(1+'02_Assumptions'!$C$13)^10</x:f>
        <x:v>-12135070658.828112</x:v>
      </x:c>
      <x:c r="E8" s="271" t="n">
        <x:f>-'08_CAPEX_RAB'!$H$43+('10_Production_Revenue'!B21*$A8*E$5-('09_OPEX_10Y'!B39-'10_Production_Revenue'!B25)-'10_Production_Revenue'!B25*$A8-0)/(1+'02_Assumptions'!$C$13)^1+('10_Production_Revenue'!C21*$A8*E$5-('09_OPEX_10Y'!C39-'10_Production_Revenue'!C25)-'10_Production_Revenue'!C25*$A8-0)/(1+'02_Assumptions'!$C$13)^2+('10_Production_Revenue'!D21*$A8*E$5-('09_OPEX_10Y'!D39-'10_Production_Revenue'!D25)-'10_Production_Revenue'!D25*$A8-0)/(1+'02_Assumptions'!$C$13)^3+('10_Production_Revenue'!E21*$A8*E$5-('09_OPEX_10Y'!E39-'10_Production_Revenue'!E25)-'10_Production_Revenue'!E25*$A8-0)/(1+'02_Assumptions'!$C$13)^4+('10_Production_Revenue'!F21*$A8*E$5-('09_OPEX_10Y'!F39-'10_Production_Revenue'!F25)-'10_Production_Revenue'!F25*$A8-'06_Equipment_Tools'!$I$39*0.20)/(1+'02_Assumptions'!$C$13)^5+('10_Production_Revenue'!G21*$A8*E$5-('09_OPEX_10Y'!G39-'10_Production_Revenue'!G25)-'10_Production_Revenue'!G25*$A8-0)/(1+'02_Assumptions'!$C$13)^6+('10_Production_Revenue'!H21*$A8*E$5-('09_OPEX_10Y'!H39-'10_Production_Revenue'!H25)-'10_Production_Revenue'!H25*$A8-0)/(1+'02_Assumptions'!$C$13)^7+('10_Production_Revenue'!I21*$A8*E$5-('09_OPEX_10Y'!I39-'10_Production_Revenue'!I25)-'10_Production_Revenue'!I25*$A8-'06_Equipment_Tools'!$I$39*0.10)/(1+'02_Assumptions'!$C$13)^8+('10_Production_Revenue'!J21*$A8*E$5-('09_OPEX_10Y'!J39-'10_Production_Revenue'!J25)-'10_Production_Revenue'!J25*$A8-0)/(1+'02_Assumptions'!$C$13)^9+('10_Production_Revenue'!K21*$A8*E$5-('09_OPEX_10Y'!K39-'10_Production_Revenue'!K25)-'10_Production_Revenue'!K25*$A8-0)/(1+'02_Assumptions'!$C$13)^10</x:f>
        <x:v>-7826816359.386713</x:v>
      </x:c>
      <x:c r="F8" s="271" t="n">
        <x:f>-'08_CAPEX_RAB'!$H$43+('10_Production_Revenue'!B21*$A8*F$5-('09_OPEX_10Y'!B39-'10_Production_Revenue'!B25)-'10_Production_Revenue'!B25*$A8-0)/(1+'02_Assumptions'!$C$13)^1+('10_Production_Revenue'!C21*$A8*F$5-('09_OPEX_10Y'!C39-'10_Production_Revenue'!C25)-'10_Production_Revenue'!C25*$A8-0)/(1+'02_Assumptions'!$C$13)^2+('10_Production_Revenue'!D21*$A8*F$5-('09_OPEX_10Y'!D39-'10_Production_Revenue'!D25)-'10_Production_Revenue'!D25*$A8-0)/(1+'02_Assumptions'!$C$13)^3+('10_Production_Revenue'!E21*$A8*F$5-('09_OPEX_10Y'!E39-'10_Production_Revenue'!E25)-'10_Production_Revenue'!E25*$A8-0)/(1+'02_Assumptions'!$C$13)^4+('10_Production_Revenue'!F21*$A8*F$5-('09_OPEX_10Y'!F39-'10_Production_Revenue'!F25)-'10_Production_Revenue'!F25*$A8-'06_Equipment_Tools'!$I$39*0.20)/(1+'02_Assumptions'!$C$13)^5+('10_Production_Revenue'!G21*$A8*F$5-('09_OPEX_10Y'!G39-'10_Production_Revenue'!G25)-'10_Production_Revenue'!G25*$A8-0)/(1+'02_Assumptions'!$C$13)^6+('10_Production_Revenue'!H21*$A8*F$5-('09_OPEX_10Y'!H39-'10_Production_Revenue'!H25)-'10_Production_Revenue'!H25*$A8-0)/(1+'02_Assumptions'!$C$13)^7+('10_Production_Revenue'!I21*$A8*F$5-('09_OPEX_10Y'!I39-'10_Production_Revenue'!I25)-'10_Production_Revenue'!I25*$A8-'06_Equipment_Tools'!$I$39*0.10)/(1+'02_Assumptions'!$C$13)^8+('10_Production_Revenue'!J21*$A8*F$5-('09_OPEX_10Y'!J39-'10_Production_Revenue'!J25)-'10_Production_Revenue'!J25*$A8-0)/(1+'02_Assumptions'!$C$13)^9+('10_Production_Revenue'!K21*$A8*F$5-('09_OPEX_10Y'!K39-'10_Production_Revenue'!K25)-'10_Production_Revenue'!K25*$A8-0)/(1+'02_Assumptions'!$C$13)^10</x:f>
        <x:v>-3518562059.945305</x:v>
      </x:c>
      <x:c r="G8" s="263"/>
      <x:c r="H8" s="263"/>
    </x:row>
    <x:row r="9">
      <x:c r="A9" s="310" t="n">
        <x:v>1.15</x:v>
      </x:c>
      <x:c r="B9" s="271" t="n">
        <x:f>-'08_CAPEX_RAB'!$H$43+('10_Production_Revenue'!B21*$A9*B$5-('09_OPEX_10Y'!B39-'10_Production_Revenue'!B25)-'10_Production_Revenue'!B25*$A9-0)/(1+'02_Assumptions'!$C$13)^1+('10_Production_Revenue'!C21*$A9*B$5-('09_OPEX_10Y'!C39-'10_Production_Revenue'!C25)-'10_Production_Revenue'!C25*$A9-0)/(1+'02_Assumptions'!$C$13)^2+('10_Production_Revenue'!D21*$A9*B$5-('09_OPEX_10Y'!D39-'10_Production_Revenue'!D25)-'10_Production_Revenue'!D25*$A9-0)/(1+'02_Assumptions'!$C$13)^3+('10_Production_Revenue'!E21*$A9*B$5-('09_OPEX_10Y'!E39-'10_Production_Revenue'!E25)-'10_Production_Revenue'!E25*$A9-0)/(1+'02_Assumptions'!$C$13)^4+('10_Production_Revenue'!F21*$A9*B$5-('09_OPEX_10Y'!F39-'10_Production_Revenue'!F25)-'10_Production_Revenue'!F25*$A9-'06_Equipment_Tools'!$I$39*0.20)/(1+'02_Assumptions'!$C$13)^5+('10_Production_Revenue'!G21*$A9*B$5-('09_OPEX_10Y'!G39-'10_Production_Revenue'!G25)-'10_Production_Revenue'!G25*$A9-0)/(1+'02_Assumptions'!$C$13)^6+('10_Production_Revenue'!H21*$A9*B$5-('09_OPEX_10Y'!H39-'10_Production_Revenue'!H25)-'10_Production_Revenue'!H25*$A9-0)/(1+'02_Assumptions'!$C$13)^7+('10_Production_Revenue'!I21*$A9*B$5-('09_OPEX_10Y'!I39-'10_Production_Revenue'!I25)-'10_Production_Revenue'!I25*$A9-'06_Equipment_Tools'!$I$39*0.10)/(1+'02_Assumptions'!$C$13)^8+('10_Production_Revenue'!J21*$A9*B$5-('09_OPEX_10Y'!J39-'10_Production_Revenue'!J25)-'10_Production_Revenue'!J25*$A9-0)/(1+'02_Assumptions'!$C$13)^9+('10_Production_Revenue'!K21*$A9*B$5-('09_OPEX_10Y'!K39-'10_Production_Revenue'!K25)-'10_Production_Revenue'!K25*$A9-0)/(1+'02_Assumptions'!$C$13)^10</x:f>
        <x:v>-18207412305.84159</x:v>
      </x:c>
      <x:c r="C9" s="271" t="n">
        <x:f>-'08_CAPEX_RAB'!$H$43+('10_Production_Revenue'!B21*$A9*C$5-('09_OPEX_10Y'!B39-'10_Production_Revenue'!B25)-'10_Production_Revenue'!B25*$A9-0)/(1+'02_Assumptions'!$C$13)^1+('10_Production_Revenue'!C21*$A9*C$5-('09_OPEX_10Y'!C39-'10_Production_Revenue'!C25)-'10_Production_Revenue'!C25*$A9-0)/(1+'02_Assumptions'!$C$13)^2+('10_Production_Revenue'!D21*$A9*C$5-('09_OPEX_10Y'!D39-'10_Production_Revenue'!D25)-'10_Production_Revenue'!D25*$A9-0)/(1+'02_Assumptions'!$C$13)^3+('10_Production_Revenue'!E21*$A9*C$5-('09_OPEX_10Y'!E39-'10_Production_Revenue'!E25)-'10_Production_Revenue'!E25*$A9-0)/(1+'02_Assumptions'!$C$13)^4+('10_Production_Revenue'!F21*$A9*C$5-('09_OPEX_10Y'!F39-'10_Production_Revenue'!F25)-'10_Production_Revenue'!F25*$A9-'06_Equipment_Tools'!$I$39*0.20)/(1+'02_Assumptions'!$C$13)^5+('10_Production_Revenue'!G21*$A9*C$5-('09_OPEX_10Y'!G39-'10_Production_Revenue'!G25)-'10_Production_Revenue'!G25*$A9-0)/(1+'02_Assumptions'!$C$13)^6+('10_Production_Revenue'!H21*$A9*C$5-('09_OPEX_10Y'!H39-'10_Production_Revenue'!H25)-'10_Production_Revenue'!H25*$A9-0)/(1+'02_Assumptions'!$C$13)^7+('10_Production_Revenue'!I21*$A9*C$5-('09_OPEX_10Y'!I39-'10_Production_Revenue'!I25)-'10_Production_Revenue'!I25*$A9-'06_Equipment_Tools'!$I$39*0.10)/(1+'02_Assumptions'!$C$13)^8+('10_Production_Revenue'!J21*$A9*C$5-('09_OPEX_10Y'!J39-'10_Production_Revenue'!J25)-'10_Production_Revenue'!J25*$A9-0)/(1+'02_Assumptions'!$C$13)^9+('10_Production_Revenue'!K21*$A9*C$5-('09_OPEX_10Y'!K39-'10_Production_Revenue'!K25)-'10_Production_Revenue'!K25*$A9-0)/(1+'02_Assumptions'!$C$13)^10</x:f>
        <x:v>-13252919861.48399</x:v>
      </x:c>
      <x:c r="D9" s="271" t="n">
        <x:f>-'08_CAPEX_RAB'!$H$43+('10_Production_Revenue'!B21*$A9*D$5-('09_OPEX_10Y'!B39-'10_Production_Revenue'!B25)-'10_Production_Revenue'!B25*$A9-0)/(1+'02_Assumptions'!$C$13)^1+('10_Production_Revenue'!C21*$A9*D$5-('09_OPEX_10Y'!C39-'10_Production_Revenue'!C25)-'10_Production_Revenue'!C25*$A9-0)/(1+'02_Assumptions'!$C$13)^2+('10_Production_Revenue'!D21*$A9*D$5-('09_OPEX_10Y'!D39-'10_Production_Revenue'!D25)-'10_Production_Revenue'!D25*$A9-0)/(1+'02_Assumptions'!$C$13)^3+('10_Production_Revenue'!E21*$A9*D$5-('09_OPEX_10Y'!E39-'10_Production_Revenue'!E25)-'10_Production_Revenue'!E25*$A9-0)/(1+'02_Assumptions'!$C$13)^4+('10_Production_Revenue'!F21*$A9*D$5-('09_OPEX_10Y'!F39-'10_Production_Revenue'!F25)-'10_Production_Revenue'!F25*$A9-'06_Equipment_Tools'!$I$39*0.20)/(1+'02_Assumptions'!$C$13)^5+('10_Production_Revenue'!G21*$A9*D$5-('09_OPEX_10Y'!G39-'10_Production_Revenue'!G25)-'10_Production_Revenue'!G25*$A9-0)/(1+'02_Assumptions'!$C$13)^6+('10_Production_Revenue'!H21*$A9*D$5-('09_OPEX_10Y'!H39-'10_Production_Revenue'!H25)-'10_Production_Revenue'!H25*$A9-0)/(1+'02_Assumptions'!$C$13)^7+('10_Production_Revenue'!I21*$A9*D$5-('09_OPEX_10Y'!I39-'10_Production_Revenue'!I25)-'10_Production_Revenue'!I25*$A9-'06_Equipment_Tools'!$I$39*0.10)/(1+'02_Assumptions'!$C$13)^8+('10_Production_Revenue'!J21*$A9*D$5-('09_OPEX_10Y'!J39-'10_Production_Revenue'!J25)-'10_Production_Revenue'!J25*$A9-0)/(1+'02_Assumptions'!$C$13)^9+('10_Production_Revenue'!K21*$A9*D$5-('09_OPEX_10Y'!K39-'10_Production_Revenue'!K25)-'10_Production_Revenue'!K25*$A9-0)/(1+'02_Assumptions'!$C$13)^10</x:f>
        <x:v>-8298427417.126379</x:v>
      </x:c>
      <x:c r="E9" s="271" t="n">
        <x:f>-'08_CAPEX_RAB'!$H$43+('10_Production_Revenue'!B21*$A9*E$5-('09_OPEX_10Y'!B39-'10_Production_Revenue'!B25)-'10_Production_Revenue'!B25*$A9-0)/(1+'02_Assumptions'!$C$13)^1+('10_Production_Revenue'!C21*$A9*E$5-('09_OPEX_10Y'!C39-'10_Production_Revenue'!C25)-'10_Production_Revenue'!C25*$A9-0)/(1+'02_Assumptions'!$C$13)^2+('10_Production_Revenue'!D21*$A9*E$5-('09_OPEX_10Y'!D39-'10_Production_Revenue'!D25)-'10_Production_Revenue'!D25*$A9-0)/(1+'02_Assumptions'!$C$13)^3+('10_Production_Revenue'!E21*$A9*E$5-('09_OPEX_10Y'!E39-'10_Production_Revenue'!E25)-'10_Production_Revenue'!E25*$A9-0)/(1+'02_Assumptions'!$C$13)^4+('10_Production_Revenue'!F21*$A9*E$5-('09_OPEX_10Y'!F39-'10_Production_Revenue'!F25)-'10_Production_Revenue'!F25*$A9-'06_Equipment_Tools'!$I$39*0.20)/(1+'02_Assumptions'!$C$13)^5+('10_Production_Revenue'!G21*$A9*E$5-('09_OPEX_10Y'!G39-'10_Production_Revenue'!G25)-'10_Production_Revenue'!G25*$A9-0)/(1+'02_Assumptions'!$C$13)^6+('10_Production_Revenue'!H21*$A9*E$5-('09_OPEX_10Y'!H39-'10_Production_Revenue'!H25)-'10_Production_Revenue'!H25*$A9-0)/(1+'02_Assumptions'!$C$13)^7+('10_Production_Revenue'!I21*$A9*E$5-('09_OPEX_10Y'!I39-'10_Production_Revenue'!I25)-'10_Production_Revenue'!I25*$A9-'06_Equipment_Tools'!$I$39*0.10)/(1+'02_Assumptions'!$C$13)^8+('10_Production_Revenue'!J21*$A9*E$5-('09_OPEX_10Y'!J39-'10_Production_Revenue'!J25)-'10_Production_Revenue'!J25*$A9-0)/(1+'02_Assumptions'!$C$13)^9+('10_Production_Revenue'!K21*$A9*E$5-('09_OPEX_10Y'!K39-'10_Production_Revenue'!K25)-'10_Production_Revenue'!K25*$A9-0)/(1+'02_Assumptions'!$C$13)^10</x:f>
        <x:v>-3343934972.768771</x:v>
      </x:c>
      <x:c r="F9" s="271" t="n">
        <x:f>-'08_CAPEX_RAB'!$H$43+('10_Production_Revenue'!B21*$A9*F$5-('09_OPEX_10Y'!B39-'10_Production_Revenue'!B25)-'10_Production_Revenue'!B25*$A9-0)/(1+'02_Assumptions'!$C$13)^1+('10_Production_Revenue'!C21*$A9*F$5-('09_OPEX_10Y'!C39-'10_Production_Revenue'!C25)-'10_Production_Revenue'!C25*$A9-0)/(1+'02_Assumptions'!$C$13)^2+('10_Production_Revenue'!D21*$A9*F$5-('09_OPEX_10Y'!D39-'10_Production_Revenue'!D25)-'10_Production_Revenue'!D25*$A9-0)/(1+'02_Assumptions'!$C$13)^3+('10_Production_Revenue'!E21*$A9*F$5-('09_OPEX_10Y'!E39-'10_Production_Revenue'!E25)-'10_Production_Revenue'!E25*$A9-0)/(1+'02_Assumptions'!$C$13)^4+('10_Production_Revenue'!F21*$A9*F$5-('09_OPEX_10Y'!F39-'10_Production_Revenue'!F25)-'10_Production_Revenue'!F25*$A9-'06_Equipment_Tools'!$I$39*0.20)/(1+'02_Assumptions'!$C$13)^5+('10_Production_Revenue'!G21*$A9*F$5-('09_OPEX_10Y'!G39-'10_Production_Revenue'!G25)-'10_Production_Revenue'!G25*$A9-0)/(1+'02_Assumptions'!$C$13)^6+('10_Production_Revenue'!H21*$A9*F$5-('09_OPEX_10Y'!H39-'10_Production_Revenue'!H25)-'10_Production_Revenue'!H25*$A9-0)/(1+'02_Assumptions'!$C$13)^7+('10_Production_Revenue'!I21*$A9*F$5-('09_OPEX_10Y'!I39-'10_Production_Revenue'!I25)-'10_Production_Revenue'!I25*$A9-'06_Equipment_Tools'!$I$39*0.10)/(1+'02_Assumptions'!$C$13)^8+('10_Production_Revenue'!J21*$A9*F$5-('09_OPEX_10Y'!J39-'10_Production_Revenue'!J25)-'10_Production_Revenue'!J25*$A9-0)/(1+'02_Assumptions'!$C$13)^9+('10_Production_Revenue'!K21*$A9*F$5-('09_OPEX_10Y'!K39-'10_Production_Revenue'!K25)-'10_Production_Revenue'!K25*$A9-0)/(1+'02_Assumptions'!$C$13)^10</x:f>
        <x:v>1610557471.588839</x:v>
      </x:c>
      <x:c r="G9" s="263"/>
      <x:c r="H9" s="263"/>
    </x:row>
    <x:row r="10">
      <x:c r="A10" s="310" t="n">
        <x:v>1.3</x:v>
      </x:c>
      <x:c r="B10" s="271" t="n">
        <x:f>-'08_CAPEX_RAB'!$H$43+('10_Production_Revenue'!B21*$A10*B$5-('09_OPEX_10Y'!B39-'10_Production_Revenue'!B25)-'10_Production_Revenue'!B25*$A10-0)/(1+'02_Assumptions'!$C$13)^1+('10_Production_Revenue'!C21*$A10*B$5-('09_OPEX_10Y'!C39-'10_Production_Revenue'!C25)-'10_Production_Revenue'!C25*$A10-0)/(1+'02_Assumptions'!$C$13)^2+('10_Production_Revenue'!D21*$A10*B$5-('09_OPEX_10Y'!D39-'10_Production_Revenue'!D25)-'10_Production_Revenue'!D25*$A10-0)/(1+'02_Assumptions'!$C$13)^3+('10_Production_Revenue'!E21*$A10*B$5-('09_OPEX_10Y'!E39-'10_Production_Revenue'!E25)-'10_Production_Revenue'!E25*$A10-0)/(1+'02_Assumptions'!$C$13)^4+('10_Production_Revenue'!F21*$A10*B$5-('09_OPEX_10Y'!F39-'10_Production_Revenue'!F25)-'10_Production_Revenue'!F25*$A10-'06_Equipment_Tools'!$I$39*0.20)/(1+'02_Assumptions'!$C$13)^5+('10_Production_Revenue'!G21*$A10*B$5-('09_OPEX_10Y'!G39-'10_Production_Revenue'!G25)-'10_Production_Revenue'!G25*$A10-0)/(1+'02_Assumptions'!$C$13)^6+('10_Production_Revenue'!H21*$A10*B$5-('09_OPEX_10Y'!H39-'10_Production_Revenue'!H25)-'10_Production_Revenue'!H25*$A10-0)/(1+'02_Assumptions'!$C$13)^7+('10_Production_Revenue'!I21*$A10*B$5-('09_OPEX_10Y'!I39-'10_Production_Revenue'!I25)-'10_Production_Revenue'!I25*$A10-'06_Equipment_Tools'!$I$39*0.10)/(1+'02_Assumptions'!$C$13)^8+('10_Production_Revenue'!J21*$A10*B$5-('09_OPEX_10Y'!J39-'10_Production_Revenue'!J25)-'10_Production_Revenue'!J25*$A10-0)/(1+'02_Assumptions'!$C$13)^9+('10_Production_Revenue'!K21*$A10*B$5-('09_OPEX_10Y'!K39-'10_Production_Revenue'!K25)-'10_Production_Revenue'!K25*$A10-0)/(1+'02_Assumptions'!$C$13)^10</x:f>
        <x:v>-15663245353.972282</x:v>
      </x:c>
      <x:c r="C10" s="271" t="n">
        <x:f>-'08_CAPEX_RAB'!$H$43+('10_Production_Revenue'!B21*$A10*C$5-('09_OPEX_10Y'!B39-'10_Production_Revenue'!B25)-'10_Production_Revenue'!B25*$A10-0)/(1+'02_Assumptions'!$C$13)^1+('10_Production_Revenue'!C21*$A10*C$5-('09_OPEX_10Y'!C39-'10_Production_Revenue'!C25)-'10_Production_Revenue'!C25*$A10-0)/(1+'02_Assumptions'!$C$13)^2+('10_Production_Revenue'!D21*$A10*C$5-('09_OPEX_10Y'!D39-'10_Production_Revenue'!D25)-'10_Production_Revenue'!D25*$A10-0)/(1+'02_Assumptions'!$C$13)^3+('10_Production_Revenue'!E21*$A10*C$5-('09_OPEX_10Y'!E39-'10_Production_Revenue'!E25)-'10_Production_Revenue'!E25*$A10-0)/(1+'02_Assumptions'!$C$13)^4+('10_Production_Revenue'!F21*$A10*C$5-('09_OPEX_10Y'!F39-'10_Production_Revenue'!F25)-'10_Production_Revenue'!F25*$A10-'06_Equipment_Tools'!$I$39*0.20)/(1+'02_Assumptions'!$C$13)^5+('10_Production_Revenue'!G21*$A10*C$5-('09_OPEX_10Y'!G39-'10_Production_Revenue'!G25)-'10_Production_Revenue'!G25*$A10-0)/(1+'02_Assumptions'!$C$13)^6+('10_Production_Revenue'!H21*$A10*C$5-('09_OPEX_10Y'!H39-'10_Production_Revenue'!H25)-'10_Production_Revenue'!H25*$A10-0)/(1+'02_Assumptions'!$C$13)^7+('10_Production_Revenue'!I21*$A10*C$5-('09_OPEX_10Y'!I39-'10_Production_Revenue'!I25)-'10_Production_Revenue'!I25*$A10-'06_Equipment_Tools'!$I$39*0.10)/(1+'02_Assumptions'!$C$13)^8+('10_Production_Revenue'!J21*$A10*C$5-('09_OPEX_10Y'!J39-'10_Production_Revenue'!J25)-'10_Production_Revenue'!J25*$A10-0)/(1+'02_Assumptions'!$C$13)^9+('10_Production_Revenue'!K21*$A10*C$5-('09_OPEX_10Y'!K39-'10_Production_Revenue'!K25)-'10_Production_Revenue'!K25*$A10-0)/(1+'02_Assumptions'!$C$13)^10</x:f>
        <x:v>-10062514764.69846</x:v>
      </x:c>
      <x:c r="D10" s="271" t="n">
        <x:f>-'08_CAPEX_RAB'!$H$43+('10_Production_Revenue'!B21*$A10*D$5-('09_OPEX_10Y'!B39-'10_Production_Revenue'!B25)-'10_Production_Revenue'!B25*$A10-0)/(1+'02_Assumptions'!$C$13)^1+('10_Production_Revenue'!C21*$A10*D$5-('09_OPEX_10Y'!C39-'10_Production_Revenue'!C25)-'10_Production_Revenue'!C25*$A10-0)/(1+'02_Assumptions'!$C$13)^2+('10_Production_Revenue'!D21*$A10*D$5-('09_OPEX_10Y'!D39-'10_Production_Revenue'!D25)-'10_Production_Revenue'!D25*$A10-0)/(1+'02_Assumptions'!$C$13)^3+('10_Production_Revenue'!E21*$A10*D$5-('09_OPEX_10Y'!E39-'10_Production_Revenue'!E25)-'10_Production_Revenue'!E25*$A10-0)/(1+'02_Assumptions'!$C$13)^4+('10_Production_Revenue'!F21*$A10*D$5-('09_OPEX_10Y'!F39-'10_Production_Revenue'!F25)-'10_Production_Revenue'!F25*$A10-'06_Equipment_Tools'!$I$39*0.20)/(1+'02_Assumptions'!$C$13)^5+('10_Production_Revenue'!G21*$A10*D$5-('09_OPEX_10Y'!G39-'10_Production_Revenue'!G25)-'10_Production_Revenue'!G25*$A10-0)/(1+'02_Assumptions'!$C$13)^6+('10_Production_Revenue'!H21*$A10*D$5-('09_OPEX_10Y'!H39-'10_Production_Revenue'!H25)-'10_Production_Revenue'!H25*$A10-0)/(1+'02_Assumptions'!$C$13)^7+('10_Production_Revenue'!I21*$A10*D$5-('09_OPEX_10Y'!I39-'10_Production_Revenue'!I25)-'10_Production_Revenue'!I25*$A10-'06_Equipment_Tools'!$I$39*0.10)/(1+'02_Assumptions'!$C$13)^8+('10_Production_Revenue'!J21*$A10*D$5-('09_OPEX_10Y'!J39-'10_Production_Revenue'!J25)-'10_Production_Revenue'!J25*$A10-0)/(1+'02_Assumptions'!$C$13)^9+('10_Production_Revenue'!K21*$A10*D$5-('09_OPEX_10Y'!K39-'10_Production_Revenue'!K25)-'10_Production_Revenue'!K25*$A10-0)/(1+'02_Assumptions'!$C$13)^10</x:f>
        <x:v>-4461784175.424642</x:v>
      </x:c>
      <x:c r="E10" s="271" t="n">
        <x:f>-'08_CAPEX_RAB'!$H$43+('10_Production_Revenue'!B21*$A10*E$5-('09_OPEX_10Y'!B39-'10_Production_Revenue'!B25)-'10_Production_Revenue'!B25*$A10-0)/(1+'02_Assumptions'!$C$13)^1+('10_Production_Revenue'!C21*$A10*E$5-('09_OPEX_10Y'!C39-'10_Production_Revenue'!C25)-'10_Production_Revenue'!C25*$A10-0)/(1+'02_Assumptions'!$C$13)^2+('10_Production_Revenue'!D21*$A10*E$5-('09_OPEX_10Y'!D39-'10_Production_Revenue'!D25)-'10_Production_Revenue'!D25*$A10-0)/(1+'02_Assumptions'!$C$13)^3+('10_Production_Revenue'!E21*$A10*E$5-('09_OPEX_10Y'!E39-'10_Production_Revenue'!E25)-'10_Production_Revenue'!E25*$A10-0)/(1+'02_Assumptions'!$C$13)^4+('10_Production_Revenue'!F21*$A10*E$5-('09_OPEX_10Y'!F39-'10_Production_Revenue'!F25)-'10_Production_Revenue'!F25*$A10-'06_Equipment_Tools'!$I$39*0.20)/(1+'02_Assumptions'!$C$13)^5+('10_Production_Revenue'!G21*$A10*E$5-('09_OPEX_10Y'!G39-'10_Production_Revenue'!G25)-'10_Production_Revenue'!G25*$A10-0)/(1+'02_Assumptions'!$C$13)^6+('10_Production_Revenue'!H21*$A10*E$5-('09_OPEX_10Y'!H39-'10_Production_Revenue'!H25)-'10_Production_Revenue'!H25*$A10-0)/(1+'02_Assumptions'!$C$13)^7+('10_Production_Revenue'!I21*$A10*E$5-('09_OPEX_10Y'!I39-'10_Production_Revenue'!I25)-'10_Production_Revenue'!I25*$A10-'06_Equipment_Tools'!$I$39*0.10)/(1+'02_Assumptions'!$C$13)^8+('10_Production_Revenue'!J21*$A10*E$5-('09_OPEX_10Y'!J39-'10_Production_Revenue'!J25)-'10_Production_Revenue'!J25*$A10-0)/(1+'02_Assumptions'!$C$13)^9+('10_Production_Revenue'!K21*$A10*E$5-('09_OPEX_10Y'!K39-'10_Production_Revenue'!K25)-'10_Production_Revenue'!K25*$A10-0)/(1+'02_Assumptions'!$C$13)^10</x:f>
        <x:v>1138946413.849173</x:v>
      </x:c>
      <x:c r="F10" s="271" t="n">
        <x:f>-'08_CAPEX_RAB'!$H$43+('10_Production_Revenue'!B21*$A10*F$5-('09_OPEX_10Y'!B39-'10_Production_Revenue'!B25)-'10_Production_Revenue'!B25*$A10-0)/(1+'02_Assumptions'!$C$13)^1+('10_Production_Revenue'!C21*$A10*F$5-('09_OPEX_10Y'!C39-'10_Production_Revenue'!C25)-'10_Production_Revenue'!C25*$A10-0)/(1+'02_Assumptions'!$C$13)^2+('10_Production_Revenue'!D21*$A10*F$5-('09_OPEX_10Y'!D39-'10_Production_Revenue'!D25)-'10_Production_Revenue'!D25*$A10-0)/(1+'02_Assumptions'!$C$13)^3+('10_Production_Revenue'!E21*$A10*F$5-('09_OPEX_10Y'!E39-'10_Production_Revenue'!E25)-'10_Production_Revenue'!E25*$A10-0)/(1+'02_Assumptions'!$C$13)^4+('10_Production_Revenue'!F21*$A10*F$5-('09_OPEX_10Y'!F39-'10_Production_Revenue'!F25)-'10_Production_Revenue'!F25*$A10-'06_Equipment_Tools'!$I$39*0.20)/(1+'02_Assumptions'!$C$13)^5+('10_Production_Revenue'!G21*$A10*F$5-('09_OPEX_10Y'!G39-'10_Production_Revenue'!G25)-'10_Production_Revenue'!G25*$A10-0)/(1+'02_Assumptions'!$C$13)^6+('10_Production_Revenue'!H21*$A10*F$5-('09_OPEX_10Y'!H39-'10_Production_Revenue'!H25)-'10_Production_Revenue'!H25*$A10-0)/(1+'02_Assumptions'!$C$13)^7+('10_Production_Revenue'!I21*$A10*F$5-('09_OPEX_10Y'!I39-'10_Production_Revenue'!I25)-'10_Production_Revenue'!I25*$A10-'06_Equipment_Tools'!$I$39*0.10)/(1+'02_Assumptions'!$C$13)^8+('10_Production_Revenue'!J21*$A10*F$5-('09_OPEX_10Y'!J39-'10_Production_Revenue'!J25)-'10_Production_Revenue'!J25*$A10-0)/(1+'02_Assumptions'!$C$13)^9+('10_Production_Revenue'!K21*$A10*F$5-('09_OPEX_10Y'!K39-'10_Production_Revenue'!K25)-'10_Production_Revenue'!K25*$A10-0)/(1+'02_Assumptions'!$C$13)^10</x:f>
        <x:v>6739677003.122993</x:v>
      </x:c>
      <x:c r="G10" s="263"/>
      <x:c r="H10" s="263"/>
    </x:row>
    <x:row r="11">
      <x:c r="A11" s="263"/>
      <x:c r="B11" s="263"/>
      <x:c r="C11" s="263"/>
      <x:c r="D11" s="263"/>
      <x:c r="E11" s="263"/>
      <x:c r="F11" s="263"/>
      <x:c r="G11" s="263"/>
      <x:c r="H11" s="263"/>
    </x:row>
    <x:row r="12">
      <x:c r="A12" s="263"/>
      <x:c r="B12" s="263"/>
      <x:c r="C12" s="263"/>
      <x:c r="D12" s="263"/>
      <x:c r="E12" s="263"/>
      <x:c r="F12" s="263"/>
      <x:c r="G12" s="263"/>
      <x:c r="H12" s="263"/>
    </x:row>
    <x:row r="13" ht="20" customHeight="1">
      <x:c r="A13" s="41" t="str">
        <x:v>Interpretation</x:v>
      </x:c>
      <x:c r="B13" s="41"/>
      <x:c r="C13" s="41"/>
      <x:c r="D13" s="41"/>
      <x:c r="E13" s="41"/>
      <x:c r="F13" s="41"/>
      <x:c r="G13" s="41"/>
      <x:c r="H13" s="41"/>
    </x:row>
    <x:row r="14" ht="28" customHeight="1">
      <x:c r="A14" s="262" t="str">
        <x:v>Tabel ini bukan prakiraan; tabel menunjukkan ketergantungan proyek pada harga kebun dan hasil biologis aktual.</x:v>
      </x:c>
      <x:c r="B14" s="262"/>
      <x:c r="C14" s="262"/>
      <x:c r="D14" s="262"/>
      <x:c r="E14" s="262"/>
      <x:c r="F14" s="262"/>
      <x:c r="G14" s="262"/>
      <x:c r="H14" s="262"/>
    </x:row>
    <x:row r="15" ht="28" customHeight="1">
      <x:c r="A15" s="262" t="str">
        <x:v>Tidak ada premi organik pada kasus dasar. Perjanjian offtake dan spesifikasi mutu perlu diperoleh sebelum keputusan investasi akhir.</x:v>
      </x:c>
      <x:c r="B15" s="262"/>
      <x:c r="C15" s="262"/>
      <x:c r="D15" s="262"/>
      <x:c r="E15" s="262"/>
      <x:c r="F15" s="262"/>
      <x:c r="G15" s="262"/>
      <x:c r="H15" s="262"/>
    </x:row>
    <x:row r="16" ht="28" customHeight="1">
      <x:c r="A16" s="262" t="str">
        <x:v>Durian merupakan penggerak nilai jangka panjang terbesar sekaligus risiko proyeksi terbesar; validasi penyerbukan, batang bawah, air, penyakit, dan pasar.</x:v>
      </x:c>
      <x:c r="B16" s="262"/>
      <x:c r="C16" s="262"/>
      <x:c r="D16" s="262"/>
      <x:c r="E16" s="262"/>
      <x:c r="F16" s="262"/>
      <x:c r="G16" s="262"/>
      <x:c r="H16" s="262"/>
    </x:row>
    <x:row r="17" ht="28" customHeight="1">
      <x:c r="A17" s="262" t="str">
        <x:v>Jika NPV dasar negatif, perubahan spesifikasi infrastruktur harus melalui kajian teknik; jangan menghapus drainase, biosekuriti, atau kendali mutu bibit.</x:v>
      </x:c>
      <x:c r="B17" s="262"/>
      <x:c r="C17" s="262"/>
      <x:c r="D17" s="262"/>
      <x:c r="E17" s="262"/>
      <x:c r="F17" s="262"/>
      <x:c r="G17" s="262"/>
      <x:c r="H17" s="262"/>
    </x:row>
  </x:sheetData>
  <x:mergeCells>
    <x:mergeCell ref="A1:H1"/>
    <x:mergeCell ref="A2:H2"/>
    <x:mergeCell ref="A4:F4"/>
    <x:mergeCell ref="A13:H13"/>
    <x:mergeCell ref="A14:H14"/>
    <x:mergeCell ref="A15:H15"/>
    <x:mergeCell ref="A16:H16"/>
    <x:mergeCell ref="A17:H17"/>
  </x:mergeCells>
  <x:conditionalFormatting sqref="B6:F10">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8" hidden="0" customWidth="1"/>
    <x:col min="2" max="2" width="4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42" hidden="0" customWidth="1"/>
  </x:cols>
  <x:sheetData>
    <x:row r="1" ht="28" customHeight="1">
      <x:c r="A1" s="313" t="str">
        <x:v>Pemetaan, Transisi Organik, Sertifikasi, dan ESG</x:v>
      </x:c>
      <x:c r="B1" s="313"/>
      <x:c r="C1" s="313"/>
      <x:c r="D1" s="313"/>
      <x:c r="E1" s="313"/>
      <x:c r="F1" s="313"/>
      <x:c r="G1" s="313"/>
      <x:c r="H1" s="313"/>
      <x:c r="I1" s="313"/>
      <x:c r="J1" s="313"/>
      <x:c r="K1" s="313"/>
      <x:c r="L1" s="313"/>
      <x:c r="M1" s="313"/>
      <x:c r="N1" s="313"/>
      <x:c r="O1" s="313"/>
    </x:row>
    <x:row r="2" ht="38" customHeight="1">
      <x:c r="A2" s="7" t="str">
        <x:v>Rencana biaya dan waktu untuk pemetaan, sistem ketertelusuran, pelatihan, pengujian, biodiversitas, transisi organik, audit, sertifikasi, dan surveilans. Jadwal sertifikasi hanya untuk anggaran dan harus dikonfirmasi tertulis oleh LSO.</x:v>
      </x:c>
      <x:c r="B2" s="7"/>
      <x:c r="C2" s="7"/>
      <x:c r="D2" s="7"/>
      <x:c r="E2" s="7"/>
      <x:c r="F2" s="7"/>
      <x:c r="G2" s="7"/>
      <x:c r="H2" s="7"/>
      <x:c r="I2" s="7"/>
      <x:c r="J2" s="7"/>
      <x:c r="K2" s="7"/>
      <x:c r="L2" s="7"/>
      <x:c r="M2" s="7"/>
      <x:c r="N2" s="7"/>
      <x:c r="O2" s="7"/>
    </x:row>
    <x:row r="3">
      <x:c r="A3" s="261"/>
      <x:c r="B3" s="261"/>
      <x:c r="C3" s="261"/>
      <x:c r="D3" s="261"/>
      <x:c r="E3" s="261"/>
      <x:c r="F3" s="261"/>
      <x:c r="G3" s="261"/>
      <x:c r="H3" s="261"/>
      <x:c r="I3" s="261"/>
      <x:c r="J3" s="261"/>
      <x:c r="K3" s="261"/>
      <x:c r="L3" s="261"/>
      <x:c r="M3" s="261"/>
      <x:c r="N3" s="261"/>
      <x:c r="O3" s="261"/>
    </x:row>
    <x:row r="4" ht="30" customHeight="1">
      <x:c r="A4" s="34" t="str">
        <x:v>Alur kerja</x:v>
      </x:c>
      <x:c r="B4" s="35" t="str">
        <x:v>Keluaran/persyaratan</x:v>
      </x:c>
      <x:c r="C4" s="35" t="str">
        <x:v>T0</x:v>
      </x:c>
      <x:c r="D4" s="35" t="str">
        <x:v>T1</x:v>
      </x:c>
      <x:c r="E4" s="35" t="str">
        <x:v>T2</x:v>
      </x:c>
      <x:c r="F4" s="35" t="str">
        <x:v>T3</x:v>
      </x:c>
      <x:c r="G4" s="35" t="str">
        <x:v>T4</x:v>
      </x:c>
      <x:c r="H4" s="35" t="str">
        <x:v>T5</x:v>
      </x:c>
      <x:c r="I4" s="35" t="str">
        <x:v>T6</x:v>
      </x:c>
      <x:c r="J4" s="35" t="str">
        <x:v>T7</x:v>
      </x:c>
      <x:c r="K4" s="35" t="str">
        <x:v>T8</x:v>
      </x:c>
      <x:c r="L4" s="35" t="str">
        <x:v>T9</x:v>
      </x:c>
      <x:c r="M4" s="35" t="str">
        <x:v>T10</x:v>
      </x:c>
      <x:c r="N4" s="36" t="str">
        <x:v>Status/catatan</x:v>
      </x:c>
      <x:c r="O4" s="261" t="str">
        <x:v>Aktif</x:v>
      </x:c>
    </x:row>
    <x:row r="5">
      <x:c r="A5" s="264" t="str">
        <x:v>Riwayat lahan</x:v>
      </x:c>
      <x:c r="B5" s="264" t="str">
        <x:v>3+ year land/input history, maps, no-go areas</x:v>
      </x:c>
      <x:c r="C5" s="294" t="n">
        <x:v>50000000</x:v>
      </x:c>
      <x:c r="D5" s="287" t="n">
        <x:f>0*(1+'02_Assumptions'!$C$11)^0</x:f>
        <x:v>0</x:v>
      </x:c>
      <x:c r="E5" s="287" t="n">
        <x:f>0*(1+'02_Assumptions'!$C$11)^1</x:f>
        <x:v>0</x:v>
      </x:c>
      <x:c r="F5" s="287" t="n">
        <x:f>0*(1+'02_Assumptions'!$C$11)^2</x:f>
        <x:v>0</x:v>
      </x:c>
      <x:c r="G5" s="287" t="n">
        <x:f>0*(1+'02_Assumptions'!$C$11)^3</x:f>
        <x:v>0</x:v>
      </x:c>
      <x:c r="H5" s="287" t="n">
        <x:f>0*(1+'02_Assumptions'!$C$11)^4</x:f>
        <x:v>0</x:v>
      </x:c>
      <x:c r="I5" s="287" t="n">
        <x:f>0*(1+'02_Assumptions'!$C$11)^5</x:f>
        <x:v>0</x:v>
      </x:c>
      <x:c r="J5" s="287" t="n">
        <x:f>0*(1+'02_Assumptions'!$C$11)^6</x:f>
        <x:v>0</x:v>
      </x:c>
      <x:c r="K5" s="287" t="n">
        <x:f>0*(1+'02_Assumptions'!$C$11)^7</x:f>
        <x:v>0</x:v>
      </x:c>
      <x:c r="L5" s="287" t="n">
        <x:f>0*(1+'02_Assumptions'!$C$11)^8</x:f>
        <x:v>0</x:v>
      </x:c>
      <x:c r="M5" s="287" t="n">
        <x:f>0*(1+'02_Assumptions'!$C$11)^9</x:f>
        <x:v>0</x:v>
      </x:c>
      <x:c r="N5" s="264" t="str">
        <x:v>Required before conversion claim</x:v>
      </x:c>
      <x:c r="O5" s="330" t="n">
        <x:v>1</x:v>
      </x:c>
    </x:row>
    <x:row r="6">
      <x:c r="A6" s="264" t="str">
        <x:v>SPM/RMO</x:v>
      </x:c>
      <x:c r="B6" s="264" t="str">
        <x:v>Organic management plan, field IDs, input approval</x:v>
      </x:c>
      <x:c r="C6" s="294" t="n">
        <x:v>100000000</x:v>
      </x:c>
      <x:c r="D6" s="287" t="n">
        <x:f>35000000*(1+'02_Assumptions'!$C$11)^0</x:f>
        <x:v>35000000</x:v>
      </x:c>
      <x:c r="E6" s="287" t="n">
        <x:f>35000000*(1+'02_Assumptions'!$C$11)^1</x:f>
        <x:v>36400000</x:v>
      </x:c>
      <x:c r="F6" s="287" t="n">
        <x:f>35000000*(1+'02_Assumptions'!$C$11)^2</x:f>
        <x:v>37856000.00000001</x:v>
      </x:c>
      <x:c r="G6" s="287" t="n">
        <x:f>35000000*(1+'02_Assumptions'!$C$11)^3</x:f>
        <x:v>39370240</x:v>
      </x:c>
      <x:c r="H6" s="287" t="n">
        <x:f>35000000*(1+'02_Assumptions'!$C$11)^4</x:f>
        <x:v>40945049.60000001</x:v>
      </x:c>
      <x:c r="I6" s="287" t="n">
        <x:f>35000000*(1+'02_Assumptions'!$C$11)^5</x:f>
        <x:v>42582851.58400001</x:v>
      </x:c>
      <x:c r="J6" s="287" t="n">
        <x:f>35000000*(1+'02_Assumptions'!$C$11)^6</x:f>
        <x:v>44286165.64736001</x:v>
      </x:c>
      <x:c r="K6" s="287" t="n">
        <x:f>35000000*(1+'02_Assumptions'!$C$11)^7</x:f>
        <x:v>46057612.27325441</x:v>
      </x:c>
      <x:c r="L6" s="287" t="n">
        <x:f>35000000*(1+'02_Assumptions'!$C$11)^8</x:f>
        <x:v>47899916.76418459</x:v>
      </x:c>
      <x:c r="M6" s="287" t="n">
        <x:f>35000000*(1+'02_Assumptions'!$C$11)^9</x:f>
        <x:v>49815913.43475197</x:v>
      </x:c>
      <x:c r="N6" s="264" t="str">
        <x:v>Setup Y0 + annual maintenance</x:v>
      </x:c>
      <x:c r="O6" s="330" t="n">
        <x:v>1</x:v>
      </x:c>
    </x:row>
    <x:row r="7">
      <x:c r="A7" s="264" t="str">
        <x:v>Ketertelusuran</x:v>
      </x:c>
      <x:c r="B7" s="264" t="str">
        <x:v>GIS, lots, harvest records, audit trail</x:v>
      </x:c>
      <x:c r="C7" s="294" t="n">
        <x:v>150000000</x:v>
      </x:c>
      <x:c r="D7" s="287" t="n">
        <x:f>25000000*(1+'02_Assumptions'!$C$11)^0</x:f>
        <x:v>25000000</x:v>
      </x:c>
      <x:c r="E7" s="287" t="n">
        <x:f>25000000*(1+'02_Assumptions'!$C$11)^1</x:f>
        <x:v>26000000</x:v>
      </x:c>
      <x:c r="F7" s="287" t="n">
        <x:f>25000000*(1+'02_Assumptions'!$C$11)^2</x:f>
        <x:v>27040000.000000004</x:v>
      </x:c>
      <x:c r="G7" s="287" t="n">
        <x:f>25000000*(1+'02_Assumptions'!$C$11)^3</x:f>
        <x:v>28121600.000000004</x:v>
      </x:c>
      <x:c r="H7" s="287" t="n">
        <x:f>25000000*(1+'02_Assumptions'!$C$11)^4</x:f>
        <x:v>29246464.000000004</x:v>
      </x:c>
      <x:c r="I7" s="287" t="n">
        <x:f>25000000*(1+'02_Assumptions'!$C$11)^5</x:f>
        <x:v>30416322.560000002</x:v>
      </x:c>
      <x:c r="J7" s="287" t="n">
        <x:f>25000000*(1+'02_Assumptions'!$C$11)^6</x:f>
        <x:v>31632975.462400008</x:v>
      </x:c>
      <x:c r="K7" s="287" t="n">
        <x:f>25000000*(1+'02_Assumptions'!$C$11)^7</x:f>
        <x:v>32898294.480896007</x:v>
      </x:c>
      <x:c r="L7" s="287" t="n">
        <x:f>25000000*(1+'02_Assumptions'!$C$11)^8</x:f>
        <x:v>34214226.26013184</x:v>
      </x:c>
      <x:c r="M7" s="287" t="n">
        <x:f>25000000*(1+'02_Assumptions'!$C$11)^9</x:f>
        <x:v>35582795.31053712</x:v>
      </x:c>
      <x:c r="N7" s="264" t="str">
        <x:v>Digital setup; annual license/support</x:v>
      </x:c>
      <x:c r="O7" s="330" t="n">
        <x:v>1</x:v>
      </x:c>
    </x:row>
    <x:row r="8">
      <x:c r="A8" s="264" t="str">
        <x:v>Pelatihan</x:v>
      </x:c>
      <x:c r="B8" s="264" t="str">
        <x:v>Biosecurity, allowed inputs, records, PPE</x:v>
      </x:c>
      <x:c r="C8" s="294" t="n">
        <x:v>40000000</x:v>
      </x:c>
      <x:c r="D8" s="287" t="n">
        <x:f>20000000*(1+'02_Assumptions'!$C$11)^0</x:f>
        <x:v>20000000</x:v>
      </x:c>
      <x:c r="E8" s="287" t="n">
        <x:f>20000000*(1+'02_Assumptions'!$C$11)^1</x:f>
        <x:v>20800000</x:v>
      </x:c>
      <x:c r="F8" s="287" t="n">
        <x:f>20000000*(1+'02_Assumptions'!$C$11)^2</x:f>
        <x:v>21632000.000000004</x:v>
      </x:c>
      <x:c r="G8" s="287" t="n">
        <x:f>20000000*(1+'02_Assumptions'!$C$11)^3</x:f>
        <x:v>22497280</x:v>
      </x:c>
      <x:c r="H8" s="287" t="n">
        <x:f>20000000*(1+'02_Assumptions'!$C$11)^4</x:f>
        <x:v>23397171.200000003</x:v>
      </x:c>
      <x:c r="I8" s="287" t="n">
        <x:f>20000000*(1+'02_Assumptions'!$C$11)^5</x:f>
        <x:v>24333058.048000004</x:v>
      </x:c>
      <x:c r="J8" s="287" t="n">
        <x:f>20000000*(1+'02_Assumptions'!$C$11)^6</x:f>
        <x:v>25306380.369920008</x:v>
      </x:c>
      <x:c r="K8" s="287" t="n">
        <x:f>20000000*(1+'02_Assumptions'!$C$11)^7</x:f>
        <x:v>26318635.584716804</x:v>
      </x:c>
      <x:c r="L8" s="287" t="n">
        <x:f>20000000*(1+'02_Assumptions'!$C$11)^8</x:f>
        <x:v>27371381.00810548</x:v>
      </x:c>
      <x:c r="M8" s="287" t="n">
        <x:f>20000000*(1+'02_Assumptions'!$C$11)^9</x:f>
        <x:v>28466236.2484297</x:v>
      </x:c>
      <x:c r="N8" s="264" t="str">
        <x:v>Annual refresher</x:v>
      </x:c>
      <x:c r="O8" s="330" t="n">
        <x:v>1</x:v>
      </x:c>
    </x:row>
    <x:row r="9">
      <x:c r="A9" s="264" t="str">
        <x:v>Laboratorium</x:v>
      </x:c>
      <x:c r="B9" s="264" t="str">
        <x:v>Soil/water/residue/leaf tests</x:v>
      </x:c>
      <x:c r="C9" s="294" t="n">
        <x:v>0</x:v>
      </x:c>
      <x:c r="D9" s="287" t="n">
        <x:f>30000000*(1+'02_Assumptions'!$C$11)^0</x:f>
        <x:v>30000000</x:v>
      </x:c>
      <x:c r="E9" s="287" t="n">
        <x:f>30000000*(1+'02_Assumptions'!$C$11)^1</x:f>
        <x:v>31200000</x:v>
      </x:c>
      <x:c r="F9" s="287" t="n">
        <x:f>30000000*(1+'02_Assumptions'!$C$11)^2</x:f>
        <x:v>32448000.000000004</x:v>
      </x:c>
      <x:c r="G9" s="287" t="n">
        <x:f>30000000*(1+'02_Assumptions'!$C$11)^3</x:f>
        <x:v>33745920</x:v>
      </x:c>
      <x:c r="H9" s="287" t="n">
        <x:f>30000000*(1+'02_Assumptions'!$C$11)^4</x:f>
        <x:v>35095756.800000004</x:v>
      </x:c>
      <x:c r="I9" s="287" t="n">
        <x:f>30000000*(1+'02_Assumptions'!$C$11)^5</x:f>
        <x:v>36499587.072000004</x:v>
      </x:c>
      <x:c r="J9" s="287" t="n">
        <x:f>30000000*(1+'02_Assumptions'!$C$11)^6</x:f>
        <x:v>37959570.55488001</x:v>
      </x:c>
      <x:c r="K9" s="287" t="n">
        <x:f>30000000*(1+'02_Assumptions'!$C$11)^7</x:f>
        <x:v>39477953.37707521</x:v>
      </x:c>
      <x:c r="L9" s="287" t="n">
        <x:f>30000000*(1+'02_Assumptions'!$C$11)^8</x:f>
        <x:v>41057071.512158215</x:v>
      </x:c>
      <x:c r="M9" s="287" t="n">
        <x:f>30000000*(1+'02_Assumptions'!$C$11)^9</x:f>
        <x:v>42699354.37264455</x:v>
      </x:c>
      <x:c r="N9" s="264" t="str">
        <x:v>Annual, risk-based</x:v>
      </x:c>
      <x:c r="O9" s="330" t="n">
        <x:v>1</x:v>
      </x:c>
    </x:row>
    <x:row r="10">
      <x:c r="A10" s="264" t="str">
        <x:v>Biodiversitas</x:v>
      </x:c>
      <x:c r="B10" s="264" t="str">
        <x:v>Baseline + annual monitoring</x:v>
      </x:c>
      <x:c r="C10" s="294" t="n">
        <x:v>40000000</x:v>
      </x:c>
      <x:c r="D10" s="287" t="n">
        <x:f>20000000*(1+'02_Assumptions'!$C$11)^0</x:f>
        <x:v>20000000</x:v>
      </x:c>
      <x:c r="E10" s="287" t="n">
        <x:f>20000000*(1+'02_Assumptions'!$C$11)^1</x:f>
        <x:v>20800000</x:v>
      </x:c>
      <x:c r="F10" s="287" t="n">
        <x:f>20000000*(1+'02_Assumptions'!$C$11)^2</x:f>
        <x:v>21632000.000000004</x:v>
      </x:c>
      <x:c r="G10" s="287" t="n">
        <x:f>20000000*(1+'02_Assumptions'!$C$11)^3</x:f>
        <x:v>22497280</x:v>
      </x:c>
      <x:c r="H10" s="287" t="n">
        <x:f>20000000*(1+'02_Assumptions'!$C$11)^4</x:f>
        <x:v>23397171.200000003</x:v>
      </x:c>
      <x:c r="I10" s="287" t="n">
        <x:f>20000000*(1+'02_Assumptions'!$C$11)^5</x:f>
        <x:v>24333058.048000004</x:v>
      </x:c>
      <x:c r="J10" s="287" t="n">
        <x:f>20000000*(1+'02_Assumptions'!$C$11)^6</x:f>
        <x:v>25306380.369920008</x:v>
      </x:c>
      <x:c r="K10" s="287" t="n">
        <x:f>20000000*(1+'02_Assumptions'!$C$11)^7</x:f>
        <x:v>26318635.584716804</x:v>
      </x:c>
      <x:c r="L10" s="287" t="n">
        <x:f>20000000*(1+'02_Assumptions'!$C$11)^8</x:f>
        <x:v>27371381.00810548</x:v>
      </x:c>
      <x:c r="M10" s="287" t="n">
        <x:f>20000000*(1+'02_Assumptions'!$C$11)^9</x:f>
        <x:v>28466236.2484297</x:v>
      </x:c>
      <x:c r="N10" s="264" t="str">
        <x:v>Habitats, erosion, water</x:v>
      </x:c>
      <x:c r="O10" s="330" t="n">
        <x:v>1</x:v>
      </x:c>
    </x:row>
    <x:row r="11">
      <x:c r="A11" s="264" t="str">
        <x:v>Pra-audit</x:v>
      </x:c>
      <x:c r="B11" s="264" t="str">
        <x:v>Gap assessment before certification application</x:v>
      </x:c>
      <x:c r="C11" s="294" t="n">
        <x:v>0</x:v>
      </x:c>
      <x:c r="D11" s="287" t="n">
        <x:f>IF(1='02_Assumptions'!$C$17+'02_Assumptions'!$C$18,25000000*(1+'02_Assumptions'!$C$11)^0,0)</x:f>
        <x:v>0</x:v>
      </x:c>
      <x:c r="E11" s="287" t="n">
        <x:f>IF(2='02_Assumptions'!$C$17+'02_Assumptions'!$C$18,25000000*(1+'02_Assumptions'!$C$11)^1,0)</x:f>
        <x:v>0</x:v>
      </x:c>
      <x:c r="F11" s="287" t="n">
        <x:f>IF(3='02_Assumptions'!$C$17+'02_Assumptions'!$C$18,25000000*(1+'02_Assumptions'!$C$11)^2,0)</x:f>
        <x:v>0</x:v>
      </x:c>
      <x:c r="G11" s="287" t="n">
        <x:f>IF(4='02_Assumptions'!$C$17+'02_Assumptions'!$C$18,25000000*(1+'02_Assumptions'!$C$11)^3,0)</x:f>
        <x:v>0</x:v>
      </x:c>
      <x:c r="H11" s="287" t="n">
        <x:f>IF(5='02_Assumptions'!$C$17+'02_Assumptions'!$C$18,25000000*(1+'02_Assumptions'!$C$11)^4,0)</x:f>
        <x:v>29246464.000000004</x:v>
      </x:c>
      <x:c r="I11" s="287" t="n">
        <x:f>IF(6='02_Assumptions'!$C$17+'02_Assumptions'!$C$18,25000000*(1+'02_Assumptions'!$C$11)^5,0)</x:f>
        <x:v>0</x:v>
      </x:c>
      <x:c r="J11" s="287" t="n">
        <x:f>IF(7='02_Assumptions'!$C$17+'02_Assumptions'!$C$18,25000000*(1+'02_Assumptions'!$C$11)^6,0)</x:f>
        <x:v>0</x:v>
      </x:c>
      <x:c r="K11" s="287" t="n">
        <x:f>IF(8='02_Assumptions'!$C$17+'02_Assumptions'!$C$18,25000000*(1+'02_Assumptions'!$C$11)^7,0)</x:f>
        <x:v>0</x:v>
      </x:c>
      <x:c r="L11" s="287" t="n">
        <x:f>IF(9='02_Assumptions'!$C$17+'02_Assumptions'!$C$18,25000000*(1+'02_Assumptions'!$C$11)^8,0)</x:f>
        <x:v>0</x:v>
      </x:c>
      <x:c r="M11" s="287" t="n">
        <x:f>IF(10='02_Assumptions'!$C$17+'02_Assumptions'!$C$18,25000000*(1+'02_Assumptions'!$C$11)^9,0)</x:f>
        <x:v>0</x:v>
      </x:c>
      <x:c r="N11" s="264" t="str">
        <x:v>Year = synthetic phase + conversion</x:v>
      </x:c>
      <x:c r="O11" s="330" t="n">
        <x:v>1</x:v>
      </x:c>
    </x:row>
    <x:row r="12">
      <x:c r="A12" s="264" t="str">
        <x:v>Sertifikasi</x:v>
      </x:c>
      <x:c r="B12" s="264" t="str">
        <x:v>LSO application, inspection, reviewer, certificate</x:v>
      </x:c>
      <x:c r="C12" s="294" t="n">
        <x:v>0</x:v>
      </x:c>
      <x:c r="D12" s="287" t="n">
        <x:f>IF(1='02_Assumptions'!$C$17+'02_Assumptions'!$C$18+1,55000000*(1+'02_Assumptions'!$C$11)^0,0)</x:f>
        <x:v>0</x:v>
      </x:c>
      <x:c r="E12" s="287" t="n">
        <x:f>IF(2='02_Assumptions'!$C$17+'02_Assumptions'!$C$18+1,55000000*(1+'02_Assumptions'!$C$11)^1,0)</x:f>
        <x:v>0</x:v>
      </x:c>
      <x:c r="F12" s="287" t="n">
        <x:f>IF(3='02_Assumptions'!$C$17+'02_Assumptions'!$C$18+1,55000000*(1+'02_Assumptions'!$C$11)^2,0)</x:f>
        <x:v>0</x:v>
      </x:c>
      <x:c r="G12" s="287" t="n">
        <x:f>IF(4='02_Assumptions'!$C$17+'02_Assumptions'!$C$18+1,55000000*(1+'02_Assumptions'!$C$11)^3,0)</x:f>
        <x:v>0</x:v>
      </x:c>
      <x:c r="H12" s="287" t="n">
        <x:f>IF(5='02_Assumptions'!$C$17+'02_Assumptions'!$C$18+1,55000000*(1+'02_Assumptions'!$C$11)^4,0)</x:f>
        <x:v>0</x:v>
      </x:c>
      <x:c r="I12" s="287" t="n">
        <x:f>IF(6='02_Assumptions'!$C$17+'02_Assumptions'!$C$18+1,55000000*(1+'02_Assumptions'!$C$11)^5,0)</x:f>
        <x:v>66915909.63200001</x:v>
      </x:c>
      <x:c r="J12" s="287" t="n">
        <x:f>IF(7='02_Assumptions'!$C$17+'02_Assumptions'!$C$18+1,55000000*(1+'02_Assumptions'!$C$11)^6,0)</x:f>
        <x:v>0</x:v>
      </x:c>
      <x:c r="K12" s="287" t="n">
        <x:f>IF(8='02_Assumptions'!$C$17+'02_Assumptions'!$C$18+1,55000000*(1+'02_Assumptions'!$C$11)^7,0)</x:f>
        <x:v>0</x:v>
      </x:c>
      <x:c r="L12" s="287" t="n">
        <x:f>IF(9='02_Assumptions'!$C$17+'02_Assumptions'!$C$18+1,55000000*(1+'02_Assumptions'!$C$11)^8,0)</x:f>
        <x:v>0</x:v>
      </x:c>
      <x:c r="M12" s="287" t="n">
        <x:f>IF(10='02_Assumptions'!$C$17+'02_Assumptions'!$C$18+1,55000000*(1+'02_Assumptions'!$C$11)^9,0)</x:f>
        <x:v>0</x:v>
      </x:c>
      <x:c r="N12" s="264" t="str">
        <x:v>Year after conversion; travel separate</x:v>
      </x:c>
      <x:c r="O12" s="330" t="n">
        <x:v>1</x:v>
      </x:c>
    </x:row>
    <x:row r="13">
      <x:c r="A13" s="264" t="str">
        <x:v>Surveilans</x:v>
      </x:c>
      <x:c r="B13" s="264" t="str">
        <x:v>Annual inspection after certification</x:v>
      </x:c>
      <x:c r="C13" s="294" t="n">
        <x:v>0</x:v>
      </x:c>
      <x:c r="D13" s="287" t="n">
        <x:f>IF(1&gt;'02_Assumptions'!$C$17+'02_Assumptions'!$C$18+1,35000000*(1+'02_Assumptions'!$C$11)^0,0)</x:f>
        <x:v>0</x:v>
      </x:c>
      <x:c r="E13" s="287" t="n">
        <x:f>IF(2&gt;'02_Assumptions'!$C$17+'02_Assumptions'!$C$18+1,35000000*(1+'02_Assumptions'!$C$11)^1,0)</x:f>
        <x:v>0</x:v>
      </x:c>
      <x:c r="F13" s="287" t="n">
        <x:f>IF(3&gt;'02_Assumptions'!$C$17+'02_Assumptions'!$C$18+1,35000000*(1+'02_Assumptions'!$C$11)^2,0)</x:f>
        <x:v>0</x:v>
      </x:c>
      <x:c r="G13" s="287" t="n">
        <x:f>IF(4&gt;'02_Assumptions'!$C$17+'02_Assumptions'!$C$18+1,35000000*(1+'02_Assumptions'!$C$11)^3,0)</x:f>
        <x:v>0</x:v>
      </x:c>
      <x:c r="H13" s="287" t="n">
        <x:f>IF(5&gt;'02_Assumptions'!$C$17+'02_Assumptions'!$C$18+1,35000000*(1+'02_Assumptions'!$C$11)^4,0)</x:f>
        <x:v>0</x:v>
      </x:c>
      <x:c r="I13" s="287" t="n">
        <x:f>IF(6&gt;'02_Assumptions'!$C$17+'02_Assumptions'!$C$18+1,35000000*(1+'02_Assumptions'!$C$11)^5,0)</x:f>
        <x:v>0</x:v>
      </x:c>
      <x:c r="J13" s="287" t="n">
        <x:f>IF(7&gt;'02_Assumptions'!$C$17+'02_Assumptions'!$C$18+1,35000000*(1+'02_Assumptions'!$C$11)^6,0)</x:f>
        <x:v>44286165.64736001</x:v>
      </x:c>
      <x:c r="K13" s="287" t="n">
        <x:f>IF(8&gt;'02_Assumptions'!$C$17+'02_Assumptions'!$C$18+1,35000000*(1+'02_Assumptions'!$C$11)^7,0)</x:f>
        <x:v>46057612.27325441</x:v>
      </x:c>
      <x:c r="L13" s="287" t="n">
        <x:f>IF(9&gt;'02_Assumptions'!$C$17+'02_Assumptions'!$C$18+1,35000000*(1+'02_Assumptions'!$C$11)^8,0)</x:f>
        <x:v>47899916.76418459</x:v>
      </x:c>
      <x:c r="M13" s="287" t="n">
        <x:f>IF(10&gt;'02_Assumptions'!$C$17+'02_Assumptions'!$C$18+1,35000000*(1+'02_Assumptions'!$C$11)^9,0)</x:f>
        <x:v>49815913.43475197</x:v>
      </x:c>
      <x:c r="N13" s="264" t="str">
        <x:v>Fees depend days/travel</x:v>
      </x:c>
      <x:c r="O13" s="330" t="n">
        <x:v>1</x:v>
      </x:c>
    </x:row>
    <x:row r="14">
      <x:c r="A14" s="264" t="str">
        <x:v>Karbon/MRV</x:v>
      </x:c>
      <x:c r="B14" s="264" t="str">
        <x:v>Optional carbon baseline</x:v>
      </x:c>
      <x:c r="C14" s="294" t="n">
        <x:v>0</x:v>
      </x:c>
      <x:c r="D14" s="287" t="n">
        <x:f>0</x:f>
        <x:v>0</x:v>
      </x:c>
      <x:c r="E14" s="287" t="n">
        <x:f>0</x:f>
        <x:v>0</x:v>
      </x:c>
      <x:c r="F14" s="287" t="n">
        <x:f>0</x:f>
        <x:v>0</x:v>
      </x:c>
      <x:c r="G14" s="287" t="n">
        <x:f>0</x:f>
        <x:v>0</x:v>
      </x:c>
      <x:c r="H14" s="287" t="n">
        <x:f>0</x:f>
        <x:v>0</x:v>
      </x:c>
      <x:c r="I14" s="287" t="n">
        <x:f>0</x:f>
        <x:v>0</x:v>
      </x:c>
      <x:c r="J14" s="287" t="n">
        <x:f>0</x:f>
        <x:v>0</x:v>
      </x:c>
      <x:c r="K14" s="287" t="n">
        <x:f>0</x:f>
        <x:v>0</x:v>
      </x:c>
      <x:c r="L14" s="287" t="n">
        <x:f>0</x:f>
        <x:v>0</x:v>
      </x:c>
      <x:c r="M14" s="287" t="n">
        <x:f>0</x:f>
        <x:v>0</x:v>
      </x:c>
      <x:c r="N14" s="264" t="str">
        <x:v>Not in base case</x:v>
      </x:c>
      <x:c r="O14" s="330" t="n">
        <x:v>1</x:v>
      </x:c>
    </x:row>
    <x:row r="15">
      <x:c r="A15" s="390" t="str">
        <x:v>TOTAL SERTIFIKASI DAN ESG</x:v>
      </x:c>
      <x:c r="B15" s="390"/>
      <x:c r="C15" s="390" t="n">
        <x:f>SUMPRODUCT(C5:C14,$O$5:$O$14)</x:f>
        <x:v>380000000</x:v>
      </x:c>
      <x:c r="D15" s="390" t="n">
        <x:f>SUMPRODUCT(D5:D14,$O$5:$O$14)</x:f>
        <x:v>130000000</x:v>
      </x:c>
      <x:c r="E15" s="390" t="n">
        <x:f>SUMPRODUCT(E5:E14,$O$5:$O$14)</x:f>
        <x:v>135200000</x:v>
      </x:c>
      <x:c r="F15" s="390" t="n">
        <x:f>SUMPRODUCT(F5:F14,$O$5:$O$14)</x:f>
        <x:v>140608000.00000003</x:v>
      </x:c>
      <x:c r="G15" s="390" t="n">
        <x:f>SUMPRODUCT(G5:G14,$O$5:$O$14)</x:f>
        <x:v>146232320</x:v>
      </x:c>
      <x:c r="H15" s="390" t="n">
        <x:f>SUMPRODUCT(H5:H14,$O$5:$O$14)</x:f>
        <x:v>181328076.8</x:v>
      </x:c>
      <x:c r="I15" s="390" t="n">
        <x:f>SUMPRODUCT(I5:I14,$O$5:$O$14)</x:f>
        <x:v>225080786.94400004</x:v>
      </x:c>
      <x:c r="J15" s="390" t="n">
        <x:f>SUMPRODUCT(J5:J14,$O$5:$O$14)</x:f>
        <x:v>208777638.05184007</x:v>
      </x:c>
      <x:c r="K15" s="390" t="n">
        <x:f>SUMPRODUCT(K5:K14,$O$5:$O$14)</x:f>
        <x:v>217128743.57391363</x:v>
      </x:c>
      <x:c r="L15" s="390" t="n">
        <x:f>SUMPRODUCT(L5:L14,$O$5:$O$14)</x:f>
        <x:v>225813893.3168702</x:v>
      </x:c>
      <x:c r="M15" s="390" t="n">
        <x:f>SUMPRODUCT(M5:M14,$O$5:$O$14)</x:f>
        <x:v>234846449.04954505</x:v>
      </x:c>
      <x:c r="N15" s="390"/>
      <x:c r="O15" s="378"/>
    </x:row>
    <x:row r="16">
      <x:c r="A16" s="261"/>
      <x:c r="B16" s="261"/>
      <x:c r="C16" s="261"/>
      <x:c r="D16" s="261"/>
      <x:c r="E16" s="261"/>
      <x:c r="F16" s="261"/>
      <x:c r="G16" s="261"/>
      <x:c r="H16" s="261"/>
      <x:c r="I16" s="261"/>
      <x:c r="J16" s="261"/>
      <x:c r="K16" s="261"/>
      <x:c r="L16" s="261"/>
      <x:c r="M16" s="261"/>
      <x:c r="N16" s="261"/>
      <x:c r="O16" s="261"/>
    </x:row>
    <x:row r="17">
      <x:c r="A17" s="261"/>
      <x:c r="B17" s="261"/>
      <x:c r="C17" s="261"/>
      <x:c r="D17" s="261"/>
      <x:c r="E17" s="261"/>
      <x:c r="F17" s="261"/>
      <x:c r="G17" s="261"/>
      <x:c r="H17" s="261"/>
      <x:c r="I17" s="261"/>
      <x:c r="J17" s="261"/>
      <x:c r="K17" s="261"/>
      <x:c r="L17" s="261"/>
      <x:c r="M17" s="261"/>
      <x:c r="N17" s="261"/>
      <x:c r="O17" s="261"/>
    </x:row>
    <x:row r="18" ht="20" customHeight="1">
      <x:c r="A18" s="10" t="str">
        <x:v>Aturan kritis</x:v>
      </x:c>
      <x:c r="B18" s="10"/>
      <x:c r="C18" s="10"/>
      <x:c r="D18" s="10"/>
      <x:c r="E18" s="10"/>
      <x:c r="F18" s="10"/>
      <x:c r="G18" s="10"/>
      <x:c r="H18" s="10"/>
      <x:c r="I18" s="10"/>
      <x:c r="J18" s="10"/>
      <x:c r="K18" s="10"/>
      <x:c r="L18" s="10"/>
      <x:c r="M18" s="10"/>
      <x:c r="N18" s="10"/>
      <x:c r="O18" s="261"/>
    </x:row>
    <x:row r="19" ht="28" customHeight="1">
      <x:c r="A19" s="311" t="str">
        <x:v>Urea, ZA, SP-36, KCl/MOP, Phonska/NPK, glifosat, dan pestisida konvensional otomatis dihentikan setelah fase input sintetis.</x:v>
      </x:c>
      <x:c r="B19" s="311"/>
      <x:c r="C19" s="311"/>
      <x:c r="D19" s="311"/>
      <x:c r="E19" s="311"/>
      <x:c r="F19" s="311"/>
      <x:c r="G19" s="311"/>
      <x:c r="H19" s="311"/>
      <x:c r="I19" s="311"/>
      <x:c r="J19" s="311"/>
      <x:c r="K19" s="311"/>
      <x:c r="L19" s="311"/>
      <x:c r="M19" s="311"/>
      <x:c r="N19" s="311"/>
      <x:c r="O19" s="261"/>
    </x:row>
    <x:row r="20" ht="28" customHeight="1">
      <x:c r="A20" s="311" t="str">
        <x:v>Waktu sertifikasi hanya untuk anggaran. Mintakan penetapan tertulis dari LSO mengenai awal konversi dan tanggal kelayakan sertifikasi.</x:v>
      </x:c>
      <x:c r="B20" s="311"/>
      <x:c r="C20" s="311"/>
      <x:c r="D20" s="311"/>
      <x:c r="E20" s="311"/>
      <x:c r="F20" s="311"/>
      <x:c r="G20" s="311"/>
      <x:c r="H20" s="311"/>
      <x:c r="I20" s="311"/>
      <x:c r="J20" s="311"/>
      <x:c r="K20" s="311"/>
      <x:c r="L20" s="311"/>
      <x:c r="M20" s="311"/>
      <x:c r="N20" s="311"/>
      <x:c r="O20" s="261"/>
    </x:row>
  </x:sheetData>
  <x:mergeCells>
    <x:mergeCell ref="A1:L1"/>
    <x:mergeCell ref="A2:L2"/>
    <x:mergeCell ref="A15:B15"/>
    <x:mergeCell ref="A18:N18"/>
    <x:mergeCell ref="A19:N19"/>
    <x:mergeCell ref="A20:N20"/>
    <x:mergeCell ref="A1:O1"/>
    <x:mergeCell ref="A2:O2"/>
  </x:mergeCells>
  <x:dataValidations count="1">
    <x:dataValidation type="list" sqref="O5:O14">
      <x:formula1>"0,1"</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8" hidden="0" customWidth="1"/>
    <x:col min="4" max="4" width="18" hidden="0" customWidth="1"/>
    <x:col min="5" max="5" width="12" hidden="0" customWidth="1"/>
    <x:col min="6" max="6" width="12" hidden="0" customWidth="1"/>
    <x:col min="7" max="7" width="35" hidden="0" customWidth="1"/>
  </x:cols>
  <x:sheetData>
    <x:row r="1" ht="28" customHeight="1">
      <x:c r="A1" s="313" t="str">
        <x:v>Pemeriksaan Model dan Peringatan Kritis</x:v>
      </x:c>
      <x:c r="B1" s="313"/>
      <x:c r="C1" s="313"/>
      <x:c r="D1" s="313"/>
      <x:c r="E1" s="313"/>
      <x:c r="F1" s="313"/>
      <x:c r="G1" s="313"/>
    </x:row>
    <x:row r="2" ht="38" customHeight="1">
      <x:c r="A2" s="7" t="str">
        <x:v>Pemeriksaan integritas rumus, konsistensi luas, keterikatan CAPEX/arus kas, fase input sintetis, serta cakupan proyeksi. Status PASS berarti model menghitung secara konsisten pada asumsi saat ini—bukan berarti lahan atau investasinya otomatis layak.</x:v>
      </x:c>
      <x:c r="B2" s="7"/>
      <x:c r="C2" s="7"/>
      <x:c r="D2" s="7"/>
      <x:c r="E2" s="7"/>
      <x:c r="F2" s="7"/>
      <x:c r="G2" s="7"/>
    </x:row>
    <x:row r="3">
      <x:c r="A3" s="261"/>
      <x:c r="B3" s="261"/>
      <x:c r="C3" s="261"/>
      <x:c r="D3" s="261"/>
      <x:c r="E3" s="261"/>
      <x:c r="F3" s="261"/>
      <x:c r="G3" s="261"/>
    </x:row>
    <x:row r="4" ht="30" customHeight="1">
      <x:c r="A4" s="34" t="str">
        <x:v>Pemeriksaan</x:v>
      </x:c>
      <x:c r="B4" s="35" t="str">
        <x:v>Aktual</x:v>
      </x:c>
      <x:c r="C4" s="35" t="str">
        <x:v>Harapan</x:v>
      </x:c>
      <x:c r="D4" s="35" t="str">
        <x:v>Selisih</x:v>
      </x:c>
      <x:c r="E4" s="35" t="str">
        <x:v>Toleransi</x:v>
      </x:c>
      <x:c r="F4" s="35" t="str">
        <x:v>Status</x:v>
      </x:c>
      <x:c r="G4" s="36" t="str">
        <x:v>Lokasi perbaikan</x:v>
      </x:c>
    </x:row>
    <x:row r="5">
      <x:c r="A5" s="263" t="str">
        <x:v>Luas: efektif + non-tanam = bruto</x:v>
      </x:c>
      <x:c r="B5" s="274" t="n">
        <x:f>'02_Assumptions'!$C$24+'02_Assumptions'!$C$25</x:f>
        <x:v>100</x:v>
      </x:c>
      <x:c r="C5" s="274" t="n">
        <x:f>'02_Assumptions'!$C$6</x:f>
        <x:v>100</x:v>
      </x:c>
      <x:c r="D5" s="274" t="n">
        <x:f>B5-C5</x:f>
        <x:v>0</x:v>
      </x:c>
      <x:c r="E5" s="274" t="n">
        <x:v>0.01</x:v>
      </x:c>
      <x:c r="F5" s="263" t="str">
        <x:f>IF(ABS(D5)&lt;=E5,"OK","FAIL")</x:f>
        <x:v>OK</x:v>
      </x:c>
      <x:c r="G5" s="263" t="str">
        <x:v>02_Assumptions!C24:C26</x:v>
      </x:c>
    </x:row>
    <x:row r="6">
      <x:c r="A6" s="263" t="str">
        <x:v>Plant populations are positive</x:v>
      </x:c>
      <x:c r="B6" s="274" t="n">
        <x:f>MIN('04_Planting_Design'!$D$8,'04_Planting_Design'!$F$8,'04_Planting_Design'!$H$8)</x:f>
        <x:v>2640</x:v>
      </x:c>
      <x:c r="C6" s="274" t="n">
        <x:v>1</x:v>
      </x:c>
      <x:c r="D6" s="274" t="n">
        <x:f>MIN(0,B6-C6)</x:f>
        <x:v>0</x:v>
      </x:c>
      <x:c r="E6" s="274" t="n">
        <x:v>0</x:v>
      </x:c>
      <x:c r="F6" s="263" t="str">
        <x:f>IF(ABS(D6)&lt;=E6,"OK","FAIL")</x:f>
        <x:v>OK</x:v>
      </x:c>
      <x:c r="G6" s="263" t="str">
        <x:v>Planting design</x:v>
      </x:c>
    </x:row>
    <x:row r="7">
      <x:c r="A7" s="263" t="str">
        <x:v>CAPEX selected scenario ties</x:v>
      </x:c>
      <x:c r="B7" s="274" t="n">
        <x:f>'08_CAPEX_RAB'!$J$43</x:f>
        <x:v>14516740480</x:v>
      </x:c>
      <x:c r="C7" s="274" t="n">
        <x:f>IF('02_Assumptions'!$C$8=4,'08_CAPEX_RAB'!$I$43,'08_CAPEX_RAB'!$H$43)</x:f>
        <x:v>14516740480</x:v>
      </x:c>
      <x:c r="D7" s="274" t="n">
        <x:f>B7-C7</x:f>
        <x:v>0</x:v>
      </x:c>
      <x:c r="E7" s="274" t="n">
        <x:v>1</x:v>
      </x:c>
      <x:c r="F7" s="263" t="str">
        <x:f>IF(ABS(D7)&lt;=E7,"OK","FAIL")</x:f>
        <x:v>OK</x:v>
      </x:c>
      <x:c r="G7" s="263" t="str">
        <x:v>CAPEX scenario selector</x:v>
      </x:c>
    </x:row>
    <x:row r="8">
      <x:c r="A8" s="263" t="str">
        <x:v>Cash flow row ties revenue, OPEX, CAPEX</x:v>
      </x:c>
      <x:c r="B8" s="274" t="n">
        <x:f>SUM('11_Cash_Flow'!B8:L8)</x:f>
        <x:v>-3262452440.3364058</x:v>
      </x:c>
      <x:c r="C8" s="274" t="n">
        <x:f>SUM('11_Cash_Flow'!B5:L5)+SUM('11_Cash_Flow'!B6:L6)+SUM('11_Cash_Flow'!B7:L7)</x:f>
        <x:v>-3262452440.3363953</x:v>
      </x:c>
      <x:c r="D8" s="274" t="n">
        <x:f>B8-C8</x:f>
        <x:v>-0.00001049041748046875</x:v>
      </x:c>
      <x:c r="E8" s="274" t="n">
        <x:v>1</x:v>
      </x:c>
      <x:c r="F8" s="263" t="str">
        <x:f>IF(ABS(D8)&lt;=E8,"OK","FAIL")</x:f>
        <x:v>OK</x:v>
      </x:c>
      <x:c r="G8" s="263" t="str">
        <x:v>Cash Flow</x:v>
      </x:c>
    </x:row>
    <x:row r="9">
      <x:c r="A9" s="263" t="str">
        <x:v>Synthetic input phase is within model</x:v>
      </x:c>
      <x:c r="B9" s="274" t="n">
        <x:f>'02_Assumptions'!$C$17</x:f>
        <x:v>2</x:v>
      </x:c>
      <x:c r="C9" s="274" t="n">
        <x:v>10</x:v>
      </x:c>
      <x:c r="D9" s="274" t="n">
        <x:f>MAX(0,B9-C9)</x:f>
        <x:v>0</x:v>
      </x:c>
      <x:c r="E9" s="274" t="n">
        <x:v>0</x:v>
      </x:c>
      <x:c r="F9" s="263" t="str">
        <x:f>IF(ABS(D9)&lt;=E9,"OK","FAIL")</x:f>
        <x:v>OK</x:v>
      </x:c>
      <x:c r="G9" s="263" t="str">
        <x:v>Assumptions C17</x:v>
      </x:c>
    </x:row>
    <x:row r="10">
      <x:c r="A10" s="263" t="str">
        <x:v>Organic certification begins after conversion</x:v>
      </x:c>
      <x:c r="B10" s="274" t="n">
        <x:f>'02_Assumptions'!$C$17+'02_Assumptions'!$C$18+1</x:f>
        <x:v>6</x:v>
      </x:c>
      <x:c r="C10" s="274" t="n">
        <x:f>'02_Assumptions'!$C$17+'02_Assumptions'!$C$18+1</x:f>
        <x:v>6</x:v>
      </x:c>
      <x:c r="D10" s="274" t="n">
        <x:f>B10-C10</x:f>
        <x:v>0</x:v>
      </x:c>
      <x:c r="E10" s="274" t="n">
        <x:v>0</x:v>
      </x:c>
      <x:c r="F10" s="263" t="str">
        <x:f>IF(ABS(D10)&lt;=E10,"OK","FAIL")</x:f>
        <x:v>OK</x:v>
      </x:c>
      <x:c r="G10" s="263" t="str">
        <x:v>Certification plan</x:v>
      </x:c>
    </x:row>
    <x:row r="11">
      <x:c r="A11" s="263" t="str">
        <x:v>Land cost input is non-negative</x:v>
      </x:c>
      <x:c r="B11" s="274" t="n">
        <x:f>'02_Assumptions'!$C$16</x:f>
        <x:v>0</x:v>
      </x:c>
      <x:c r="C11" s="274" t="n">
        <x:v>0</x:v>
      </x:c>
      <x:c r="D11" s="274" t="n">
        <x:f>MIN(0,B11-C11)</x:f>
        <x:v>0</x:v>
      </x:c>
      <x:c r="E11" s="274" t="n">
        <x:v>0</x:v>
      </x:c>
      <x:c r="F11" s="263" t="str">
        <x:f>IF(ABS(D11)&lt;=E11,"OK","FAIL")</x:f>
        <x:v>OK</x:v>
      </x:c>
      <x:c r="G11" s="263" t="str">
        <x:v>Assumptions C16</x:v>
      </x:c>
    </x:row>
    <x:row r="12">
      <x:c r="A12" s="263" t="str">
        <x:v>Revenue and OPEX timelines cover 10 years</x:v>
      </x:c>
      <x:c r="B12" s="274" t="n">
        <x:f>COUNT('10_Production_Revenue'!B21:K21)+COUNT('09_OPEX_10Y'!B17:K17)</x:f>
        <x:v>20</x:v>
      </x:c>
      <x:c r="C12" s="274" t="n">
        <x:v>20</x:v>
      </x:c>
      <x:c r="D12" s="274" t="n">
        <x:f>B12-C12</x:f>
        <x:v>0</x:v>
      </x:c>
      <x:c r="E12" s="274" t="n">
        <x:v>0</x:v>
      </x:c>
      <x:c r="F12" s="263" t="str">
        <x:f>IF(ABS(D12)&lt;=E12,"OK","FAIL")</x:f>
        <x:v>OK</x:v>
      </x:c>
      <x:c r="G12" s="263" t="str">
        <x:v>Production/OPEX</x:v>
      </x:c>
    </x:row>
    <x:row r="13">
      <x:c r="A13" s="263"/>
      <x:c r="B13" s="263"/>
      <x:c r="C13" s="263"/>
      <x:c r="D13" s="263"/>
      <x:c r="E13" s="263"/>
      <x:c r="F13" s="263"/>
      <x:c r="G13" s="263"/>
    </x:row>
    <x:row r="14">
      <x:c r="A14" s="312" t="str">
        <x:v>STATUS MODEL</x:v>
      </x:c>
      <x:c r="B14" s="312"/>
      <x:c r="C14" s="312"/>
      <x:c r="D14" s="312"/>
      <x:c r="E14" s="312"/>
      <x:c r="F14" s="312" t="str">
        <x:f>IF(COUNTIF(F5:F12,"FAIL")=0,"PASS","FAIL")</x:f>
        <x:v>PASS</x:v>
      </x:c>
      <x:c r="G14" s="263"/>
    </x:row>
    <x:row r="15">
      <x:c r="A15" s="263"/>
      <x:c r="B15" s="263"/>
      <x:c r="C15" s="263"/>
      <x:c r="D15" s="263"/>
      <x:c r="E15" s="263"/>
      <x:c r="F15" s="263"/>
      <x:c r="G15" s="263"/>
    </x:row>
    <x:row r="16">
      <x:c r="A16" s="263"/>
      <x:c r="B16" s="263"/>
      <x:c r="C16" s="263"/>
      <x:c r="D16" s="263"/>
      <x:c r="E16" s="263"/>
      <x:c r="F16" s="263"/>
      <x:c r="G16" s="263"/>
    </x:row>
    <x:row r="17" ht="20" customHeight="1">
      <x:c r="A17" s="41" t="str">
        <x:v>Peringatan yang tidak menggagalkan rumus</x:v>
      </x:c>
      <x:c r="B17" s="41"/>
      <x:c r="C17" s="41"/>
      <x:c r="D17" s="41"/>
      <x:c r="E17" s="41"/>
      <x:c r="F17" s="41"/>
      <x:c r="G17" s="41"/>
    </x:row>
    <x:row r="18" ht="26" customHeight="1">
      <x:c r="A18" s="269" t="str">
        <x:v>Biaya akuisisi/sewa lahan tetap Rp0 sampai ada calon nyata dan uji legal/valuasi.</x:v>
      </x:c>
      <x:c r="B18" s="269"/>
      <x:c r="C18" s="269"/>
      <x:c r="D18" s="269"/>
      <x:c r="E18" s="269"/>
      <x:c r="F18" s="269"/>
      <x:c r="G18" s="269"/>
    </x:row>
    <x:row r="19" ht="26" customHeight="1">
      <x:c r="A19" s="269" t="str">
        <x:v>Tanah, air, lereng, banjir, dan sejarah penyakit dapat mengubah kebutuhan dolomit, drainase, irigasi, dan survival.</x:v>
      </x:c>
      <x:c r="B19" s="269"/>
      <x:c r="C19" s="269"/>
      <x:c r="D19" s="269"/>
      <x:c r="E19" s="269"/>
      <x:c r="F19" s="269"/>
      <x:c r="G19" s="269"/>
    </x:row>
    <x:row r="20" ht="26" customHeight="1">
      <x:c r="A20" s="269" t="str">
        <x:v>Harga berkeyakinan rendah adalah asumsi anggaran; dapatkan sedikitnya tiga penawaran setara sebelum persetujuan.</x:v>
      </x:c>
      <x:c r="B20" s="269"/>
      <x:c r="C20" s="269"/>
      <x:c r="D20" s="269"/>
      <x:c r="E20" s="269"/>
      <x:c r="F20" s="269"/>
      <x:c r="G20" s="269"/>
    </x:row>
    <x:row r="21" ht="26" customHeight="1">
      <x:c r="A21" s="269" t="str">
        <x:v>Harga pendapatan adalah asumsi tingkat kebun, bukan kontrak. Tidak ada premi organik atau monetisasi manfaat penutup tanah.</x:v>
      </x:c>
      <x:c r="B21" s="269"/>
      <x:c r="C21" s="269"/>
      <x:c r="D21" s="269"/>
      <x:c r="E21" s="269"/>
      <x:c r="F21" s="269"/>
      <x:c r="G21" s="269"/>
    </x:row>
    <x:row r="22" ht="26" customHeight="1">
      <x:c r="A22" s="269" t="str">
        <x:v>Input pupuk/pestisida sintetis bertentangan dengan klaim organik dan dihentikan setelah fase yang ditetapkan.</x:v>
      </x:c>
      <x:c r="B22" s="269"/>
      <x:c r="C22" s="269"/>
      <x:c r="D22" s="269"/>
      <x:c r="E22" s="269"/>
      <x:c r="F22" s="269"/>
      <x:c r="G22" s="269"/>
    </x:row>
    <x:row r="23" ht="26" customHeight="1">
      <x:c r="A23" s="269" t="str">
        <x:v>PPN, pajak badan, biaya pembiayaan, penyusutan, pajak transaksi lahan, dan pengolahan luar kebun dikecualikan.</x:v>
      </x:c>
      <x:c r="B23" s="269"/>
      <x:c r="C23" s="269"/>
      <x:c r="D23" s="269"/>
      <x:c r="E23" s="269"/>
      <x:c r="F23" s="269"/>
      <x:c r="G23" s="269"/>
    </x:row>
  </x:sheetData>
  <x:mergeCells>
    <x:mergeCell ref="A1:G1"/>
    <x:mergeCell ref="A2:G2"/>
    <x:mergeCell ref="A14:E14"/>
    <x:mergeCell ref="A17:G17"/>
    <x:mergeCell ref="A18:G18"/>
    <x:mergeCell ref="A19:G19"/>
    <x:mergeCell ref="A20:G20"/>
    <x:mergeCell ref="A21:G21"/>
    <x:mergeCell ref="A22:G22"/>
    <x:mergeCell ref="A23:G23"/>
  </x:mergeCells>
  <x:conditionalFormatting sqref="F5:F12">
    <x:cfRule type="containsText" dxfId="0" priority="1" operator="containsText" text="OK"/>
    <x:cfRule type="containsText" dxfId="1" priority="2" operator="containsText" text="FAIL"/>
  </x:conditionalFormatting>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0" hidden="0" customWidth="1"/>
    <x:col min="2" max="2" width="19" hidden="0" customWidth="1"/>
    <x:col min="3" max="3" width="40" hidden="0" customWidth="1"/>
    <x:col min="4" max="4" width="37" hidden="0" customWidth="1"/>
    <x:col min="5" max="5" width="72" hidden="0" customWidth="1"/>
    <x:col min="6" max="6" width="16" hidden="0" customWidth="1"/>
    <x:col min="7" max="7" width="16" hidden="0" customWidth="1"/>
    <x:col min="8" max="8" width="12" hidden="0" customWidth="1"/>
    <x:col min="9" max="9" width="40" hidden="0" customWidth="1"/>
  </x:cols>
  <x:sheetData>
    <x:row r="1" ht="28" customHeight="1">
      <x:c r="A1" s="313" t="str">
        <x:v>Sumber dan Jejak Audit</x:v>
      </x:c>
      <x:c r="B1" s="313"/>
      <x:c r="C1" s="313"/>
      <x:c r="D1" s="313"/>
      <x:c r="E1" s="313"/>
      <x:c r="F1" s="313"/>
      <x:c r="G1" s="313"/>
      <x:c r="H1" s="313"/>
      <x:c r="I1" s="313"/>
    </x:row>
    <x:row r="2" ht="38" customHeight="1">
      <x:c r="A2" s="7" t="str">
        <x:v>Jejak audit untuk setiap asumsi teknis, hukum, harga, dan tolok ukur yang digunakan. Perbarui sumber berkeyakinan rendah dengan hasil uji lapangan, kontrak, atau sedikitnya tiga penawaran pemasok sebelum persetujuan investasi.</x:v>
      </x:c>
      <x:c r="B2" s="7"/>
      <x:c r="C2" s="7"/>
      <x:c r="D2" s="7"/>
      <x:c r="E2" s="7"/>
      <x:c r="F2" s="7"/>
      <x:c r="G2" s="7"/>
      <x:c r="H2" s="7"/>
      <x:c r="I2" s="7"/>
    </x:row>
    <x:row r="3">
      <x:c r="A3" s="261"/>
      <x:c r="B3" s="261"/>
      <x:c r="C3" s="261"/>
      <x:c r="D3" s="261"/>
      <x:c r="E3" s="261"/>
      <x:c r="F3" s="261"/>
      <x:c r="G3" s="261"/>
      <x:c r="H3" s="261"/>
      <x:c r="I3" s="261"/>
    </x:row>
    <x:row r="4" ht="30" customHeight="1">
      <x:c r="A4" s="34" t="str">
        <x:v>ID</x:v>
      </x:c>
      <x:c r="B4" s="35" t="str">
        <x:v>Topik</x:v>
      </x:c>
      <x:c r="C4" s="35" t="str">
        <x:v>Data yang digunakan</x:v>
      </x:c>
      <x:c r="D4" s="35" t="str">
        <x:v>Judul sumber</x:v>
      </x:c>
      <x:c r="E4" s="35" t="str">
        <x:v>URL</x:v>
      </x:c>
      <x:c r="F4" s="35" t="str">
        <x:v>Terbit/per tanggal</x:v>
      </x:c>
      <x:c r="G4" s="35" t="str">
        <x:v>Diakses</x:v>
      </x:c>
      <x:c r="H4" s="35" t="str">
        <x:v>Tingkat keyakinan</x:v>
      </x:c>
      <x:c r="I4" s="36" t="str">
        <x:v>Catatan</x:v>
      </x:c>
    </x:row>
    <x:row r="5">
      <x:c r="A5" s="264" t="str">
        <x:v>USR</x:v>
      </x:c>
      <x:c r="B5" s="264" t="str">
        <x:v>User decision</x:v>
      </x:c>
      <x:c r="C5" s="264" t="str">
        <x:v>Banyumas baseline; 100 ha; 1 vs 4 sites</x:v>
      </x:c>
      <x:c r="D5" s="264" t="str">
        <x:v>Conversation requirements</x:v>
      </x:c>
      <x:c r="E5" s="264" t="str">
        <x:v>User-provided</x:v>
      </x:c>
      <x:c r="F5" s="264" t="str">
        <x:v>2026-08-26</x:v>
      </x:c>
      <x:c r="G5" s="264" t="str">
        <x:v>2026-08-26</x:v>
      </x:c>
      <x:c r="H5" s="264" t="str">
        <x:v>High</x:v>
      </x:c>
      <x:c r="I5" s="264" t="str"/>
    </x:row>
    <x:row r="6">
      <x:c r="A6" s="264" t="str">
        <x:v>S01</x:v>
      </x:c>
      <x:c r="B6" s="264" t="str">
        <x:v>Durian bearing</x:v>
      </x:c>
      <x:c r="C6" s="264" t="str">
        <x:v>Grafted/okulasi durian starts 4-6 years</x:v>
      </x:c>
      <x:c r="D6" s="264" t="str">
        <x:v>Kementan: Teknologi Multiplikasi Vegetatif</x:v>
      </x:c>
      <x:c r="E6" s="264" t="str">
        <x:v>https://repository.pertanian.go.id/server/api/core/bitstreams/f955febe-a389-4923-83be-a883f5eed703/content</x:v>
      </x:c>
      <x:c r="F6" s="264" t="str">
        <x:v>2019</x:v>
      </x:c>
      <x:c r="G6" s="264" t="str">
        <x:v>2026-08-26</x:v>
      </x:c>
      <x:c r="H6" s="264" t="str">
        <x:v>High</x:v>
      </x:c>
      <x:c r="I6" s="264" t="str">
        <x:v>Base revenue starts Y5; Y4 not assumed</x:v>
      </x:c>
    </x:row>
    <x:row r="7">
      <x:c r="A7" s="264" t="str">
        <x:v>S02</x:v>
      </x:c>
      <x:c r="B7" s="264" t="str">
        <x:v>Banana agronomy</x:v>
      </x:c>
      <x:c r="C7" s="264" t="str">
        <x:v>10-15 t/ha common, 35-40 potential; spacing; manure; Urea/SP36/KCl doses; Trichoderma</x:v>
      </x:c>
      <x:c r="D7" s="264" t="str">
        <x:v>Kementan: Teknologi Budidaya Pisang</x:v>
      </x:c>
      <x:c r="E7" s="264" t="str">
        <x:v>https://repository.pertanian.go.id/server/api/core/bitstreams/650af8ff-94fb-4a63-816a-1cb30eea671c/content</x:v>
      </x:c>
      <x:c r="F7" s="264" t="str">
        <x:v>2023 repository</x:v>
      </x:c>
      <x:c r="G7" s="264" t="str">
        <x:v>2026-08-26</x:v>
      </x:c>
      <x:c r="H7" s="264" t="str">
        <x:v>High</x:v>
      </x:c>
      <x:c r="I7" s="264" t="str">
        <x:v>Model is lower density agroforestry</x:v>
      </x:c>
    </x:row>
    <x:row r="8">
      <x:c r="A8" s="264" t="str">
        <x:v>S03</x:v>
      </x:c>
      <x:c r="B8" s="264" t="str">
        <x:v>Dolomite</x:v>
      </x:c>
      <x:c r="C8" s="264" t="str">
        <x:v>1.0-1.5 t/ha for acidic soil in horticultural guide</x:v>
      </x:c>
      <x:c r="D8" s="264" t="str">
        <x:v>Kementan: Budi Daya Tanaman Hortikultura</x:v>
      </x:c>
      <x:c r="E8" s="264" t="str">
        <x:v>https://repository.pertanian.go.id/server/api/core/bitstreams/956a1e47-84bc-474e-8784-1f998e5fe29e/content</x:v>
      </x:c>
      <x:c r="F8" s="264" t="str">
        <x:v>2022</x:v>
      </x:c>
      <x:c r="G8" s="264" t="str">
        <x:v>2026-08-26</x:v>
      </x:c>
      <x:c r="H8" s="264" t="str">
        <x:v>Medium</x:v>
      </x:c>
      <x:c r="I8" s="264" t="str">
        <x:v>Final dose from lime requirement</x:v>
      </x:c>
    </x:row>
    <x:row r="9">
      <x:c r="A9" s="264" t="str">
        <x:v>S04</x:v>
      </x:c>
      <x:c r="B9" s="264" t="str">
        <x:v>Coconut price</x:v>
      </x:c>
      <x:c r="C9" s="264" t="str">
        <x:v>Farmgate ordinary coconut Rp2,000-3,000/butir</x:v>
      </x:c>
      <x:c r="D9" s="264" t="str">
        <x:v>Kementan: call to raise coconut buying price</x:v>
      </x:c>
      <x:c r="E9" s="264" t="str">
        <x:v>https://www.pertanian.go.id/?act=view&amp;id=7236&amp;show=news</x:v>
      </x:c>
      <x:c r="F9" s="264" t="str">
        <x:v>2025-10-28</x:v>
      </x:c>
      <x:c r="G9" s="264" t="str">
        <x:v>2026-08-26</x:v>
      </x:c>
      <x:c r="H9" s="264" t="str">
        <x:v>High</x:v>
      </x:c>
      <x:c r="I9" s="264" t="str">
        <x:v>Model uses Rp3,000/no aromatic premium</x:v>
      </x:c>
    </x:row>
    <x:row r="10">
      <x:c r="A10" s="264" t="str">
        <x:v>S05</x:v>
      </x:c>
      <x:c r="B10" s="264" t="str">
        <x:v>Banana farmgate</x:v>
      </x:c>
      <x:c r="C10" s="264" t="str">
        <x:v>Cavendish price Rp6,000/kg and around Rp120k/tree</x:v>
      </x:c>
      <x:c r="D10" s="264" t="str">
        <x:v>Banyuwangi Regency</x:v>
      </x:c>
      <x:c r="E10" s="264" t="str">
        <x:v>https://banyuwangikab.go.id/berita/harga-stabil-dan-banyak-diminati-banyuwangi-pacu-produksi-pisang-cavendish</x:v>
      </x:c>
      <x:c r="F10" s="264" t="str">
        <x:v>2024-07-03</x:v>
      </x:c>
      <x:c r="G10" s="264" t="str">
        <x:v>2026-08-26</x:v>
      </x:c>
      <x:c r="H10" s="264" t="str">
        <x:v>Medium</x:v>
      </x:c>
      <x:c r="I10" s="264" t="str">
        <x:v>Used as base 2026 planning price; update locally</x:v>
      </x:c>
    </x:row>
    <x:row r="11">
      <x:c r="A11" s="264" t="str">
        <x:v>S06</x:v>
      </x:c>
      <x:c r="B11" s="264" t="str">
        <x:v>Durian price</x:v>
      </x:c>
      <x:c r="C11" s="264" t="str">
        <x:v>Purwokerto local and Bawor retail price ranges</x:v>
      </x:c>
      <x:c r="D11" s="264" t="str">
        <x:v>RRI Purwokerto</x:v>
      </x:c>
      <x:c r="E11" s="264" t="str">
        <x:v>https://rri.co.id/purwokerto/umkm/1254378/puncak-musim-penghujan-harga-durian-di-purwokerto-mengalami-peningkatan</x:v>
      </x:c>
      <x:c r="F11" s="264" t="str">
        <x:v>2025-01-14</x:v>
      </x:c>
      <x:c r="G11" s="264" t="str">
        <x:v>2026-08-26</x:v>
      </x:c>
      <x:c r="H11" s="264" t="str">
        <x:v>Medium</x:v>
      </x:c>
      <x:c r="I11" s="264" t="str">
        <x:v>Farmgate model is conservative but still low confidence</x:v>
      </x:c>
    </x:row>
    <x:row r="12">
      <x:c r="A12" s="264" t="str">
        <x:v>S07</x:v>
      </x:c>
      <x:c r="B12" s="264" t="str">
        <x:v>Labor</x:v>
      </x:c>
      <x:c r="C12" s="264" t="str">
        <x:v>UMK Banyumas Rp2,474,598.99/month</x:v>
      </x:c>
      <x:c r="D12" s="264" t="str">
        <x:v>Central Java Governor Decree 100.3.3.1/505/2025</x:v>
      </x:c>
      <x:c r="E12" s="264" t="str">
        <x:v>https://jdih.jatengprov.go.id/inventarisasi-hukum/download/kepgub_100-3-3-1-505_th_2025</x:v>
      </x:c>
      <x:c r="F12" s="264" t="str">
        <x:v>2025-12-24</x:v>
      </x:c>
      <x:c r="G12" s="264" t="str">
        <x:v>2026-08-26</x:v>
      </x:c>
      <x:c r="H12" s="264" t="str">
        <x:v>High</x:v>
      </x:c>
      <x:c r="I12" s="264" t="str">
        <x:v>Loaded HOK includes benefit allowance</x:v>
      </x:c>
    </x:row>
    <x:row r="13">
      <x:c r="A13" s="264" t="str">
        <x:v>S08</x:v>
      </x:c>
      <x:c r="B13" s="264" t="str">
        <x:v>Mapping</x:v>
      </x:c>
      <x:c r="C13" s="264" t="str">
        <x:v>51-100 ha mapping benchmark Rp250k/ha</x:v>
      </x:c>
      <x:c r="D13" s="264" t="str">
        <x:v>Technogis mapping pilot price</x:v>
      </x:c>
      <x:c r="E13" s="264" t="str">
        <x:v>https://www.technogis.co.id/harga-jasa-pilot-drone-pemetaan-profesional-bersertifikat-termurah-di-indonesia/</x:v>
      </x:c>
      <x:c r="F13" s="264" t="str">
        <x:v>2025-04-24</x:v>
      </x:c>
      <x:c r="G13" s="264" t="str">
        <x:v>2026-08-26</x:v>
      </x:c>
      <x:c r="H13" s="264" t="str">
        <x:v>Medium</x:v>
      </x:c>
      <x:c r="I13" s="264" t="str">
        <x:v>Vendor benchmark; scope/accuracy varies</x:v>
      </x:c>
    </x:row>
    <x:row r="14">
      <x:c r="A14" s="264" t="str">
        <x:v>S09</x:v>
      </x:c>
      <x:c r="B14" s="264" t="str">
        <x:v>Soil laboratory</x:v>
      </x:c>
      <x:c r="C14" s="264" t="str">
        <x:v>Official parameter tariffs and PP PNBP basis</x:v>
      </x:c>
      <x:c r="D14" s="264" t="str">
        <x:v>BRMP Soil &amp; Fertilizer Laboratory</x:v>
      </x:c>
      <x:c r="E14" s="264" t="str">
        <x:v>https://tanahpupuk.brmp.pertanian.go.id/layanan/layanan/layanan-pengujian-analisa-tanah-pupuk-tanaman-dan-air-irigasi</x:v>
      </x:c>
      <x:c r="F14" s="264" t="str">
        <x:v>2026 website</x:v>
      </x:c>
      <x:c r="G14" s="264" t="str">
        <x:v>2026-08-26</x:v>
      </x:c>
      <x:c r="H14" s="264" t="str">
        <x:v>High</x:v>
      </x:c>
      <x:c r="I14" s="264" t="str">
        <x:v>Package allowance includes multiple parameters/logistics</x:v>
      </x:c>
    </x:row>
    <x:row r="15">
      <x:c r="A15" s="264" t="str">
        <x:v>S10</x:v>
      </x:c>
      <x:c r="B15" s="264" t="str">
        <x:v>Input prices</x:v>
      </x:c>
      <x:c r="C15" s="264" t="str">
        <x:v>Retail benchmarks: Urea, SP-36, NPK, glyphosate</x:v>
      </x:c>
      <x:c r="D15" s="264" t="str">
        <x:v>Happy Tani fertilizer listing</x:v>
      </x:c>
      <x:c r="E15" s="264" t="str">
        <x:v>https://www.happyshopingbatam.com/product-category/pupuk/</x:v>
      </x:c>
      <x:c r="F15" s="264" t="str">
        <x:v>2026 website</x:v>
      </x:c>
      <x:c r="G15" s="264" t="str">
        <x:v>2026-08-26</x:v>
      </x:c>
      <x:c r="H15" s="264" t="str">
        <x:v>Low</x:v>
      </x:c>
      <x:c r="I15" s="264" t="str">
        <x:v>Bulk delivered procurement requires tender</x:v>
      </x:c>
    </x:row>
    <x:row r="16">
      <x:c r="A16" s="264" t="str">
        <x:v>S11</x:v>
      </x:c>
      <x:c r="B16" s="264" t="str">
        <x:v>Organic matter price</x:v>
      </x:c>
      <x:c r="C16" s="264" t="str">
        <x:v>Retail/bulk market reference; model uses Rp0.9-1.0m/t delivered</x:v>
      </x:c>
      <x:c r="D16" s="264" t="str">
        <x:v>Indotrading compost suppliers</x:v>
      </x:c>
      <x:c r="E16" s="264" t="str">
        <x:v>https://www.indotrading.com/company_pupuk-kompos_7132/</x:v>
      </x:c>
      <x:c r="F16" s="264" t="str">
        <x:v>2026 website</x:v>
      </x:c>
      <x:c r="G16" s="264" t="str">
        <x:v>2026-08-26</x:v>
      </x:c>
      <x:c r="H16" s="264" t="str">
        <x:v>Low</x:v>
      </x:c>
      <x:c r="I16" s="264" t="str">
        <x:v>Quality/freight dominate</x:v>
      </x:c>
    </x:row>
    <x:row r="17">
      <x:c r="A17" s="264" t="str">
        <x:v>S12</x:v>
      </x:c>
      <x:c r="B17" s="264" t="str">
        <x:v>Organic certification</x:v>
      </x:c>
      <x:c r="C17" s="264" t="str">
        <x:v>Registration, inspection, reviewer and surveillance tariff components</x:v>
      </x:c>
      <x:c r="D17" s="264" t="str">
        <x:v>LeSOS certification costs</x:v>
      </x:c>
      <x:c r="E17" s="264" t="str">
        <x:v>https://lesosindonesia.com/s_dana</x:v>
      </x:c>
      <x:c r="F17" s="264" t="str">
        <x:v>2026 website</x:v>
      </x:c>
      <x:c r="G17" s="264" t="str">
        <x:v>2026-08-26</x:v>
      </x:c>
      <x:c r="H17" s="264" t="str">
        <x:v>High</x:v>
      </x:c>
      <x:c r="I17" s="264" t="str">
        <x:v>Travel, days and scope vary</x:v>
      </x:c>
    </x:row>
    <x:row r="18">
      <x:c r="A18" s="264" t="str">
        <x:v>S13</x:v>
      </x:c>
      <x:c r="B18" s="264" t="str">
        <x:v>Plantation cost norms</x:v>
      </x:c>
      <x:c r="C18" s="264" t="str">
        <x:v>Kelapa seedlings 110/ha @ Rp50k; HOK benchmark Rp110k</x:v>
      </x:c>
      <x:c r="D18" s="264" t="str">
        <x:v>East Kalimantan Plantation Development Unit Cost 2024</x:v>
      </x:c>
      <x:c r="E18" s="264" t="str">
        <x:v>https://disbun.kaltimprov.go.id/download/satuan-biaya-pembangunan-perkebunan-tahun-2024</x:v>
      </x:c>
      <x:c r="F18" s="264" t="str">
        <x:v>2024</x:v>
      </x:c>
      <x:c r="G18" s="264" t="str">
        <x:v>2026-08-26</x:v>
      </x:c>
      <x:c r="H18" s="264" t="str">
        <x:v>Medium</x:v>
      </x:c>
      <x:c r="I18" s="264" t="str">
        <x:v>Used as reasonableness benchmark, not copied total</x:v>
      </x:c>
    </x:row>
    <x:row r="19">
      <x:c r="A19" s="264" t="str">
        <x:v>S14</x:v>
      </x:c>
      <x:c r="B19" s="264" t="str">
        <x:v>Organic standard</x:v>
      </x:c>
      <x:c r="C19" s="264" t="str">
        <x:v>SNI 6729:2025 transition and 2026 implementation note</x:v>
      </x:c>
      <x:c r="D19" s="264" t="str">
        <x:v>ICERT: SNI 6729:2025</x:v>
      </x:c>
      <x:c r="E19" s="264" t="str">
        <x:v>https://icert.id/terbit-sni-67292025-sistem-pertanian-organik/</x:v>
      </x:c>
      <x:c r="F19" s="264" t="str">
        <x:v>2025-10-30</x:v>
      </x:c>
      <x:c r="G19" s="264" t="str">
        <x:v>2026-08-26</x:v>
      </x:c>
      <x:c r="H19" s="264" t="str">
        <x:v>High</x:v>
      </x:c>
      <x:c r="I19" s="264" t="str">
        <x:v>Written LSO confirmation still required</x:v>
      </x:c>
    </x:row>
    <x:row r="20">
      <x:c r="A20" s="264" t="str">
        <x:v>S15</x:v>
      </x:c>
      <x:c r="B20" s="264" t="str">
        <x:v>Support seedlings</x:v>
      </x:c>
      <x:c r="C20" s="264" t="str">
        <x:v>Indigofera/durian/serai/kelapa nursery listing</x:v>
      </x:c>
      <x:c r="D20" s="264" t="str">
        <x:v>ForestaMart government marketplace</x:v>
      </x:c>
      <x:c r="E20" s="264" t="str">
        <x:v>https://forestamart.bp2sdm.kehutanan.go.id/index.php/detail-produk/bibit-indigofera/4d544577</x:v>
      </x:c>
      <x:c r="F20" s="264" t="str">
        <x:v>2026 website</x:v>
      </x:c>
      <x:c r="G20" s="264" t="str">
        <x:v>2026-08-26</x:v>
      </x:c>
      <x:c r="H20" s="264" t="str">
        <x:v>Medium</x:v>
      </x:c>
      <x:c r="I20" s="264" t="str">
        <x:v>Model prices include bulk/logistics allowances</x:v>
      </x:c>
    </x:row>
    <x:row r="21">
      <x:c r="A21" s="264" t="str">
        <x:v>S16</x:v>
      </x:c>
      <x:c r="B21" s="264" t="str">
        <x:v>Banana seedlings</x:v>
      </x:c>
      <x:c r="C21" s="264" t="str">
        <x:v>Tissue-culture banana listings around Rp14.5k-18k</x:v>
      </x:c>
      <x:c r="D21" s="264" t="str">
        <x:v>Marketplace benchmark</x:v>
      </x:c>
      <x:c r="E21" s="264" t="str">
        <x:v>https://www.blibli.com/jual/kultur-jaringan-pisang</x:v>
      </x:c>
      <x:c r="F21" s="264" t="str">
        <x:v>2026-08</x:v>
      </x:c>
      <x:c r="G21" s="264" t="str">
        <x:v>2026-08-26</x:v>
      </x:c>
      <x:c r="H21" s="264" t="str">
        <x:v>Low</x:v>
      </x:c>
      <x:c r="I21" s="264" t="str">
        <x:v>Require disease-free certification and batch QA</x:v>
      </x:c>
    </x:row>
    <x:row r="22">
      <x:c r="A22" s="264" t="str">
        <x:v>S17</x:v>
      </x:c>
      <x:c r="B22" s="264" t="str">
        <x:v>Coconut bearing</x:v>
      </x:c>
      <x:c r="C22" s="264" t="str">
        <x:v>Genjah Pandan Wangi starts around 2-3 years</x:v>
      </x:c>
      <x:c r="D22" s="264" t="str">
        <x:v>Ditjenbun variety description</x:v>
      </x:c>
      <x:c r="E22" s="264" t="str">
        <x:v>https://ditjenbun.pertanian.go.id/deskripsi-varietas-kelapa-genjah-pandan-wangi-dan-kebun-sumber-benihnya-di-indonesia/</x:v>
      </x:c>
      <x:c r="F22" s="264" t="str">
        <x:v>2022-12-05</x:v>
      </x:c>
      <x:c r="G22" s="264" t="str">
        <x:v>2026-08-26</x:v>
      </x:c>
      <x:c r="H22" s="264" t="str">
        <x:v>High</x:v>
      </x:c>
      <x:c r="I22" s="264" t="str">
        <x:v>Model uses light Y3 crop</x:v>
      </x:c>
    </x:row>
    <x:row r="23">
      <x:c r="A23" s="264" t="str">
        <x:v>S19</x:v>
      </x:c>
      <x:c r="B23" s="264" t="str">
        <x:v>Budidaya nanas</x:v>
      </x:c>
      <x:c r="C23" s="264" t="str">
        <x:v>Pedoman pembibitan sampai panen; buah aksesion unggul &gt;1.000 g</x:v>
      </x:c>
      <x:c r="D23" s="264" t="str">
        <x:v>Petunjuk Teknis Budidaya Nenas</x:v>
      </x:c>
      <x:c r="E23" s="264" t="str">
        <x:v>https://repository.pertanian.go.id/items/ed0e90fe-90c6-4119-9cd6-221ade7a5dd9</x:v>
      </x:c>
      <x:c r="F23" s="264" t="str">
        <x:v>2008</x:v>
      </x:c>
      <x:c r="G23" s="264" t="str">
        <x:v>2026-08-26</x:v>
      </x:c>
      <x:c r="H23" s="264" t="str">
        <x:v>Tinggi</x:v>
      </x:c>
      <x:c r="I23" s="264" t="str">
        <x:v>Model lorong memakai kerapatan jauh di bawah monokultur; validasi cahaya dan varietas</x:v>
      </x:c>
    </x:row>
    <x:row r="24">
      <x:c r="A24" s="261" t="str">
        <x:v>S20</x:v>
      </x:c>
      <x:c r="B24" s="261" t="str">
        <x:v>Penutup tanah legum</x:v>
      </x:c>
      <x:c r="C24" s="261" t="str">
        <x:v>Penutup tanah legum memperbaiki sifat tanah, menambat N, menghasilkan bahan organik, dan membantu infiltrasi</x:v>
      </x:c>
      <x:c r="D24" s="261" t="str">
        <x:v>Teknik Konservasi Tanah Secara Vegetatif</x:v>
      </x:c>
      <x:c r="E24" s="261" t="str">
        <x:v>https://repository.pertanian.go.id/bitstreams/721ac5a2-a87d-46c1-9400-62c235f0bf34/download</x:v>
      </x:c>
      <x:c r="F24" s="261" t="str">
        <x:v>2006</x:v>
      </x:c>
      <x:c r="G24" s="261" t="str">
        <x:v>2026-08-26</x:v>
      </x:c>
      <x:c r="H24" s="261" t="str">
        <x:v>Tinggi</x:v>
      </x:c>
      <x:c r="I24" s="261" t="str">
        <x:v>Arachis pintoi dipakai sebagai penutup rendah; lingkar batang tetap dijaga bersih</x:v>
      </x:c>
    </x:row>
    <x:row r="25">
      <x:c r="A25" s="261" t="str">
        <x:v>S21</x:v>
      </x:c>
      <x:c r="B25" s="261" t="str">
        <x:v>Mucuna/benguk</x:v>
      </x:c>
      <x:c r="C25" s="261" t="str">
        <x:v>Biomassa Mucuna dilaporkan mengandung N, P, dan K dan dapat menjadi sumber hara/mulsa</x:v>
      </x:c>
      <x:c r="D25" s="261" t="str">
        <x:v>Teknik Konservasi Tanah Secara Vegetatif</x:v>
      </x:c>
      <x:c r="E25" s="261" t="str">
        <x:v>https://repository.pertanian.go.id/bitstreams/721ac5a2-a87d-46c1-9400-62c235f0bf34/download</x:v>
      </x:c>
      <x:c r="F25" s="261" t="str">
        <x:v>2006</x:v>
      </x:c>
      <x:c r="G25" s="261" t="str">
        <x:v>2026-08-26</x:v>
      </x:c>
      <x:c r="H25" s="261" t="str">
        <x:v>Tinggi</x:v>
      </x:c>
      <x:c r="I25" s="261" t="str">
        <x:v>Opsi nonaktif; perlu dikendalikan agar tidak memanjat tanaman inti</x:v>
      </x:c>
    </x:row>
    <x:row r="26">
      <x:c r="A26" s="261" t="str">
        <x:v>S22</x:v>
      </x:c>
      <x:c r="B26" s="261" t="str">
        <x:v>Crotalaria</x:v>
      </x:c>
      <x:c r="C26" s="261" t="str">
        <x:v>Beberapa spesies Crotalaria bersifat antagonis terhadap nematoda tertentu; manfaat harus disesuaikan dengan diagnosis OPT</x:v>
      </x:c>
      <x:c r="D26" s="261" t="str">
        <x:v>Alelopati pada Pola Tanam Kopi dan Teknik Pengendalian</x:v>
      </x:c>
      <x:c r="E26" s="261" t="str">
        <x:v>https://repository.pertanian.go.id/bitstreams/946c3d1b-10c2-44bc-8935-d8c1258404e4/download</x:v>
      </x:c>
      <x:c r="F26" s="261" t="str">
        <x:v>2014</x:v>
      </x:c>
      <x:c r="G26" s="261" t="str">
        <x:v>2026-08-26</x:v>
      </x:c>
      <x:c r="H26" s="261" t="str">
        <x:v>Sedang</x:v>
      </x:c>
      <x:c r="I26" s="261" t="str">
        <x:v>Bukan klaim pengendalian umum; opsi nonaktif hingga ada diagnosis</x:v>
      </x:c>
    </x:row>
  </x:sheetData>
  <x:mergeCells>
    <x:mergeCell ref="A1:I1"/>
    <x:mergeCell ref="A2:I2"/>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25" hidden="0" customWidth="1"/>
    <x:col min="4" max="4" width="17" hidden="0" customWidth="1"/>
    <x:col min="5" max="5" width="16" hidden="0" customWidth="1"/>
    <x:col min="6" max="6" width="13" hidden="0" customWidth="1"/>
    <x:col min="7" max="7" width="16" hidden="0" customWidth="1"/>
    <x:col min="8" max="8" width="16" hidden="0" customWidth="1"/>
    <x:col min="9" max="9" width="16" hidden="0" customWidth="1"/>
    <x:col min="10" max="10" width="16" hidden="0" customWidth="1"/>
    <x:col min="11" max="11" width="16" hidden="0" customWidth="1"/>
    <x:col min="12" max="12" width="17" hidden="0" customWidth="1"/>
    <x:col min="13" max="13" width="18" hidden="0" customWidth="1"/>
    <x:col min="14" max="14" width="18" hidden="0" customWidth="1"/>
    <x:col min="15" max="15" width="18" hidden="0" customWidth="1"/>
    <x:col min="16" max="16" width="18" hidden="0" customWidth="1"/>
    <x:col min="17" max="17" width="18" hidden="0" customWidth="1"/>
    <x:col min="18" max="18" width="32"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42" hidden="0" customWidth="1"/>
  </x:cols>
  <x:sheetData>
    <x:row r="1" ht="28" customHeight="1">
      <x:c r="A1" s="382" t="str">
        <x:v>Model Fleksibel dan Variabel Tambahan</x:v>
      </x:c>
      <x:c r="B1" s="382"/>
      <x:c r="C1" s="382"/>
      <x:c r="D1" s="382"/>
      <x:c r="E1" s="382"/>
      <x:c r="F1" s="382"/>
      <x:c r="G1" s="382"/>
      <x:c r="H1" s="382"/>
      <x:c r="I1" s="382"/>
      <x:c r="J1" s="382"/>
      <x:c r="K1" s="382"/>
      <x:c r="L1" s="382"/>
      <x:c r="M1" s="382"/>
      <x:c r="N1" s="382"/>
      <x:c r="O1" s="382"/>
      <x:c r="P1" s="382"/>
      <x:c r="Q1" s="382"/>
      <x:c r="R1" s="382"/>
      <x:c r="S1" s="382"/>
      <x:c r="T1" s="382"/>
      <x:c r="U1" s="382"/>
      <x:c r="V1" s="382"/>
      <x:c r="W1" s="382"/>
      <x:c r="X1" s="382"/>
      <x:c r="Y1" s="382"/>
      <x:c r="Z1" s="382"/>
      <x:c r="AA1" s="382"/>
      <x:c r="AB1" s="382"/>
      <x:c r="AC1" s="382"/>
      <x:c r="AD1" s="382"/>
      <x:c r="AE1" s="382"/>
      <x:c r="AF1" s="382"/>
      <x:c r="AG1" s="382"/>
      <x:c r="AH1" s="382"/>
      <x:c r="AI1" s="382"/>
      <x:c r="AJ1" s="382"/>
    </x:row>
    <x:row r="2" ht="38" customHeight="1">
      <x:c r="A2" s="448" t="str">
        <x:v>Area ekstensi untuk menambah atau menonaktifkan spesies, alat, staf, CAPEX, OPEX, dan pendapatan tanpa merusak rumus utama. Gunakan Aktif=1 untuk memasukkan baris dan Aktif=0 untuk mengeluarkannya; jangan mengganti sel formula berwarna hijau.</x:v>
      </x:c>
      <x:c r="B2" s="448"/>
      <x:c r="C2" s="448"/>
      <x:c r="D2" s="448"/>
      <x:c r="E2" s="448"/>
      <x:c r="F2" s="448"/>
      <x:c r="G2" s="448"/>
      <x:c r="H2" s="448"/>
      <x:c r="I2" s="448"/>
      <x:c r="J2" s="448"/>
      <x:c r="K2" s="448"/>
      <x:c r="L2" s="448"/>
      <x:c r="M2" s="448"/>
      <x:c r="N2" s="448"/>
      <x:c r="O2" s="448"/>
      <x:c r="P2" s="448"/>
      <x:c r="Q2" s="448"/>
      <x:c r="R2" s="448"/>
      <x:c r="S2" s="448"/>
      <x:c r="T2" s="448"/>
      <x:c r="U2" s="448"/>
      <x:c r="V2" s="448"/>
      <x:c r="W2" s="448"/>
      <x:c r="X2" s="448"/>
      <x:c r="Y2" s="448"/>
      <x:c r="Z2" s="448"/>
      <x:c r="AA2" s="448"/>
      <x:c r="AB2" s="448"/>
      <x:c r="AC2" s="448"/>
      <x:c r="AD2" s="448"/>
      <x:c r="AE2" s="448"/>
      <x:c r="AF2" s="448"/>
      <x:c r="AG2" s="448"/>
      <x:c r="AH2" s="448"/>
      <x:c r="AI2" s="448"/>
      <x:c r="AJ2" s="448"/>
    </x:row>
    <x:row r="3">
      <x:c r="A3" s="264"/>
      <x:c r="B3" s="264"/>
      <x:c r="C3" s="264"/>
      <x:c r="D3" s="264"/>
      <x:c r="E3" s="264"/>
      <x:c r="F3" s="264"/>
      <x:c r="G3" s="264"/>
      <x:c r="H3" s="264"/>
      <x:c r="I3" s="264"/>
      <x:c r="J3" s="264"/>
      <x:c r="K3" s="264"/>
      <x:c r="L3" s="264"/>
      <x:c r="M3" s="264"/>
      <x:c r="N3" s="264"/>
      <x:c r="O3" s="264"/>
      <x:c r="P3" s="264"/>
      <x:c r="Q3" s="264"/>
      <x:c r="R3" s="264"/>
      <x:c r="S3" s="264"/>
      <x:c r="T3" s="264"/>
      <x:c r="U3" s="264"/>
      <x:c r="V3" s="264"/>
      <x:c r="W3" s="264"/>
      <x:c r="X3" s="264"/>
      <x:c r="Y3" s="264"/>
      <x:c r="Z3" s="264"/>
      <x:c r="AA3" s="264"/>
      <x:c r="AB3" s="264"/>
      <x:c r="AC3" s="264"/>
      <x:c r="AD3" s="264"/>
      <x:c r="AE3" s="264"/>
      <x:c r="AF3" s="264"/>
      <x:c r="AG3" s="264"/>
      <x:c r="AH3" s="264"/>
      <x:c r="AI3" s="264"/>
      <x:c r="AJ3" s="264"/>
    </x:row>
    <x:row r="4" ht="20" customHeight="1">
      <x:c r="A4" s="383" t="str">
        <x:v>A. Spesies opsional dan spesies tambahan dalam matriks agroforestri</x:v>
      </x:c>
      <x:c r="B4" s="383"/>
      <x:c r="C4" s="383"/>
      <x:c r="D4" s="383"/>
      <x:c r="E4" s="383"/>
      <x:c r="F4" s="383"/>
      <x:c r="G4" s="383"/>
      <x:c r="H4" s="383"/>
      <x:c r="I4" s="383"/>
      <x:c r="J4" s="383"/>
      <x:c r="K4" s="383"/>
      <x:c r="L4" s="383"/>
      <x:c r="M4" s="383"/>
      <x:c r="N4" s="383"/>
      <x:c r="O4" s="264"/>
      <x:c r="P4" s="264"/>
      <x:c r="Q4" s="264"/>
      <x:c r="R4" s="264"/>
      <x:c r="S4" s="264"/>
      <x:c r="T4" s="264"/>
      <x:c r="U4" s="264"/>
      <x:c r="V4" s="264"/>
      <x:c r="W4" s="264"/>
      <x:c r="X4" s="264"/>
      <x:c r="Y4" s="264"/>
      <x:c r="Z4" s="264"/>
      <x:c r="AA4" s="264"/>
      <x:c r="AB4" s="264"/>
      <x:c r="AC4" s="264"/>
      <x:c r="AD4" s="264"/>
      <x:c r="AE4" s="264"/>
      <x:c r="AF4" s="264"/>
      <x:c r="AG4" s="264"/>
      <x:c r="AH4" s="264"/>
      <x:c r="AI4" s="264"/>
      <x:c r="AJ4" s="264"/>
    </x:row>
    <x:row r="5" ht="32" customHeight="1">
      <x:c r="A5" s="368" t="str">
        <x:v>Aktif</x:v>
      </x:c>
      <x:c r="B5" s="368" t="str">
        <x:v>Komoditas</x:v>
      </x:c>
      <x:c r="C5" s="368" t="str">
        <x:v>Peran</x:v>
      </x:c>
      <x:c r="D5" s="368" t="str">
        <x:v>Kerapatan/ha efektif</x:v>
      </x:c>
      <x:c r="E5" s="368" t="str">
        <x:v>Populasi lapangan</x:v>
      </x:c>
      <x:c r="F5" s="368" t="str">
        <x:v>Cadangan bibit</x:v>
      </x:c>
      <x:c r="G5" s="368" t="str">
        <x:v>Jumlah dibeli</x:v>
      </x:c>
      <x:c r="H5" s="368" t="str">
        <x:v>Harga bibit</x:v>
      </x:c>
      <x:c r="I5" s="368" t="str">
        <x:v>Biaya bibit</x:v>
      </x:c>
      <x:c r="J5" s="368" t="str">
        <x:v>Survival</x:v>
      </x:c>
      <x:c r="K5" s="368" t="str">
        <x:v>Tanaman hidup</x:v>
      </x:c>
      <x:c r="L5" s="368" t="str">
        <x:v>HOK tanam/tanaman</x:v>
      </x:c>
      <x:c r="M5" s="368" t="str">
        <x:v>Biaya HOK tanam T0</x:v>
      </x:c>
      <x:c r="N5" s="368" t="str">
        <x:v>Catatan</x:v>
      </x:c>
      <x:c r="O5" s="264"/>
      <x:c r="P5" s="264"/>
      <x:c r="Q5" s="264"/>
      <x:c r="R5" s="264"/>
      <x:c r="S5" s="264"/>
      <x:c r="T5" s="264"/>
      <x:c r="U5" s="264"/>
      <x:c r="V5" s="264"/>
      <x:c r="W5" s="264"/>
      <x:c r="X5" s="264"/>
      <x:c r="Y5" s="264"/>
      <x:c r="Z5" s="264"/>
      <x:c r="AA5" s="264"/>
      <x:c r="AB5" s="264"/>
      <x:c r="AC5" s="264"/>
      <x:c r="AD5" s="264"/>
      <x:c r="AE5" s="264"/>
      <x:c r="AF5" s="264"/>
      <x:c r="AG5" s="264"/>
      <x:c r="AH5" s="264"/>
      <x:c r="AI5" s="264"/>
      <x:c r="AJ5" s="264"/>
    </x:row>
    <x:row r="6">
      <x:c r="A6" s="384" t="n">
        <x:f>'02_Assumptions'!$C$156</x:f>
        <x:v>0</x:v>
      </x:c>
      <x:c r="B6" s="264" t="str">
        <x:v>Nanas</x:v>
      </x:c>
      <x:c r="C6" s="264" t="str">
        <x:v>Penutup lorong produktif</x:v>
      </x:c>
      <x:c r="D6" s="264" t="n">
        <x:v>2500</x:v>
      </x:c>
      <x:c r="E6" s="385" t="n">
        <x:f>$A6*$D6*'02_Assumptions'!$C$24</x:f>
        <x:v>0</x:v>
      </x:c>
      <x:c r="F6" s="386" t="n">
        <x:v>0.1</x:v>
      </x:c>
      <x:c r="G6" s="385" t="n">
        <x:f>$E6*(1+$F6)</x:f>
        <x:v>0</x:v>
      </x:c>
      <x:c r="H6" s="387" t="n">
        <x:v>4000</x:v>
      </x:c>
      <x:c r="I6" s="287" t="n">
        <x:f>$G6*$H6</x:f>
        <x:v>0</x:v>
      </x:c>
      <x:c r="J6" s="386" t="n">
        <x:v>0.85</x:v>
      </x:c>
      <x:c r="K6" s="385" t="n">
        <x:f>$E6*$J6</x:f>
        <x:v>0</x:v>
      </x:c>
      <x:c r="L6" s="388" t="n">
        <x:v>0.01</x:v>
      </x:c>
      <x:c r="M6" s="287" t="n">
        <x:f>$E6*$L6*'02_Assumptions'!$C$60</x:f>
        <x:v>0</x:v>
      </x:c>
      <x:c r="N6" s="264" t="str">
        <x:v>Ditempatkan hanya pada lorong cukup cahaya; validasi varietas dan pasar</x:v>
      </x:c>
      <x:c r="O6" s="264"/>
      <x:c r="P6" s="264"/>
      <x:c r="Q6" s="264"/>
      <x:c r="R6" s="264"/>
      <x:c r="S6" s="264"/>
      <x:c r="T6" s="264"/>
      <x:c r="U6" s="264"/>
      <x:c r="V6" s="264"/>
      <x:c r="W6" s="264"/>
      <x:c r="X6" s="264"/>
      <x:c r="Y6" s="264"/>
      <x:c r="Z6" s="264"/>
      <x:c r="AA6" s="264"/>
      <x:c r="AB6" s="264"/>
      <x:c r="AC6" s="264"/>
      <x:c r="AD6" s="264"/>
      <x:c r="AE6" s="264"/>
      <x:c r="AF6" s="264"/>
      <x:c r="AG6" s="264"/>
      <x:c r="AH6" s="264"/>
      <x:c r="AI6" s="264"/>
      <x:c r="AJ6" s="264"/>
    </x:row>
    <x:row r="7">
      <x:c r="A7" s="384" t="n">
        <x:f>'02_Assumptions'!$C$157</x:f>
        <x:v>1</x:v>
      </x:c>
      <x:c r="B7" s="264" t="str">
        <x:v>Arachis pintoi</x:v>
      </x:c>
      <x:c r="C7" s="264" t="str">
        <x:v>Penutup tanah legum rendah</x:v>
      </x:c>
      <x:c r="D7" s="264" t="n">
        <x:f>'02_Assumptions'!$C$32</x:f>
        <x:v>0.65</x:v>
      </x:c>
      <x:c r="E7" s="385" t="n">
        <x:f>$A7*$D7*'02_Assumptions'!$C$24</x:f>
        <x:v>57.2</x:v>
      </x:c>
      <x:c r="F7" s="386" t="n">
        <x:v>0</x:v>
      </x:c>
      <x:c r="G7" s="385" t="n">
        <x:f>$E7*(1+$F7)</x:f>
        <x:v>57.2</x:v>
      </x:c>
      <x:c r="H7" s="387" t="n">
        <x:f>'02_Assumptions'!$C$59</x:f>
        <x:v>1200000</x:v>
      </x:c>
      <x:c r="I7" s="287" t="n">
        <x:f>$G7*$H7</x:f>
        <x:v>68640000</x:v>
      </x:c>
      <x:c r="J7" s="386" t="n">
        <x:v>1</x:v>
      </x:c>
      <x:c r="K7" s="385" t="n">
        <x:f>$E7*$J7</x:f>
        <x:v>57.2</x:v>
      </x:c>
      <x:c r="L7" s="388" t="n">
        <x:v>3</x:v>
      </x:c>
      <x:c r="M7" s="287" t="n">
        <x:f>$E7*$L7*'02_Assumptions'!$C$60</x:f>
        <x:v>20592000.000000004</x:v>
      </x:c>
      <x:c r="N7" s="264" t="str">
        <x:v>Mengikat N, menutup tanah, menekan gulma, dan mengurangi erosi; sisakan lingkar bersih di sekitar batang</x:v>
      </x:c>
      <x:c r="O7" s="264"/>
      <x:c r="P7" s="264"/>
      <x:c r="Q7" s="264"/>
      <x:c r="R7" s="264"/>
      <x:c r="S7" s="264"/>
      <x:c r="T7" s="264"/>
      <x:c r="U7" s="264"/>
      <x:c r="V7" s="264"/>
      <x:c r="W7" s="264"/>
      <x:c r="X7" s="264"/>
      <x:c r="Y7" s="264"/>
      <x:c r="Z7" s="264"/>
      <x:c r="AA7" s="264"/>
      <x:c r="AB7" s="264"/>
      <x:c r="AC7" s="264"/>
      <x:c r="AD7" s="264"/>
      <x:c r="AE7" s="264"/>
      <x:c r="AF7" s="264"/>
      <x:c r="AG7" s="264"/>
      <x:c r="AH7" s="264"/>
      <x:c r="AI7" s="264"/>
      <x:c r="AJ7" s="264"/>
    </x:row>
    <x:row r="8">
      <x:c r="A8" s="389" t="n">
        <x:v>0</x:v>
      </x:c>
      <x:c r="B8" s="389" t="str">
        <x:v>Crotalaria juncea</x:v>
      </x:c>
      <x:c r="C8" s="389" t="str">
        <x:v>Pupuk hijau dan strip serangga berguna</x:v>
      </x:c>
      <x:c r="D8" s="389" t="n">
        <x:v>0.02</x:v>
      </x:c>
      <x:c r="E8" s="385" t="n">
        <x:f>$A8*$D8*'02_Assumptions'!$C$24</x:f>
        <x:v>0</x:v>
      </x:c>
      <x:c r="F8" s="386" t="n">
        <x:v>0</x:v>
      </x:c>
      <x:c r="G8" s="385" t="n">
        <x:f>$E8*(1+$F8)</x:f>
        <x:v>0</x:v>
      </x:c>
      <x:c r="H8" s="387" t="n">
        <x:v>1200000</x:v>
      </x:c>
      <x:c r="I8" s="287" t="n">
        <x:f>$G8*$H8</x:f>
        <x:v>0</x:v>
      </x:c>
      <x:c r="J8" s="386" t="n">
        <x:v>1</x:v>
      </x:c>
      <x:c r="K8" s="385" t="n">
        <x:f>$E8*$J8</x:f>
        <x:v>0</x:v>
      </x:c>
      <x:c r="L8" s="388" t="n">
        <x:v>3</x:v>
      </x:c>
      <x:c r="M8" s="287" t="n">
        <x:f>$E8*$L8*'02_Assumptions'!$C$60</x:f>
        <x:v>0</x:v>
      </x:c>
      <x:c r="N8" s="264" t="str">
        <x:v>Gunakan terbatas dan spesifik lokasi; manfaat nematoda bergantung spesies OPT</x:v>
      </x:c>
      <x:c r="O8" s="264"/>
      <x:c r="P8" s="264"/>
      <x:c r="Q8" s="264"/>
      <x:c r="R8" s="264"/>
      <x:c r="S8" s="264"/>
      <x:c r="T8" s="264"/>
      <x:c r="U8" s="264"/>
      <x:c r="V8" s="264"/>
      <x:c r="W8" s="264"/>
      <x:c r="X8" s="264"/>
      <x:c r="Y8" s="264"/>
      <x:c r="Z8" s="264"/>
      <x:c r="AA8" s="264"/>
      <x:c r="AB8" s="264"/>
      <x:c r="AC8" s="264"/>
      <x:c r="AD8" s="264"/>
      <x:c r="AE8" s="264"/>
      <x:c r="AF8" s="264"/>
      <x:c r="AG8" s="264"/>
      <x:c r="AH8" s="264"/>
      <x:c r="AI8" s="264"/>
      <x:c r="AJ8" s="264"/>
    </x:row>
    <x:row r="9">
      <x:c r="A9" s="389" t="n">
        <x:v>0</x:v>
      </x:c>
      <x:c r="B9" s="389" t="str">
        <x:v>Mucuna/benguk</x:v>
      </x:c>
      <x:c r="C9" s="389" t="str">
        <x:v>Penutup tanah dan sumber biomassa N-P-K</x:v>
      </x:c>
      <x:c r="D9" s="389" t="n">
        <x:v>0.1</x:v>
      </x:c>
      <x:c r="E9" s="385" t="n">
        <x:f>$A9*$D9*'02_Assumptions'!$C$24</x:f>
        <x:v>0</x:v>
      </x:c>
      <x:c r="F9" s="386" t="n">
        <x:v>0</x:v>
      </x:c>
      <x:c r="G9" s="385" t="n">
        <x:f>$E9*(1+$F9)</x:f>
        <x:v>0</x:v>
      </x:c>
      <x:c r="H9" s="387" t="n">
        <x:v>1000000</x:v>
      </x:c>
      <x:c r="I9" s="287" t="n">
        <x:f>$G9*$H9</x:f>
        <x:v>0</x:v>
      </x:c>
      <x:c r="J9" s="386" t="n">
        <x:v>1</x:v>
      </x:c>
      <x:c r="K9" s="385" t="n">
        <x:f>$E9*$J9</x:f>
        <x:v>0</x:v>
      </x:c>
      <x:c r="L9" s="388" t="n">
        <x:v>2</x:v>
      </x:c>
      <x:c r="M9" s="287" t="n">
        <x:f>$E9*$L9*'02_Assumptions'!$C$60</x:f>
        <x:v>0</x:v>
      </x:c>
      <x:c r="N9" s="264" t="str">
        <x:v>Harus dikendalikan agar tidak memanjat tanaman inti</x:v>
      </x:c>
      <x:c r="O9" s="264"/>
      <x:c r="P9" s="264"/>
      <x:c r="Q9" s="264"/>
      <x:c r="R9" s="264"/>
      <x:c r="S9" s="264"/>
      <x:c r="T9" s="264"/>
      <x:c r="U9" s="264"/>
      <x:c r="V9" s="264"/>
      <x:c r="W9" s="264"/>
      <x:c r="X9" s="264"/>
      <x:c r="Y9" s="264"/>
      <x:c r="Z9" s="264"/>
      <x:c r="AA9" s="264"/>
      <x:c r="AB9" s="264"/>
      <x:c r="AC9" s="264"/>
      <x:c r="AD9" s="264"/>
      <x:c r="AE9" s="264"/>
      <x:c r="AF9" s="264"/>
      <x:c r="AG9" s="264"/>
      <x:c r="AH9" s="264"/>
      <x:c r="AI9" s="264"/>
      <x:c r="AJ9" s="264"/>
    </x:row>
    <x:row r="10">
      <x:c r="A10" s="389" t="n">
        <x:v>0</x:v>
      </x:c>
      <x:c r="B10" s="389" t="str">
        <x:v>Vetiver</x:v>
      </x:c>
      <x:c r="C10" s="389" t="str">
        <x:v>Strip kontur dan pengendali erosi</x:v>
      </x:c>
      <x:c r="D10" s="389" t="n">
        <x:v>200</x:v>
      </x:c>
      <x:c r="E10" s="385" t="n">
        <x:f>$A10*$D10*'02_Assumptions'!$C$24</x:f>
        <x:v>0</x:v>
      </x:c>
      <x:c r="F10" s="386" t="n">
        <x:v>0.1</x:v>
      </x:c>
      <x:c r="G10" s="385" t="n">
        <x:f>$E10*(1+$F10)</x:f>
        <x:v>0</x:v>
      </x:c>
      <x:c r="H10" s="387" t="n">
        <x:v>1500</x:v>
      </x:c>
      <x:c r="I10" s="287" t="n">
        <x:f>$G10*$H10</x:f>
        <x:v>0</x:v>
      </x:c>
      <x:c r="J10" s="386" t="n">
        <x:v>0.9</x:v>
      </x:c>
      <x:c r="K10" s="385" t="n">
        <x:f>$E10*$J10</x:f>
        <x:v>0</x:v>
      </x:c>
      <x:c r="L10" s="388" t="n">
        <x:v>0.01</x:v>
      </x:c>
      <x:c r="M10" s="287" t="n">
        <x:f>$E10*$L10*'02_Assumptions'!$C$60</x:f>
        <x:v>0</x:v>
      </x:c>
      <x:c r="N10" s="264" t="str">
        <x:v>Aktifkan bila kemiringan/hidrologi memerlukan; bukan pengganti desain teknik</x:v>
      </x:c>
      <x:c r="O10" s="264"/>
      <x:c r="P10" s="264"/>
      <x:c r="Q10" s="264"/>
      <x:c r="R10" s="264"/>
      <x:c r="S10" s="264"/>
      <x:c r="T10" s="264"/>
      <x:c r="U10" s="264"/>
      <x:c r="V10" s="264"/>
      <x:c r="W10" s="264"/>
      <x:c r="X10" s="264"/>
      <x:c r="Y10" s="264"/>
      <x:c r="Z10" s="264"/>
      <x:c r="AA10" s="264"/>
      <x:c r="AB10" s="264"/>
      <x:c r="AC10" s="264"/>
      <x:c r="AD10" s="264"/>
      <x:c r="AE10" s="264"/>
      <x:c r="AF10" s="264"/>
      <x:c r="AG10" s="264"/>
      <x:c r="AH10" s="264"/>
      <x:c r="AI10" s="264"/>
      <x:c r="AJ10" s="264"/>
    </x:row>
    <x:row r="11">
      <x:c r="A11" s="389" t="n">
        <x:v>0</x:v>
      </x:c>
      <x:c r="B11" s="389" t="str">
        <x:v>Tithonia</x:v>
      </x:c>
      <x:c r="C11" s="389" t="str">
        <x:v>Pagar biomassa dan daur ulang hara</x:v>
      </x:c>
      <x:c r="D11" s="389" t="n">
        <x:v>50</x:v>
      </x:c>
      <x:c r="E11" s="385" t="n">
        <x:f>$A11*$D11*'02_Assumptions'!$C$24</x:f>
        <x:v>0</x:v>
      </x:c>
      <x:c r="F11" s="386" t="n">
        <x:v>0.1</x:v>
      </x:c>
      <x:c r="G11" s="385" t="n">
        <x:f>$E11*(1+$F11)</x:f>
        <x:v>0</x:v>
      </x:c>
      <x:c r="H11" s="387" t="n">
        <x:v>2000</x:v>
      </x:c>
      <x:c r="I11" s="287" t="n">
        <x:f>$G11*$H11</x:f>
        <x:v>0</x:v>
      </x:c>
      <x:c r="J11" s="386" t="n">
        <x:v>0.9</x:v>
      </x:c>
      <x:c r="K11" s="385" t="n">
        <x:f>$E11*$J11</x:f>
        <x:v>0</x:v>
      </x:c>
      <x:c r="L11" s="388" t="n">
        <x:v>0.02</x:v>
      </x:c>
      <x:c r="M11" s="287" t="n">
        <x:f>$E11*$L11*'02_Assumptions'!$C$60</x:f>
        <x:v>0</x:v>
      </x:c>
      <x:c r="N11" s="264" t="str">
        <x:v>Perlu pangkas dan benamkan biomassa; cegah penyebaran tidak terkendali</x:v>
      </x:c>
      <x:c r="O11" s="264"/>
      <x:c r="P11" s="264"/>
      <x:c r="Q11" s="264"/>
      <x:c r="R11" s="264"/>
      <x:c r="S11" s="264"/>
      <x:c r="T11" s="264"/>
      <x:c r="U11" s="264"/>
      <x:c r="V11" s="264"/>
      <x:c r="W11" s="264"/>
      <x:c r="X11" s="264"/>
      <x:c r="Y11" s="264"/>
      <x:c r="Z11" s="264"/>
      <x:c r="AA11" s="264"/>
      <x:c r="AB11" s="264"/>
      <x:c r="AC11" s="264"/>
      <x:c r="AD11" s="264"/>
      <x:c r="AE11" s="264"/>
      <x:c r="AF11" s="264"/>
      <x:c r="AG11" s="264"/>
      <x:c r="AH11" s="264"/>
      <x:c r="AI11" s="264"/>
      <x:c r="AJ11" s="264"/>
    </x:row>
    <x:row r="12">
      <x:c r="A12" s="389" t="n">
        <x:v>0</x:v>
      </x:c>
      <x:c r="B12" s="389" t="str">
        <x:v>Tambahan 5</x:v>
      </x:c>
      <x:c r="C12" s="389" t="str">
        <x:v>Isi peran</x:v>
      </x:c>
      <x:c r="D12" s="389" t="n">
        <x:v>0</x:v>
      </x:c>
      <x:c r="E12" s="385" t="n">
        <x:f>$A12*$D12*'02_Assumptions'!$C$24</x:f>
        <x:v>0</x:v>
      </x:c>
      <x:c r="F12" s="386" t="n">
        <x:v>0.1</x:v>
      </x:c>
      <x:c r="G12" s="385" t="n">
        <x:f>$E12*(1+$F12)</x:f>
        <x:v>0</x:v>
      </x:c>
      <x:c r="H12" s="387" t="n">
        <x:v>0</x:v>
      </x:c>
      <x:c r="I12" s="287" t="n">
        <x:f>$G12*$H12</x:f>
        <x:v>0</x:v>
      </x:c>
      <x:c r="J12" s="386" t="n">
        <x:v>0.9</x:v>
      </x:c>
      <x:c r="K12" s="385" t="n">
        <x:f>$E12*$J12</x:f>
        <x:v>0</x:v>
      </x:c>
      <x:c r="L12" s="388" t="n">
        <x:v>0</x:v>
      </x:c>
      <x:c r="M12" s="287" t="n">
        <x:f>$E12*$L12*'02_Assumptions'!$C$60</x:f>
        <x:v>0</x:v>
      </x:c>
      <x:c r="N12" s="264" t="str">
        <x:v>Baris cadangan</x:v>
      </x:c>
      <x:c r="O12" s="264"/>
      <x:c r="P12" s="264"/>
      <x:c r="Q12" s="264"/>
      <x:c r="R12" s="264"/>
      <x:c r="S12" s="264"/>
      <x:c r="T12" s="264"/>
      <x:c r="U12" s="264"/>
      <x:c r="V12" s="264"/>
      <x:c r="W12" s="264"/>
      <x:c r="X12" s="264"/>
      <x:c r="Y12" s="264"/>
      <x:c r="Z12" s="264"/>
      <x:c r="AA12" s="264"/>
      <x:c r="AB12" s="264"/>
      <x:c r="AC12" s="264"/>
      <x:c r="AD12" s="264"/>
      <x:c r="AE12" s="264"/>
      <x:c r="AF12" s="264"/>
      <x:c r="AG12" s="264"/>
      <x:c r="AH12" s="264"/>
      <x:c r="AI12" s="264"/>
      <x:c r="AJ12" s="264"/>
    </x:row>
    <x:row r="13">
      <x:c r="A13" s="389" t="n">
        <x:v>0</x:v>
      </x:c>
      <x:c r="B13" s="389" t="str">
        <x:v>Tambahan 6</x:v>
      </x:c>
      <x:c r="C13" s="389" t="str">
        <x:v>Isi peran</x:v>
      </x:c>
      <x:c r="D13" s="389" t="n">
        <x:v>0</x:v>
      </x:c>
      <x:c r="E13" s="385" t="n">
        <x:f>$A13*$D13*'02_Assumptions'!$C$24</x:f>
        <x:v>0</x:v>
      </x:c>
      <x:c r="F13" s="386" t="n">
        <x:v>0.1</x:v>
      </x:c>
      <x:c r="G13" s="385" t="n">
        <x:f>$E13*(1+$F13)</x:f>
        <x:v>0</x:v>
      </x:c>
      <x:c r="H13" s="387" t="n">
        <x:v>0</x:v>
      </x:c>
      <x:c r="I13" s="287" t="n">
        <x:f>$G13*$H13</x:f>
        <x:v>0</x:v>
      </x:c>
      <x:c r="J13" s="386" t="n">
        <x:v>0.9</x:v>
      </x:c>
      <x:c r="K13" s="385" t="n">
        <x:f>$E13*$J13</x:f>
        <x:v>0</x:v>
      </x:c>
      <x:c r="L13" s="388" t="n">
        <x:v>0</x:v>
      </x:c>
      <x:c r="M13" s="287" t="n">
        <x:f>$E13*$L13*'02_Assumptions'!$C$60</x:f>
        <x:v>0</x:v>
      </x:c>
      <x:c r="N13" s="264" t="str">
        <x:v>Baris cadangan</x:v>
      </x:c>
      <x:c r="O13" s="264"/>
      <x:c r="P13" s="264"/>
      <x:c r="Q13" s="264"/>
      <x:c r="R13" s="264"/>
      <x:c r="S13" s="264"/>
      <x:c r="T13" s="264"/>
      <x:c r="U13" s="264"/>
      <x:c r="V13" s="264"/>
      <x:c r="W13" s="264"/>
      <x:c r="X13" s="264"/>
      <x:c r="Y13" s="264"/>
      <x:c r="Z13" s="264"/>
      <x:c r="AA13" s="264"/>
      <x:c r="AB13" s="264"/>
      <x:c r="AC13" s="264"/>
      <x:c r="AD13" s="264"/>
      <x:c r="AE13" s="264"/>
      <x:c r="AF13" s="264"/>
      <x:c r="AG13" s="264"/>
      <x:c r="AH13" s="264"/>
      <x:c r="AI13" s="264"/>
      <x:c r="AJ13" s="264"/>
    </x:row>
    <x:row r="14">
      <x:c r="A14" s="389" t="n">
        <x:v>0</x:v>
      </x:c>
      <x:c r="B14" s="389" t="str">
        <x:v>Tambahan 7</x:v>
      </x:c>
      <x:c r="C14" s="389" t="str">
        <x:v>Isi peran</x:v>
      </x:c>
      <x:c r="D14" s="389" t="n">
        <x:v>0</x:v>
      </x:c>
      <x:c r="E14" s="385" t="n">
        <x:f>$A14*$D14*'02_Assumptions'!$C$24</x:f>
        <x:v>0</x:v>
      </x:c>
      <x:c r="F14" s="386" t="n">
        <x:v>0.1</x:v>
      </x:c>
      <x:c r="G14" s="385" t="n">
        <x:f>$E14*(1+$F14)</x:f>
        <x:v>0</x:v>
      </x:c>
      <x:c r="H14" s="387" t="n">
        <x:v>0</x:v>
      </x:c>
      <x:c r="I14" s="287" t="n">
        <x:f>$G14*$H14</x:f>
        <x:v>0</x:v>
      </x:c>
      <x:c r="J14" s="386" t="n">
        <x:v>0.9</x:v>
      </x:c>
      <x:c r="K14" s="385" t="n">
        <x:f>$E14*$J14</x:f>
        <x:v>0</x:v>
      </x:c>
      <x:c r="L14" s="388" t="n">
        <x:v>0</x:v>
      </x:c>
      <x:c r="M14" s="287" t="n">
        <x:f>$E14*$L14*'02_Assumptions'!$C$60</x:f>
        <x:v>0</x:v>
      </x:c>
      <x:c r="N14" s="264" t="str">
        <x:v>Baris cadangan</x:v>
      </x:c>
      <x:c r="O14" s="264"/>
      <x:c r="P14" s="264"/>
      <x:c r="Q14" s="264"/>
      <x:c r="R14" s="264"/>
      <x:c r="S14" s="264"/>
      <x:c r="T14" s="264"/>
      <x:c r="U14" s="264"/>
      <x:c r="V14" s="264"/>
      <x:c r="W14" s="264"/>
      <x:c r="X14" s="264"/>
      <x:c r="Y14" s="264"/>
      <x:c r="Z14" s="264"/>
      <x:c r="AA14" s="264"/>
      <x:c r="AB14" s="264"/>
      <x:c r="AC14" s="264"/>
      <x:c r="AD14" s="264"/>
      <x:c r="AE14" s="264"/>
      <x:c r="AF14" s="264"/>
      <x:c r="AG14" s="264"/>
      <x:c r="AH14" s="264"/>
      <x:c r="AI14" s="264"/>
      <x:c r="AJ14" s="264"/>
    </x:row>
    <x:row r="15">
      <x:c r="A15" s="389" t="n">
        <x:v>0</x:v>
      </x:c>
      <x:c r="B15" s="389" t="str">
        <x:v>Tambahan 8</x:v>
      </x:c>
      <x:c r="C15" s="389" t="str">
        <x:v>Isi peran</x:v>
      </x:c>
      <x:c r="D15" s="389" t="n">
        <x:v>0</x:v>
      </x:c>
      <x:c r="E15" s="385" t="n">
        <x:f>$A15*$D15*'02_Assumptions'!$C$24</x:f>
        <x:v>0</x:v>
      </x:c>
      <x:c r="F15" s="386" t="n">
        <x:v>0.1</x:v>
      </x:c>
      <x:c r="G15" s="385" t="n">
        <x:f>$E15*(1+$F15)</x:f>
        <x:v>0</x:v>
      </x:c>
      <x:c r="H15" s="387" t="n">
        <x:v>0</x:v>
      </x:c>
      <x:c r="I15" s="287" t="n">
        <x:f>$G15*$H15</x:f>
        <x:v>0</x:v>
      </x:c>
      <x:c r="J15" s="386" t="n">
        <x:v>0.9</x:v>
      </x:c>
      <x:c r="K15" s="385" t="n">
        <x:f>$E15*$J15</x:f>
        <x:v>0</x:v>
      </x:c>
      <x:c r="L15" s="388" t="n">
        <x:v>0</x:v>
      </x:c>
      <x:c r="M15" s="287" t="n">
        <x:f>$E15*$L15*'02_Assumptions'!$C$60</x:f>
        <x:v>0</x:v>
      </x:c>
      <x:c r="N15" s="264" t="str">
        <x:v>Baris cadangan</x:v>
      </x:c>
      <x:c r="O15" s="264"/>
      <x:c r="P15" s="264"/>
      <x:c r="Q15" s="264"/>
      <x:c r="R15" s="264"/>
      <x:c r="S15" s="264"/>
      <x:c r="T15" s="264"/>
      <x:c r="U15" s="264"/>
      <x:c r="V15" s="264"/>
      <x:c r="W15" s="264"/>
      <x:c r="X15" s="264"/>
      <x:c r="Y15" s="264"/>
      <x:c r="Z15" s="264"/>
      <x:c r="AA15" s="264"/>
      <x:c r="AB15" s="264"/>
      <x:c r="AC15" s="264"/>
      <x:c r="AD15" s="264"/>
      <x:c r="AE15" s="264"/>
      <x:c r="AF15" s="264"/>
      <x:c r="AG15" s="264"/>
      <x:c r="AH15" s="264"/>
      <x:c r="AI15" s="264"/>
      <x:c r="AJ15" s="264"/>
    </x:row>
    <x:row r="16">
      <x:c r="A16" s="264"/>
      <x:c r="B16" s="264"/>
      <x:c r="C16" s="264"/>
      <x:c r="D16" s="264"/>
      <x:c r="E16" s="264"/>
      <x:c r="F16" s="264"/>
      <x:c r="G16" s="264"/>
      <x:c r="H16" s="264"/>
      <x:c r="I16" s="264"/>
      <x:c r="J16" s="264"/>
      <x:c r="K16" s="264"/>
      <x:c r="L16" s="264"/>
      <x:c r="M16" s="264"/>
      <x:c r="N16" s="264"/>
      <x:c r="O16" s="264"/>
      <x:c r="P16" s="264"/>
      <x:c r="Q16" s="264"/>
      <x:c r="R16" s="264"/>
      <x:c r="S16" s="264"/>
      <x:c r="T16" s="264"/>
      <x:c r="U16" s="264"/>
      <x:c r="V16" s="264"/>
      <x:c r="W16" s="264"/>
      <x:c r="X16" s="264"/>
      <x:c r="Y16" s="264"/>
      <x:c r="Z16" s="264"/>
      <x:c r="AA16" s="264"/>
      <x:c r="AB16" s="264"/>
      <x:c r="AC16" s="264"/>
      <x:c r="AD16" s="264"/>
      <x:c r="AE16" s="264"/>
      <x:c r="AF16" s="264"/>
      <x:c r="AG16" s="264"/>
      <x:c r="AH16" s="264"/>
      <x:c r="AI16" s="264"/>
      <x:c r="AJ16" s="264"/>
    </x:row>
    <x:row r="17">
      <x:c r="A17" s="264"/>
      <x:c r="B17" s="264"/>
      <x:c r="C17" s="264"/>
      <x:c r="D17" s="264"/>
      <x:c r="E17" s="264"/>
      <x:c r="F17" s="264"/>
      <x:c r="G17" s="264"/>
      <x:c r="H17" s="264"/>
      <x:c r="I17" s="264"/>
      <x:c r="J17" s="264"/>
      <x:c r="K17" s="264"/>
      <x:c r="L17" s="264"/>
      <x:c r="M17" s="264"/>
      <x:c r="N17" s="264"/>
      <x:c r="O17" s="264"/>
      <x:c r="P17" s="264"/>
      <x:c r="Q17" s="264"/>
      <x:c r="R17" s="264"/>
      <x:c r="S17" s="264"/>
      <x:c r="T17" s="264"/>
      <x:c r="U17" s="264"/>
      <x:c r="V17" s="264"/>
      <x:c r="W17" s="264"/>
      <x:c r="X17" s="264"/>
      <x:c r="Y17" s="264"/>
      <x:c r="Z17" s="264"/>
      <x:c r="AA17" s="264"/>
      <x:c r="AB17" s="264"/>
      <x:c r="AC17" s="264"/>
      <x:c r="AD17" s="264"/>
      <x:c r="AE17" s="264"/>
      <x:c r="AF17" s="264"/>
      <x:c r="AG17" s="264"/>
      <x:c r="AH17" s="264"/>
      <x:c r="AI17" s="264"/>
      <x:c r="AJ17" s="264"/>
    </x:row>
    <x:row r="18">
      <x:c r="A18" s="390" t="str">
        <x:v>TOTAL SPESIES OPSIONAL/TAMBAHAN</x:v>
      </x:c>
      <x:c r="B18" s="390"/>
      <x:c r="C18" s="390"/>
      <x:c r="D18" s="390"/>
      <x:c r="E18" s="390"/>
      <x:c r="F18" s="390"/>
      <x:c r="G18" s="390"/>
      <x:c r="H18" s="390"/>
      <x:c r="I18" s="390" t="n">
        <x:f>SUM(I6:I15)</x:f>
        <x:v>68640000</x:v>
      </x:c>
      <x:c r="J18" s="390"/>
      <x:c r="K18" s="390"/>
      <x:c r="L18" s="390"/>
      <x:c r="M18" s="390" t="n">
        <x:f>SUM(M6:M15)</x:f>
        <x:v>20592000.000000004</x:v>
      </x:c>
      <x:c r="N18" s="390"/>
      <x:c r="O18" s="264"/>
      <x:c r="P18" s="264"/>
      <x:c r="Q18" s="264"/>
      <x:c r="R18" s="264"/>
      <x:c r="S18" s="264"/>
      <x:c r="T18" s="264"/>
      <x:c r="U18" s="264"/>
      <x:c r="V18" s="264"/>
      <x:c r="W18" s="264"/>
      <x:c r="X18" s="264"/>
      <x:c r="Y18" s="264"/>
      <x:c r="Z18" s="264"/>
      <x:c r="AA18" s="264"/>
      <x:c r="AB18" s="264"/>
      <x:c r="AC18" s="264"/>
      <x:c r="AD18" s="264"/>
      <x:c r="AE18" s="264"/>
      <x:c r="AF18" s="264"/>
      <x:c r="AG18" s="264"/>
      <x:c r="AH18" s="264"/>
      <x:c r="AI18" s="264"/>
      <x:c r="AJ18" s="264"/>
    </x:row>
    <x:row r="19">
      <x:c r="A19" s="264"/>
      <x:c r="B19" s="264"/>
      <x:c r="C19" s="264"/>
      <x:c r="D19" s="264"/>
      <x:c r="E19" s="264"/>
      <x:c r="F19" s="264"/>
      <x:c r="G19" s="264"/>
      <x:c r="H19" s="264"/>
      <x:c r="I19" s="264"/>
      <x:c r="J19" s="264"/>
      <x:c r="K19" s="264"/>
      <x:c r="L19" s="264"/>
      <x:c r="M19" s="264"/>
      <x:c r="N19" s="264"/>
      <x:c r="O19" s="264"/>
      <x:c r="P19" s="264"/>
      <x:c r="Q19" s="264"/>
      <x:c r="R19" s="264"/>
      <x:c r="S19" s="264"/>
      <x:c r="T19" s="264"/>
      <x:c r="U19" s="264"/>
      <x:c r="V19" s="264"/>
      <x:c r="W19" s="264"/>
      <x:c r="X19" s="264"/>
      <x:c r="Y19" s="264"/>
      <x:c r="Z19" s="264"/>
      <x:c r="AA19" s="264"/>
      <x:c r="AB19" s="264"/>
      <x:c r="AC19" s="264"/>
      <x:c r="AD19" s="264"/>
      <x:c r="AE19" s="264"/>
      <x:c r="AF19" s="264"/>
      <x:c r="AG19" s="264"/>
      <x:c r="AH19" s="264"/>
      <x:c r="AI19" s="264"/>
      <x:c r="AJ19" s="264"/>
    </x:row>
    <x:row r="20">
      <x:c r="A20" s="264"/>
      <x:c r="B20" s="264"/>
      <x:c r="C20" s="264"/>
      <x:c r="D20" s="264"/>
      <x:c r="E20" s="264"/>
      <x:c r="F20" s="264"/>
      <x:c r="G20" s="264"/>
      <x:c r="H20" s="264"/>
      <x:c r="I20" s="264"/>
      <x:c r="J20" s="264"/>
      <x:c r="K20" s="264"/>
      <x:c r="L20" s="264"/>
      <x:c r="M20" s="264"/>
      <x:c r="N20" s="264"/>
      <x:c r="O20" s="264"/>
      <x:c r="P20" s="264"/>
      <x:c r="Q20" s="264"/>
      <x:c r="R20" s="264"/>
      <x:c r="S20" s="264"/>
      <x:c r="T20" s="264"/>
      <x:c r="U20" s="264"/>
      <x:c r="V20" s="264"/>
      <x:c r="W20" s="264"/>
      <x:c r="X20" s="264"/>
      <x:c r="Y20" s="264"/>
      <x:c r="Z20" s="264"/>
      <x:c r="AA20" s="264"/>
      <x:c r="AB20" s="264"/>
      <x:c r="AC20" s="264"/>
      <x:c r="AD20" s="264"/>
      <x:c r="AE20" s="264"/>
      <x:c r="AF20" s="264"/>
      <x:c r="AG20" s="264"/>
      <x:c r="AH20" s="264"/>
      <x:c r="AI20" s="264"/>
      <x:c r="AJ20" s="264"/>
    </x:row>
    <x:row r="21" ht="20" customHeight="1">
      <x:c r="A21" s="383" t="str">
        <x:v>B. Produksi, pendapatan, dan biaya panen spesies opsional/tambahan</x:v>
      </x:c>
      <x:c r="B21" s="383"/>
      <x:c r="C21" s="383"/>
      <x:c r="D21" s="383"/>
      <x:c r="E21" s="383"/>
      <x:c r="F21" s="383"/>
      <x:c r="G21" s="383"/>
      <x:c r="H21" s="383"/>
      <x:c r="I21" s="383"/>
      <x:c r="J21" s="383"/>
      <x:c r="K21" s="383"/>
      <x:c r="L21" s="383"/>
      <x:c r="M21" s="383"/>
      <x:c r="N21" s="383"/>
      <x:c r="O21" s="383"/>
      <x:c r="P21" s="383"/>
      <x:c r="Q21" s="383"/>
      <x:c r="R21" s="383"/>
      <x:c r="S21" s="383"/>
      <x:c r="T21" s="383"/>
      <x:c r="U21" s="383"/>
      <x:c r="V21" s="383"/>
      <x:c r="W21" s="383"/>
      <x:c r="X21" s="383"/>
      <x:c r="Y21" s="383"/>
      <x:c r="Z21" s="383"/>
      <x:c r="AA21" s="383"/>
      <x:c r="AB21" s="383"/>
      <x:c r="AC21" s="383"/>
      <x:c r="AD21" s="383"/>
      <x:c r="AE21" s="383"/>
      <x:c r="AF21" s="383"/>
      <x:c r="AG21" s="383"/>
      <x:c r="AH21" s="383"/>
      <x:c r="AI21" s="383"/>
      <x:c r="AJ21" s="383"/>
    </x:row>
    <x:row r="22" ht="32" customHeight="1">
      <x:c r="A22" s="368" t="str">
        <x:v>Aktif</x:v>
      </x:c>
      <x:c r="B22" s="368" t="str">
        <x:v>Komoditas</x:v>
      </x:c>
      <x:c r="C22" s="368" t="str">
        <x:v>Tanaman hidup</x:v>
      </x:c>
      <x:c r="D22" s="368" t="str">
        <x:v>Harga jual dasar</x:v>
      </x:c>
      <x:c r="E22" s="368" t="str">
        <x:v>Biaya panen/unit</x:v>
      </x:c>
      <x:c r="F22" s="368" t="str">
        <x:v>T1</x:v>
      </x:c>
      <x:c r="G22" s="368" t="str">
        <x:v>T2</x:v>
      </x:c>
      <x:c r="H22" s="368" t="str">
        <x:v>T3</x:v>
      </x:c>
      <x:c r="I22" s="368" t="str">
        <x:v>T4</x:v>
      </x:c>
      <x:c r="J22" s="368" t="str">
        <x:v>T5</x:v>
      </x:c>
      <x:c r="K22" s="368" t="str">
        <x:v>T6</x:v>
      </x:c>
      <x:c r="L22" s="368" t="str">
        <x:v>T7</x:v>
      </x:c>
      <x:c r="M22" s="368" t="str">
        <x:v>T8</x:v>
      </x:c>
      <x:c r="N22" s="368" t="str">
        <x:v>T9</x:v>
      </x:c>
      <x:c r="O22" s="368" t="str">
        <x:v>T10</x:v>
      </x:c>
      <x:c r="P22" s="368" t="str">
        <x:v>Pendapatan T1</x:v>
      </x:c>
      <x:c r="Q22" s="368" t="str">
        <x:v>Pendapatan T2</x:v>
      </x:c>
      <x:c r="R22" s="368" t="str">
        <x:v>Pendapatan T3</x:v>
      </x:c>
      <x:c r="S22" s="368" t="str">
        <x:v>Pendapatan T4</x:v>
      </x:c>
      <x:c r="T22" s="368" t="str">
        <x:v>Pendapatan T5</x:v>
      </x:c>
      <x:c r="U22" s="368" t="str">
        <x:v>Pendapatan T6</x:v>
      </x:c>
      <x:c r="V22" s="368" t="str">
        <x:v>Pendapatan T7</x:v>
      </x:c>
      <x:c r="W22" s="368" t="str">
        <x:v>Pendapatan T8</x:v>
      </x:c>
      <x:c r="X22" s="368" t="str">
        <x:v>Pendapatan T9</x:v>
      </x:c>
      <x:c r="Y22" s="368" t="str">
        <x:v>Pendapatan T10</x:v>
      </x:c>
      <x:c r="Z22" s="368" t="str">
        <x:v>Biaya panen T1</x:v>
      </x:c>
      <x:c r="AA22" s="368" t="str">
        <x:v>Biaya panen T2</x:v>
      </x:c>
      <x:c r="AB22" s="368" t="str">
        <x:v>Biaya panen T3</x:v>
      </x:c>
      <x:c r="AC22" s="368" t="str">
        <x:v>Biaya panen T4</x:v>
      </x:c>
      <x:c r="AD22" s="368" t="str">
        <x:v>Biaya panen T5</x:v>
      </x:c>
      <x:c r="AE22" s="368" t="str">
        <x:v>Biaya panen T6</x:v>
      </x:c>
      <x:c r="AF22" s="368" t="str">
        <x:v>Biaya panen T7</x:v>
      </x:c>
      <x:c r="AG22" s="368" t="str">
        <x:v>Biaya panen T8</x:v>
      </x:c>
      <x:c r="AH22" s="368" t="str">
        <x:v>Biaya panen T9</x:v>
      </x:c>
      <x:c r="AI22" s="368" t="str">
        <x:v>Biaya panen T10</x:v>
      </x:c>
      <x:c r="AJ22" s="368" t="str">
        <x:v>Catatan</x:v>
      </x:c>
    </x:row>
    <x:row r="23">
      <x:c r="A23" s="384" t="n">
        <x:f>$A$6</x:f>
        <x:v>0</x:v>
      </x:c>
      <x:c r="B23" s="384" t="str">
        <x:f>$B$6</x:f>
        <x:v>Nanas</x:v>
      </x:c>
      <x:c r="C23" s="384" t="n">
        <x:f>$K$6</x:f>
        <x:v>0</x:v>
      </x:c>
      <x:c r="D23" s="387" t="n">
        <x:v>6000</x:v>
      </x:c>
      <x:c r="E23" s="387" t="n">
        <x:v>1000</x:v>
      </x:c>
      <x:c r="F23" s="391" t="n">
        <x:v>0</x:v>
      </x:c>
      <x:c r="G23" s="391" t="n">
        <x:v>1</x:v>
      </x:c>
      <x:c r="H23" s="391" t="n">
        <x:v>0.6</x:v>
      </x:c>
      <x:c r="I23" s="391" t="n">
        <x:v>0</x:v>
      </x:c>
      <x:c r="J23" s="391" t="n">
        <x:v>0</x:v>
      </x:c>
      <x:c r="K23" s="391" t="n">
        <x:v>0</x:v>
      </x:c>
      <x:c r="L23" s="391" t="n">
        <x:v>0</x:v>
      </x:c>
      <x:c r="M23" s="391" t="n">
        <x:v>0</x:v>
      </x:c>
      <x:c r="N23" s="391" t="n">
        <x:v>0</x:v>
      </x:c>
      <x:c r="O23" s="391" t="n">
        <x:v>0</x:v>
      </x:c>
      <x:c r="P23" s="287" t="n">
        <x:f>$A23*$C23*F23*$D23*(1+'02_Assumptions'!$C$12)^0</x:f>
        <x:v>0</x:v>
      </x:c>
      <x:c r="Q23" s="287" t="n">
        <x:f>$A23*$C23*G23*$D23*(1+'02_Assumptions'!$C$12)^1</x:f>
        <x:v>0</x:v>
      </x:c>
      <x:c r="R23" s="287" t="n">
        <x:f>$A23*$C23*H23*$D23*(1+'02_Assumptions'!$C$12)^2</x:f>
        <x:v>0</x:v>
      </x:c>
      <x:c r="S23" s="287" t="n">
        <x:f>$A23*$C23*I23*$D23*(1+'02_Assumptions'!$C$12)^3</x:f>
        <x:v>0</x:v>
      </x:c>
      <x:c r="T23" s="287" t="n">
        <x:f>$A23*$C23*J23*$D23*(1+'02_Assumptions'!$C$12)^4</x:f>
        <x:v>0</x:v>
      </x:c>
      <x:c r="U23" s="287" t="n">
        <x:f>$A23*$C23*K23*$D23*(1+'02_Assumptions'!$C$12)^5</x:f>
        <x:v>0</x:v>
      </x:c>
      <x:c r="V23" s="287" t="n">
        <x:f>$A23*$C23*L23*$D23*(1+'02_Assumptions'!$C$12)^6</x:f>
        <x:v>0</x:v>
      </x:c>
      <x:c r="W23" s="287" t="n">
        <x:f>$A23*$C23*M23*$D23*(1+'02_Assumptions'!$C$12)^7</x:f>
        <x:v>0</x:v>
      </x:c>
      <x:c r="X23" s="287" t="n">
        <x:f>$A23*$C23*N23*$D23*(1+'02_Assumptions'!$C$12)^8</x:f>
        <x:v>0</x:v>
      </x:c>
      <x:c r="Y23" s="287" t="n">
        <x:f>$A23*$C23*O23*$D23*(1+'02_Assumptions'!$C$12)^9</x:f>
        <x:v>0</x:v>
      </x:c>
      <x:c r="Z23" s="287" t="n">
        <x:f>$A23*$C23*F23*$E23*(1+'02_Assumptions'!$C$11)^0</x:f>
        <x:v>0</x:v>
      </x:c>
      <x:c r="AA23" s="287" t="n">
        <x:f>$A23*$C23*G23*$E23*(1+'02_Assumptions'!$C$11)^1</x:f>
        <x:v>0</x:v>
      </x:c>
      <x:c r="AB23" s="287" t="n">
        <x:f>$A23*$C23*H23*$E23*(1+'02_Assumptions'!$C$11)^2</x:f>
        <x:v>0</x:v>
      </x:c>
      <x:c r="AC23" s="287" t="n">
        <x:f>$A23*$C23*I23*$E23*(1+'02_Assumptions'!$C$11)^3</x:f>
        <x:v>0</x:v>
      </x:c>
      <x:c r="AD23" s="287" t="n">
        <x:f>$A23*$C23*J23*$E23*(1+'02_Assumptions'!$C$11)^4</x:f>
        <x:v>0</x:v>
      </x:c>
      <x:c r="AE23" s="287" t="n">
        <x:f>$A23*$C23*K23*$E23*(1+'02_Assumptions'!$C$11)^5</x:f>
        <x:v>0</x:v>
      </x:c>
      <x:c r="AF23" s="287" t="n">
        <x:f>$A23*$C23*L23*$E23*(1+'02_Assumptions'!$C$11)^6</x:f>
        <x:v>0</x:v>
      </x:c>
      <x:c r="AG23" s="287" t="n">
        <x:f>$A23*$C23*M23*$E23*(1+'02_Assumptions'!$C$11)^7</x:f>
        <x:v>0</x:v>
      </x:c>
      <x:c r="AH23" s="287" t="n">
        <x:f>$A23*$C23*N23*$E23*(1+'02_Assumptions'!$C$11)^8</x:f>
        <x:v>0</x:v>
      </x:c>
      <x:c r="AI23" s="287" t="n">
        <x:f>$A23*$C23*O23*$E23*(1+'02_Assumptions'!$C$11)^9</x:f>
        <x:v>0</x:v>
      </x:c>
      <x:c r="AJ23" s="264" t="str">
        <x:v>Nanas: kg layak jual/tanaman; satu tanaman utama + ratoon konservatif</x:v>
      </x:c>
    </x:row>
    <x:row r="24">
      <x:c r="A24" s="384" t="n">
        <x:f>$A$7</x:f>
        <x:v>1</x:v>
      </x:c>
      <x:c r="B24" s="384" t="str">
        <x:f>$B$7</x:f>
        <x:v>Arachis pintoi</x:v>
      </x:c>
      <x:c r="C24" s="384" t="n">
        <x:f>$K$7</x:f>
        <x:v>57.2</x:v>
      </x:c>
      <x:c r="D24" s="387" t="n">
        <x:v>0</x:v>
      </x:c>
      <x:c r="E24" s="387" t="n">
        <x:v>0</x:v>
      </x:c>
      <x:c r="F24" s="391" t="n">
        <x:v>0</x:v>
      </x:c>
      <x:c r="G24" s="391" t="n">
        <x:v>0</x:v>
      </x:c>
      <x:c r="H24" s="391" t="n">
        <x:v>0</x:v>
      </x:c>
      <x:c r="I24" s="391" t="n">
        <x:v>0</x:v>
      </x:c>
      <x:c r="J24" s="391" t="n">
        <x:v>0</x:v>
      </x:c>
      <x:c r="K24" s="391" t="n">
        <x:v>0</x:v>
      </x:c>
      <x:c r="L24" s="391" t="n">
        <x:v>0</x:v>
      </x:c>
      <x:c r="M24" s="391" t="n">
        <x:v>0</x:v>
      </x:c>
      <x:c r="N24" s="391" t="n">
        <x:v>0</x:v>
      </x:c>
      <x:c r="O24" s="391" t="n">
        <x:v>0</x:v>
      </x:c>
      <x:c r="P24" s="287" t="n">
        <x:f>$A24*$C24*F24*$D24*(1+'02_Assumptions'!$C$12)^0</x:f>
        <x:v>0</x:v>
      </x:c>
      <x:c r="Q24" s="287" t="n">
        <x:f>$A24*$C24*G24*$D24*(1+'02_Assumptions'!$C$12)^1</x:f>
        <x:v>0</x:v>
      </x:c>
      <x:c r="R24" s="287" t="n">
        <x:f>$A24*$C24*H24*$D24*(1+'02_Assumptions'!$C$12)^2</x:f>
        <x:v>0</x:v>
      </x:c>
      <x:c r="S24" s="287" t="n">
        <x:f>$A24*$C24*I24*$D24*(1+'02_Assumptions'!$C$12)^3</x:f>
        <x:v>0</x:v>
      </x:c>
      <x:c r="T24" s="287" t="n">
        <x:f>$A24*$C24*J24*$D24*(1+'02_Assumptions'!$C$12)^4</x:f>
        <x:v>0</x:v>
      </x:c>
      <x:c r="U24" s="287" t="n">
        <x:f>$A24*$C24*K24*$D24*(1+'02_Assumptions'!$C$12)^5</x:f>
        <x:v>0</x:v>
      </x:c>
      <x:c r="V24" s="287" t="n">
        <x:f>$A24*$C24*L24*$D24*(1+'02_Assumptions'!$C$12)^6</x:f>
        <x:v>0</x:v>
      </x:c>
      <x:c r="W24" s="287" t="n">
        <x:f>$A24*$C24*M24*$D24*(1+'02_Assumptions'!$C$12)^7</x:f>
        <x:v>0</x:v>
      </x:c>
      <x:c r="X24" s="287" t="n">
        <x:f>$A24*$C24*N24*$D24*(1+'02_Assumptions'!$C$12)^8</x:f>
        <x:v>0</x:v>
      </x:c>
      <x:c r="Y24" s="287" t="n">
        <x:f>$A24*$C24*O24*$D24*(1+'02_Assumptions'!$C$12)^9</x:f>
        <x:v>0</x:v>
      </x:c>
      <x:c r="Z24" s="287" t="n">
        <x:f>$A24*$C24*F24*$E24*(1+'02_Assumptions'!$C$11)^0</x:f>
        <x:v>0</x:v>
      </x:c>
      <x:c r="AA24" s="287" t="n">
        <x:f>$A24*$C24*G24*$E24*(1+'02_Assumptions'!$C$11)^1</x:f>
        <x:v>0</x:v>
      </x:c>
      <x:c r="AB24" s="287" t="n">
        <x:f>$A24*$C24*H24*$E24*(1+'02_Assumptions'!$C$11)^2</x:f>
        <x:v>0</x:v>
      </x:c>
      <x:c r="AC24" s="287" t="n">
        <x:f>$A24*$C24*I24*$E24*(1+'02_Assumptions'!$C$11)^3</x:f>
        <x:v>0</x:v>
      </x:c>
      <x:c r="AD24" s="287" t="n">
        <x:f>$A24*$C24*J24*$E24*(1+'02_Assumptions'!$C$11)^4</x:f>
        <x:v>0</x:v>
      </x:c>
      <x:c r="AE24" s="287" t="n">
        <x:f>$A24*$C24*K24*$E24*(1+'02_Assumptions'!$C$11)^5</x:f>
        <x:v>0</x:v>
      </x:c>
      <x:c r="AF24" s="287" t="n">
        <x:f>$A24*$C24*L24*$E24*(1+'02_Assumptions'!$C$11)^6</x:f>
        <x:v>0</x:v>
      </x:c>
      <x:c r="AG24" s="287" t="n">
        <x:f>$A24*$C24*M24*$E24*(1+'02_Assumptions'!$C$11)^7</x:f>
        <x:v>0</x:v>
      </x:c>
      <x:c r="AH24" s="287" t="n">
        <x:f>$A24*$C24*N24*$E24*(1+'02_Assumptions'!$C$11)^8</x:f>
        <x:v>0</x:v>
      </x:c>
      <x:c r="AI24" s="287" t="n">
        <x:f>$A24*$C24*O24*$E24*(1+'02_Assumptions'!$C$11)^9</x:f>
        <x:v>0</x:v>
      </x:c>
      <x:c r="AJ24" s="264" t="str">
        <x:v>Arachis pintoi dihitung sebagai penghematan tidak langsung melalui penutupan tanah; pendapatan langsung ditetapkan nol</x:v>
      </x:c>
    </x:row>
    <x:row r="25">
      <x:c r="A25" s="384" t="n">
        <x:f>$A$8</x:f>
        <x:v>0</x:v>
      </x:c>
      <x:c r="B25" s="384" t="str">
        <x:f>$B$8</x:f>
        <x:v>Crotalaria juncea</x:v>
      </x:c>
      <x:c r="C25" s="384" t="n">
        <x:f>$K$8</x:f>
        <x:v>0</x:v>
      </x:c>
      <x:c r="D25" s="387" t="n">
        <x:v>0</x:v>
      </x:c>
      <x:c r="E25" s="387" t="n">
        <x:v>0</x:v>
      </x:c>
      <x:c r="F25" s="391" t="n">
        <x:v>0</x:v>
      </x:c>
      <x:c r="G25" s="391" t="n">
        <x:v>0</x:v>
      </x:c>
      <x:c r="H25" s="391" t="n">
        <x:v>0</x:v>
      </x:c>
      <x:c r="I25" s="391" t="n">
        <x:v>0</x:v>
      </x:c>
      <x:c r="J25" s="391" t="n">
        <x:v>0</x:v>
      </x:c>
      <x:c r="K25" s="391" t="n">
        <x:v>0</x:v>
      </x:c>
      <x:c r="L25" s="391" t="n">
        <x:v>0</x:v>
      </x:c>
      <x:c r="M25" s="391" t="n">
        <x:v>0</x:v>
      </x:c>
      <x:c r="N25" s="391" t="n">
        <x:v>0</x:v>
      </x:c>
      <x:c r="O25" s="391" t="n">
        <x:v>0</x:v>
      </x:c>
      <x:c r="P25" s="287" t="n">
        <x:f>$A25*$C25*F25*$D25*(1+'02_Assumptions'!$C$12)^0</x:f>
        <x:v>0</x:v>
      </x:c>
      <x:c r="Q25" s="287" t="n">
        <x:f>$A25*$C25*G25*$D25*(1+'02_Assumptions'!$C$12)^1</x:f>
        <x:v>0</x:v>
      </x:c>
      <x:c r="R25" s="287" t="n">
        <x:f>$A25*$C25*H25*$D25*(1+'02_Assumptions'!$C$12)^2</x:f>
        <x:v>0</x:v>
      </x:c>
      <x:c r="S25" s="287" t="n">
        <x:f>$A25*$C25*I25*$D25*(1+'02_Assumptions'!$C$12)^3</x:f>
        <x:v>0</x:v>
      </x:c>
      <x:c r="T25" s="287" t="n">
        <x:f>$A25*$C25*J25*$D25*(1+'02_Assumptions'!$C$12)^4</x:f>
        <x:v>0</x:v>
      </x:c>
      <x:c r="U25" s="287" t="n">
        <x:f>$A25*$C25*K25*$D25*(1+'02_Assumptions'!$C$12)^5</x:f>
        <x:v>0</x:v>
      </x:c>
      <x:c r="V25" s="287" t="n">
        <x:f>$A25*$C25*L25*$D25*(1+'02_Assumptions'!$C$12)^6</x:f>
        <x:v>0</x:v>
      </x:c>
      <x:c r="W25" s="287" t="n">
        <x:f>$A25*$C25*M25*$D25*(1+'02_Assumptions'!$C$12)^7</x:f>
        <x:v>0</x:v>
      </x:c>
      <x:c r="X25" s="287" t="n">
        <x:f>$A25*$C25*N25*$D25*(1+'02_Assumptions'!$C$12)^8</x:f>
        <x:v>0</x:v>
      </x:c>
      <x:c r="Y25" s="287" t="n">
        <x:f>$A25*$C25*O25*$D25*(1+'02_Assumptions'!$C$12)^9</x:f>
        <x:v>0</x:v>
      </x:c>
      <x:c r="Z25" s="287" t="n">
        <x:f>$A25*$C25*F25*$E25*(1+'02_Assumptions'!$C$11)^0</x:f>
        <x:v>0</x:v>
      </x:c>
      <x:c r="AA25" s="287" t="n">
        <x:f>$A25*$C25*G25*$E25*(1+'02_Assumptions'!$C$11)^1</x:f>
        <x:v>0</x:v>
      </x:c>
      <x:c r="AB25" s="287" t="n">
        <x:f>$A25*$C25*H25*$E25*(1+'02_Assumptions'!$C$11)^2</x:f>
        <x:v>0</x:v>
      </x:c>
      <x:c r="AC25" s="287" t="n">
        <x:f>$A25*$C25*I25*$E25*(1+'02_Assumptions'!$C$11)^3</x:f>
        <x:v>0</x:v>
      </x:c>
      <x:c r="AD25" s="287" t="n">
        <x:f>$A25*$C25*J25*$E25*(1+'02_Assumptions'!$C$11)^4</x:f>
        <x:v>0</x:v>
      </x:c>
      <x:c r="AE25" s="287" t="n">
        <x:f>$A25*$C25*K25*$E25*(1+'02_Assumptions'!$C$11)^5</x:f>
        <x:v>0</x:v>
      </x:c>
      <x:c r="AF25" s="287" t="n">
        <x:f>$A25*$C25*L25*$E25*(1+'02_Assumptions'!$C$11)^6</x:f>
        <x:v>0</x:v>
      </x:c>
      <x:c r="AG25" s="287" t="n">
        <x:f>$A25*$C25*M25*$E25*(1+'02_Assumptions'!$C$11)^7</x:f>
        <x:v>0</x:v>
      </x:c>
      <x:c r="AH25" s="287" t="n">
        <x:f>$A25*$C25*N25*$E25*(1+'02_Assumptions'!$C$11)^8</x:f>
        <x:v>0</x:v>
      </x:c>
      <x:c r="AI25" s="287" t="n">
        <x:f>$A25*$C25*O25*$E25*(1+'02_Assumptions'!$C$11)^9</x:f>
        <x:v>0</x:v>
      </x:c>
      <x:c r="AJ25" s="264"/>
    </x:row>
    <x:row r="26">
      <x:c r="A26" s="384" t="n">
        <x:f>$A$9</x:f>
        <x:v>0</x:v>
      </x:c>
      <x:c r="B26" s="384" t="str">
        <x:f>$B$9</x:f>
        <x:v>Mucuna/benguk</x:v>
      </x:c>
      <x:c r="C26" s="384" t="n">
        <x:f>$K$9</x:f>
        <x:v>0</x:v>
      </x:c>
      <x:c r="D26" s="387" t="n">
        <x:v>0</x:v>
      </x:c>
      <x:c r="E26" s="387" t="n">
        <x:v>0</x:v>
      </x:c>
      <x:c r="F26" s="391" t="n">
        <x:v>0</x:v>
      </x:c>
      <x:c r="G26" s="391" t="n">
        <x:v>0</x:v>
      </x:c>
      <x:c r="H26" s="391" t="n">
        <x:v>0</x:v>
      </x:c>
      <x:c r="I26" s="391" t="n">
        <x:v>0</x:v>
      </x:c>
      <x:c r="J26" s="391" t="n">
        <x:v>0</x:v>
      </x:c>
      <x:c r="K26" s="391" t="n">
        <x:v>0</x:v>
      </x:c>
      <x:c r="L26" s="391" t="n">
        <x:v>0</x:v>
      </x:c>
      <x:c r="M26" s="391" t="n">
        <x:v>0</x:v>
      </x:c>
      <x:c r="N26" s="391" t="n">
        <x:v>0</x:v>
      </x:c>
      <x:c r="O26" s="391" t="n">
        <x:v>0</x:v>
      </x:c>
      <x:c r="P26" s="287" t="n">
        <x:f>$A26*$C26*F26*$D26*(1+'02_Assumptions'!$C$12)^0</x:f>
        <x:v>0</x:v>
      </x:c>
      <x:c r="Q26" s="287" t="n">
        <x:f>$A26*$C26*G26*$D26*(1+'02_Assumptions'!$C$12)^1</x:f>
        <x:v>0</x:v>
      </x:c>
      <x:c r="R26" s="287" t="n">
        <x:f>$A26*$C26*H26*$D26*(1+'02_Assumptions'!$C$12)^2</x:f>
        <x:v>0</x:v>
      </x:c>
      <x:c r="S26" s="287" t="n">
        <x:f>$A26*$C26*I26*$D26*(1+'02_Assumptions'!$C$12)^3</x:f>
        <x:v>0</x:v>
      </x:c>
      <x:c r="T26" s="287" t="n">
        <x:f>$A26*$C26*J26*$D26*(1+'02_Assumptions'!$C$12)^4</x:f>
        <x:v>0</x:v>
      </x:c>
      <x:c r="U26" s="287" t="n">
        <x:f>$A26*$C26*K26*$D26*(1+'02_Assumptions'!$C$12)^5</x:f>
        <x:v>0</x:v>
      </x:c>
      <x:c r="V26" s="287" t="n">
        <x:f>$A26*$C26*L26*$D26*(1+'02_Assumptions'!$C$12)^6</x:f>
        <x:v>0</x:v>
      </x:c>
      <x:c r="W26" s="287" t="n">
        <x:f>$A26*$C26*M26*$D26*(1+'02_Assumptions'!$C$12)^7</x:f>
        <x:v>0</x:v>
      </x:c>
      <x:c r="X26" s="287" t="n">
        <x:f>$A26*$C26*N26*$D26*(1+'02_Assumptions'!$C$12)^8</x:f>
        <x:v>0</x:v>
      </x:c>
      <x:c r="Y26" s="287" t="n">
        <x:f>$A26*$C26*O26*$D26*(1+'02_Assumptions'!$C$12)^9</x:f>
        <x:v>0</x:v>
      </x:c>
      <x:c r="Z26" s="287" t="n">
        <x:f>$A26*$C26*F26*$E26*(1+'02_Assumptions'!$C$11)^0</x:f>
        <x:v>0</x:v>
      </x:c>
      <x:c r="AA26" s="287" t="n">
        <x:f>$A26*$C26*G26*$E26*(1+'02_Assumptions'!$C$11)^1</x:f>
        <x:v>0</x:v>
      </x:c>
      <x:c r="AB26" s="287" t="n">
        <x:f>$A26*$C26*H26*$E26*(1+'02_Assumptions'!$C$11)^2</x:f>
        <x:v>0</x:v>
      </x:c>
      <x:c r="AC26" s="287" t="n">
        <x:f>$A26*$C26*I26*$E26*(1+'02_Assumptions'!$C$11)^3</x:f>
        <x:v>0</x:v>
      </x:c>
      <x:c r="AD26" s="287" t="n">
        <x:f>$A26*$C26*J26*$E26*(1+'02_Assumptions'!$C$11)^4</x:f>
        <x:v>0</x:v>
      </x:c>
      <x:c r="AE26" s="287" t="n">
        <x:f>$A26*$C26*K26*$E26*(1+'02_Assumptions'!$C$11)^5</x:f>
        <x:v>0</x:v>
      </x:c>
      <x:c r="AF26" s="287" t="n">
        <x:f>$A26*$C26*L26*$E26*(1+'02_Assumptions'!$C$11)^6</x:f>
        <x:v>0</x:v>
      </x:c>
      <x:c r="AG26" s="287" t="n">
        <x:f>$A26*$C26*M26*$E26*(1+'02_Assumptions'!$C$11)^7</x:f>
        <x:v>0</x:v>
      </x:c>
      <x:c r="AH26" s="287" t="n">
        <x:f>$A26*$C26*N26*$E26*(1+'02_Assumptions'!$C$11)^8</x:f>
        <x:v>0</x:v>
      </x:c>
      <x:c r="AI26" s="287" t="n">
        <x:f>$A26*$C26*O26*$E26*(1+'02_Assumptions'!$C$11)^9</x:f>
        <x:v>0</x:v>
      </x:c>
      <x:c r="AJ26" s="264"/>
    </x:row>
    <x:row r="27">
      <x:c r="A27" s="384" t="n">
        <x:f>$A$10</x:f>
        <x:v>0</x:v>
      </x:c>
      <x:c r="B27" s="384" t="str">
        <x:f>$B$10</x:f>
        <x:v>Vetiver</x:v>
      </x:c>
      <x:c r="C27" s="384" t="n">
        <x:f>$K$10</x:f>
        <x:v>0</x:v>
      </x:c>
      <x:c r="D27" s="387" t="n">
        <x:v>0</x:v>
      </x:c>
      <x:c r="E27" s="387" t="n">
        <x:v>0</x:v>
      </x:c>
      <x:c r="F27" s="391" t="n">
        <x:v>0</x:v>
      </x:c>
      <x:c r="G27" s="391" t="n">
        <x:v>0</x:v>
      </x:c>
      <x:c r="H27" s="391" t="n">
        <x:v>0</x:v>
      </x:c>
      <x:c r="I27" s="391" t="n">
        <x:v>0</x:v>
      </x:c>
      <x:c r="J27" s="391" t="n">
        <x:v>0</x:v>
      </x:c>
      <x:c r="K27" s="391" t="n">
        <x:v>0</x:v>
      </x:c>
      <x:c r="L27" s="391" t="n">
        <x:v>0</x:v>
      </x:c>
      <x:c r="M27" s="391" t="n">
        <x:v>0</x:v>
      </x:c>
      <x:c r="N27" s="391" t="n">
        <x:v>0</x:v>
      </x:c>
      <x:c r="O27" s="391" t="n">
        <x:v>0</x:v>
      </x:c>
      <x:c r="P27" s="287" t="n">
        <x:f>$A27*$C27*F27*$D27*(1+'02_Assumptions'!$C$12)^0</x:f>
        <x:v>0</x:v>
      </x:c>
      <x:c r="Q27" s="287" t="n">
        <x:f>$A27*$C27*G27*$D27*(1+'02_Assumptions'!$C$12)^1</x:f>
        <x:v>0</x:v>
      </x:c>
      <x:c r="R27" s="287" t="n">
        <x:f>$A27*$C27*H27*$D27*(1+'02_Assumptions'!$C$12)^2</x:f>
        <x:v>0</x:v>
      </x:c>
      <x:c r="S27" s="287" t="n">
        <x:f>$A27*$C27*I27*$D27*(1+'02_Assumptions'!$C$12)^3</x:f>
        <x:v>0</x:v>
      </x:c>
      <x:c r="T27" s="287" t="n">
        <x:f>$A27*$C27*J27*$D27*(1+'02_Assumptions'!$C$12)^4</x:f>
        <x:v>0</x:v>
      </x:c>
      <x:c r="U27" s="287" t="n">
        <x:f>$A27*$C27*K27*$D27*(1+'02_Assumptions'!$C$12)^5</x:f>
        <x:v>0</x:v>
      </x:c>
      <x:c r="V27" s="287" t="n">
        <x:f>$A27*$C27*L27*$D27*(1+'02_Assumptions'!$C$12)^6</x:f>
        <x:v>0</x:v>
      </x:c>
      <x:c r="W27" s="287" t="n">
        <x:f>$A27*$C27*M27*$D27*(1+'02_Assumptions'!$C$12)^7</x:f>
        <x:v>0</x:v>
      </x:c>
      <x:c r="X27" s="287" t="n">
        <x:f>$A27*$C27*N27*$D27*(1+'02_Assumptions'!$C$12)^8</x:f>
        <x:v>0</x:v>
      </x:c>
      <x:c r="Y27" s="287" t="n">
        <x:f>$A27*$C27*O27*$D27*(1+'02_Assumptions'!$C$12)^9</x:f>
        <x:v>0</x:v>
      </x:c>
      <x:c r="Z27" s="287" t="n">
        <x:f>$A27*$C27*F27*$E27*(1+'02_Assumptions'!$C$11)^0</x:f>
        <x:v>0</x:v>
      </x:c>
      <x:c r="AA27" s="287" t="n">
        <x:f>$A27*$C27*G27*$E27*(1+'02_Assumptions'!$C$11)^1</x:f>
        <x:v>0</x:v>
      </x:c>
      <x:c r="AB27" s="287" t="n">
        <x:f>$A27*$C27*H27*$E27*(1+'02_Assumptions'!$C$11)^2</x:f>
        <x:v>0</x:v>
      </x:c>
      <x:c r="AC27" s="287" t="n">
        <x:f>$A27*$C27*I27*$E27*(1+'02_Assumptions'!$C$11)^3</x:f>
        <x:v>0</x:v>
      </x:c>
      <x:c r="AD27" s="287" t="n">
        <x:f>$A27*$C27*J27*$E27*(1+'02_Assumptions'!$C$11)^4</x:f>
        <x:v>0</x:v>
      </x:c>
      <x:c r="AE27" s="287" t="n">
        <x:f>$A27*$C27*K27*$E27*(1+'02_Assumptions'!$C$11)^5</x:f>
        <x:v>0</x:v>
      </x:c>
      <x:c r="AF27" s="287" t="n">
        <x:f>$A27*$C27*L27*$E27*(1+'02_Assumptions'!$C$11)^6</x:f>
        <x:v>0</x:v>
      </x:c>
      <x:c r="AG27" s="287" t="n">
        <x:f>$A27*$C27*M27*$E27*(1+'02_Assumptions'!$C$11)^7</x:f>
        <x:v>0</x:v>
      </x:c>
      <x:c r="AH27" s="287" t="n">
        <x:f>$A27*$C27*N27*$E27*(1+'02_Assumptions'!$C$11)^8</x:f>
        <x:v>0</x:v>
      </x:c>
      <x:c r="AI27" s="287" t="n">
        <x:f>$A27*$C27*O27*$E27*(1+'02_Assumptions'!$C$11)^9</x:f>
        <x:v>0</x:v>
      </x:c>
      <x:c r="AJ27" s="264"/>
    </x:row>
    <x:row r="28">
      <x:c r="A28" s="384" t="n">
        <x:f>$A$11</x:f>
        <x:v>0</x:v>
      </x:c>
      <x:c r="B28" s="384" t="str">
        <x:f>$B$11</x:f>
        <x:v>Tithonia</x:v>
      </x:c>
      <x:c r="C28" s="384" t="n">
        <x:f>$K$11</x:f>
        <x:v>0</x:v>
      </x:c>
      <x:c r="D28" s="387" t="n">
        <x:v>0</x:v>
      </x:c>
      <x:c r="E28" s="387" t="n">
        <x:v>0</x:v>
      </x:c>
      <x:c r="F28" s="391" t="n">
        <x:v>0</x:v>
      </x:c>
      <x:c r="G28" s="391" t="n">
        <x:v>0</x:v>
      </x:c>
      <x:c r="H28" s="391" t="n">
        <x:v>0</x:v>
      </x:c>
      <x:c r="I28" s="391" t="n">
        <x:v>0</x:v>
      </x:c>
      <x:c r="J28" s="391" t="n">
        <x:v>0</x:v>
      </x:c>
      <x:c r="K28" s="391" t="n">
        <x:v>0</x:v>
      </x:c>
      <x:c r="L28" s="391" t="n">
        <x:v>0</x:v>
      </x:c>
      <x:c r="M28" s="391" t="n">
        <x:v>0</x:v>
      </x:c>
      <x:c r="N28" s="391" t="n">
        <x:v>0</x:v>
      </x:c>
      <x:c r="O28" s="391" t="n">
        <x:v>0</x:v>
      </x:c>
      <x:c r="P28" s="287" t="n">
        <x:f>$A28*$C28*F28*$D28*(1+'02_Assumptions'!$C$12)^0</x:f>
        <x:v>0</x:v>
      </x:c>
      <x:c r="Q28" s="287" t="n">
        <x:f>$A28*$C28*G28*$D28*(1+'02_Assumptions'!$C$12)^1</x:f>
        <x:v>0</x:v>
      </x:c>
      <x:c r="R28" s="287" t="n">
        <x:f>$A28*$C28*H28*$D28*(1+'02_Assumptions'!$C$12)^2</x:f>
        <x:v>0</x:v>
      </x:c>
      <x:c r="S28" s="287" t="n">
        <x:f>$A28*$C28*I28*$D28*(1+'02_Assumptions'!$C$12)^3</x:f>
        <x:v>0</x:v>
      </x:c>
      <x:c r="T28" s="287" t="n">
        <x:f>$A28*$C28*J28*$D28*(1+'02_Assumptions'!$C$12)^4</x:f>
        <x:v>0</x:v>
      </x:c>
      <x:c r="U28" s="287" t="n">
        <x:f>$A28*$C28*K28*$D28*(1+'02_Assumptions'!$C$12)^5</x:f>
        <x:v>0</x:v>
      </x:c>
      <x:c r="V28" s="287" t="n">
        <x:f>$A28*$C28*L28*$D28*(1+'02_Assumptions'!$C$12)^6</x:f>
        <x:v>0</x:v>
      </x:c>
      <x:c r="W28" s="287" t="n">
        <x:f>$A28*$C28*M28*$D28*(1+'02_Assumptions'!$C$12)^7</x:f>
        <x:v>0</x:v>
      </x:c>
      <x:c r="X28" s="287" t="n">
        <x:f>$A28*$C28*N28*$D28*(1+'02_Assumptions'!$C$12)^8</x:f>
        <x:v>0</x:v>
      </x:c>
      <x:c r="Y28" s="287" t="n">
        <x:f>$A28*$C28*O28*$D28*(1+'02_Assumptions'!$C$12)^9</x:f>
        <x:v>0</x:v>
      </x:c>
      <x:c r="Z28" s="287" t="n">
        <x:f>$A28*$C28*F28*$E28*(1+'02_Assumptions'!$C$11)^0</x:f>
        <x:v>0</x:v>
      </x:c>
      <x:c r="AA28" s="287" t="n">
        <x:f>$A28*$C28*G28*$E28*(1+'02_Assumptions'!$C$11)^1</x:f>
        <x:v>0</x:v>
      </x:c>
      <x:c r="AB28" s="287" t="n">
        <x:f>$A28*$C28*H28*$E28*(1+'02_Assumptions'!$C$11)^2</x:f>
        <x:v>0</x:v>
      </x:c>
      <x:c r="AC28" s="287" t="n">
        <x:f>$A28*$C28*I28*$E28*(1+'02_Assumptions'!$C$11)^3</x:f>
        <x:v>0</x:v>
      </x:c>
      <x:c r="AD28" s="287" t="n">
        <x:f>$A28*$C28*J28*$E28*(1+'02_Assumptions'!$C$11)^4</x:f>
        <x:v>0</x:v>
      </x:c>
      <x:c r="AE28" s="287" t="n">
        <x:f>$A28*$C28*K28*$E28*(1+'02_Assumptions'!$C$11)^5</x:f>
        <x:v>0</x:v>
      </x:c>
      <x:c r="AF28" s="287" t="n">
        <x:f>$A28*$C28*L28*$E28*(1+'02_Assumptions'!$C$11)^6</x:f>
        <x:v>0</x:v>
      </x:c>
      <x:c r="AG28" s="287" t="n">
        <x:f>$A28*$C28*M28*$E28*(1+'02_Assumptions'!$C$11)^7</x:f>
        <x:v>0</x:v>
      </x:c>
      <x:c r="AH28" s="287" t="n">
        <x:f>$A28*$C28*N28*$E28*(1+'02_Assumptions'!$C$11)^8</x:f>
        <x:v>0</x:v>
      </x:c>
      <x:c r="AI28" s="287" t="n">
        <x:f>$A28*$C28*O28*$E28*(1+'02_Assumptions'!$C$11)^9</x:f>
        <x:v>0</x:v>
      </x:c>
      <x:c r="AJ28" s="264"/>
    </x:row>
    <x:row r="29">
      <x:c r="A29" s="384" t="n">
        <x:f>$A$12</x:f>
        <x:v>0</x:v>
      </x:c>
      <x:c r="B29" s="384" t="str">
        <x:f>$B$12</x:f>
        <x:v>Tambahan 5</x:v>
      </x:c>
      <x:c r="C29" s="384" t="n">
        <x:f>$K$12</x:f>
        <x:v>0</x:v>
      </x:c>
      <x:c r="D29" s="387" t="n">
        <x:v>0</x:v>
      </x:c>
      <x:c r="E29" s="387" t="n">
        <x:v>0</x:v>
      </x:c>
      <x:c r="F29" s="391" t="n">
        <x:v>0</x:v>
      </x:c>
      <x:c r="G29" s="391" t="n">
        <x:v>0</x:v>
      </x:c>
      <x:c r="H29" s="391" t="n">
        <x:v>0</x:v>
      </x:c>
      <x:c r="I29" s="391" t="n">
        <x:v>0</x:v>
      </x:c>
      <x:c r="J29" s="391" t="n">
        <x:v>0</x:v>
      </x:c>
      <x:c r="K29" s="391" t="n">
        <x:v>0</x:v>
      </x:c>
      <x:c r="L29" s="391" t="n">
        <x:v>0</x:v>
      </x:c>
      <x:c r="M29" s="391" t="n">
        <x:v>0</x:v>
      </x:c>
      <x:c r="N29" s="391" t="n">
        <x:v>0</x:v>
      </x:c>
      <x:c r="O29" s="391" t="n">
        <x:v>0</x:v>
      </x:c>
      <x:c r="P29" s="287" t="n">
        <x:f>$A29*$C29*F29*$D29*(1+'02_Assumptions'!$C$12)^0</x:f>
        <x:v>0</x:v>
      </x:c>
      <x:c r="Q29" s="287" t="n">
        <x:f>$A29*$C29*G29*$D29*(1+'02_Assumptions'!$C$12)^1</x:f>
        <x:v>0</x:v>
      </x:c>
      <x:c r="R29" s="287" t="n">
        <x:f>$A29*$C29*H29*$D29*(1+'02_Assumptions'!$C$12)^2</x:f>
        <x:v>0</x:v>
      </x:c>
      <x:c r="S29" s="287" t="n">
        <x:f>$A29*$C29*I29*$D29*(1+'02_Assumptions'!$C$12)^3</x:f>
        <x:v>0</x:v>
      </x:c>
      <x:c r="T29" s="287" t="n">
        <x:f>$A29*$C29*J29*$D29*(1+'02_Assumptions'!$C$12)^4</x:f>
        <x:v>0</x:v>
      </x:c>
      <x:c r="U29" s="287" t="n">
        <x:f>$A29*$C29*K29*$D29*(1+'02_Assumptions'!$C$12)^5</x:f>
        <x:v>0</x:v>
      </x:c>
      <x:c r="V29" s="287" t="n">
        <x:f>$A29*$C29*L29*$D29*(1+'02_Assumptions'!$C$12)^6</x:f>
        <x:v>0</x:v>
      </x:c>
      <x:c r="W29" s="287" t="n">
        <x:f>$A29*$C29*M29*$D29*(1+'02_Assumptions'!$C$12)^7</x:f>
        <x:v>0</x:v>
      </x:c>
      <x:c r="X29" s="287" t="n">
        <x:f>$A29*$C29*N29*$D29*(1+'02_Assumptions'!$C$12)^8</x:f>
        <x:v>0</x:v>
      </x:c>
      <x:c r="Y29" s="287" t="n">
        <x:f>$A29*$C29*O29*$D29*(1+'02_Assumptions'!$C$12)^9</x:f>
        <x:v>0</x:v>
      </x:c>
      <x:c r="Z29" s="287" t="n">
        <x:f>$A29*$C29*F29*$E29*(1+'02_Assumptions'!$C$11)^0</x:f>
        <x:v>0</x:v>
      </x:c>
      <x:c r="AA29" s="287" t="n">
        <x:f>$A29*$C29*G29*$E29*(1+'02_Assumptions'!$C$11)^1</x:f>
        <x:v>0</x:v>
      </x:c>
      <x:c r="AB29" s="287" t="n">
        <x:f>$A29*$C29*H29*$E29*(1+'02_Assumptions'!$C$11)^2</x:f>
        <x:v>0</x:v>
      </x:c>
      <x:c r="AC29" s="287" t="n">
        <x:f>$A29*$C29*I29*$E29*(1+'02_Assumptions'!$C$11)^3</x:f>
        <x:v>0</x:v>
      </x:c>
      <x:c r="AD29" s="287" t="n">
        <x:f>$A29*$C29*J29*$E29*(1+'02_Assumptions'!$C$11)^4</x:f>
        <x:v>0</x:v>
      </x:c>
      <x:c r="AE29" s="287" t="n">
        <x:f>$A29*$C29*K29*$E29*(1+'02_Assumptions'!$C$11)^5</x:f>
        <x:v>0</x:v>
      </x:c>
      <x:c r="AF29" s="287" t="n">
        <x:f>$A29*$C29*L29*$E29*(1+'02_Assumptions'!$C$11)^6</x:f>
        <x:v>0</x:v>
      </x:c>
      <x:c r="AG29" s="287" t="n">
        <x:f>$A29*$C29*M29*$E29*(1+'02_Assumptions'!$C$11)^7</x:f>
        <x:v>0</x:v>
      </x:c>
      <x:c r="AH29" s="287" t="n">
        <x:f>$A29*$C29*N29*$E29*(1+'02_Assumptions'!$C$11)^8</x:f>
        <x:v>0</x:v>
      </x:c>
      <x:c r="AI29" s="287" t="n">
        <x:f>$A29*$C29*O29*$E29*(1+'02_Assumptions'!$C$11)^9</x:f>
        <x:v>0</x:v>
      </x:c>
      <x:c r="AJ29" s="264"/>
    </x:row>
    <x:row r="30">
      <x:c r="A30" s="384" t="n">
        <x:f>$A$13</x:f>
        <x:v>0</x:v>
      </x:c>
      <x:c r="B30" s="384" t="str">
        <x:f>$B$13</x:f>
        <x:v>Tambahan 6</x:v>
      </x:c>
      <x:c r="C30" s="384" t="n">
        <x:f>$K$13</x:f>
        <x:v>0</x:v>
      </x:c>
      <x:c r="D30" s="387" t="n">
        <x:v>0</x:v>
      </x:c>
      <x:c r="E30" s="387" t="n">
        <x:v>0</x:v>
      </x:c>
      <x:c r="F30" s="391" t="n">
        <x:v>0</x:v>
      </x:c>
      <x:c r="G30" s="391" t="n">
        <x:v>0</x:v>
      </x:c>
      <x:c r="H30" s="391" t="n">
        <x:v>0</x:v>
      </x:c>
      <x:c r="I30" s="391" t="n">
        <x:v>0</x:v>
      </x:c>
      <x:c r="J30" s="391" t="n">
        <x:v>0</x:v>
      </x:c>
      <x:c r="K30" s="391" t="n">
        <x:v>0</x:v>
      </x:c>
      <x:c r="L30" s="391" t="n">
        <x:v>0</x:v>
      </x:c>
      <x:c r="M30" s="391" t="n">
        <x:v>0</x:v>
      </x:c>
      <x:c r="N30" s="391" t="n">
        <x:v>0</x:v>
      </x:c>
      <x:c r="O30" s="391" t="n">
        <x:v>0</x:v>
      </x:c>
      <x:c r="P30" s="287" t="n">
        <x:f>$A30*$C30*F30*$D30*(1+'02_Assumptions'!$C$12)^0</x:f>
        <x:v>0</x:v>
      </x:c>
      <x:c r="Q30" s="287" t="n">
        <x:f>$A30*$C30*G30*$D30*(1+'02_Assumptions'!$C$12)^1</x:f>
        <x:v>0</x:v>
      </x:c>
      <x:c r="R30" s="287" t="n">
        <x:f>$A30*$C30*H30*$D30*(1+'02_Assumptions'!$C$12)^2</x:f>
        <x:v>0</x:v>
      </x:c>
      <x:c r="S30" s="287" t="n">
        <x:f>$A30*$C30*I30*$D30*(1+'02_Assumptions'!$C$12)^3</x:f>
        <x:v>0</x:v>
      </x:c>
      <x:c r="T30" s="287" t="n">
        <x:f>$A30*$C30*J30*$D30*(1+'02_Assumptions'!$C$12)^4</x:f>
        <x:v>0</x:v>
      </x:c>
      <x:c r="U30" s="287" t="n">
        <x:f>$A30*$C30*K30*$D30*(1+'02_Assumptions'!$C$12)^5</x:f>
        <x:v>0</x:v>
      </x:c>
      <x:c r="V30" s="287" t="n">
        <x:f>$A30*$C30*L30*$D30*(1+'02_Assumptions'!$C$12)^6</x:f>
        <x:v>0</x:v>
      </x:c>
      <x:c r="W30" s="287" t="n">
        <x:f>$A30*$C30*M30*$D30*(1+'02_Assumptions'!$C$12)^7</x:f>
        <x:v>0</x:v>
      </x:c>
      <x:c r="X30" s="287" t="n">
        <x:f>$A30*$C30*N30*$D30*(1+'02_Assumptions'!$C$12)^8</x:f>
        <x:v>0</x:v>
      </x:c>
      <x:c r="Y30" s="287" t="n">
        <x:f>$A30*$C30*O30*$D30*(1+'02_Assumptions'!$C$12)^9</x:f>
        <x:v>0</x:v>
      </x:c>
      <x:c r="Z30" s="287" t="n">
        <x:f>$A30*$C30*F30*$E30*(1+'02_Assumptions'!$C$11)^0</x:f>
        <x:v>0</x:v>
      </x:c>
      <x:c r="AA30" s="287" t="n">
        <x:f>$A30*$C30*G30*$E30*(1+'02_Assumptions'!$C$11)^1</x:f>
        <x:v>0</x:v>
      </x:c>
      <x:c r="AB30" s="287" t="n">
        <x:f>$A30*$C30*H30*$E30*(1+'02_Assumptions'!$C$11)^2</x:f>
        <x:v>0</x:v>
      </x:c>
      <x:c r="AC30" s="287" t="n">
        <x:f>$A30*$C30*I30*$E30*(1+'02_Assumptions'!$C$11)^3</x:f>
        <x:v>0</x:v>
      </x:c>
      <x:c r="AD30" s="287" t="n">
        <x:f>$A30*$C30*J30*$E30*(1+'02_Assumptions'!$C$11)^4</x:f>
        <x:v>0</x:v>
      </x:c>
      <x:c r="AE30" s="287" t="n">
        <x:f>$A30*$C30*K30*$E30*(1+'02_Assumptions'!$C$11)^5</x:f>
        <x:v>0</x:v>
      </x:c>
      <x:c r="AF30" s="287" t="n">
        <x:f>$A30*$C30*L30*$E30*(1+'02_Assumptions'!$C$11)^6</x:f>
        <x:v>0</x:v>
      </x:c>
      <x:c r="AG30" s="287" t="n">
        <x:f>$A30*$C30*M30*$E30*(1+'02_Assumptions'!$C$11)^7</x:f>
        <x:v>0</x:v>
      </x:c>
      <x:c r="AH30" s="287" t="n">
        <x:f>$A30*$C30*N30*$E30*(1+'02_Assumptions'!$C$11)^8</x:f>
        <x:v>0</x:v>
      </x:c>
      <x:c r="AI30" s="287" t="n">
        <x:f>$A30*$C30*O30*$E30*(1+'02_Assumptions'!$C$11)^9</x:f>
        <x:v>0</x:v>
      </x:c>
      <x:c r="AJ30" s="264"/>
    </x:row>
    <x:row r="31">
      <x:c r="A31" s="384" t="n">
        <x:f>$A$14</x:f>
        <x:v>0</x:v>
      </x:c>
      <x:c r="B31" s="384" t="str">
        <x:f>$B$14</x:f>
        <x:v>Tambahan 7</x:v>
      </x:c>
      <x:c r="C31" s="384" t="n">
        <x:f>$K$14</x:f>
        <x:v>0</x:v>
      </x:c>
      <x:c r="D31" s="387" t="n">
        <x:v>0</x:v>
      </x:c>
      <x:c r="E31" s="387" t="n">
        <x:v>0</x:v>
      </x:c>
      <x:c r="F31" s="391" t="n">
        <x:v>0</x:v>
      </x:c>
      <x:c r="G31" s="391" t="n">
        <x:v>0</x:v>
      </x:c>
      <x:c r="H31" s="391" t="n">
        <x:v>0</x:v>
      </x:c>
      <x:c r="I31" s="391" t="n">
        <x:v>0</x:v>
      </x:c>
      <x:c r="J31" s="391" t="n">
        <x:v>0</x:v>
      </x:c>
      <x:c r="K31" s="391" t="n">
        <x:v>0</x:v>
      </x:c>
      <x:c r="L31" s="391" t="n">
        <x:v>0</x:v>
      </x:c>
      <x:c r="M31" s="391" t="n">
        <x:v>0</x:v>
      </x:c>
      <x:c r="N31" s="391" t="n">
        <x:v>0</x:v>
      </x:c>
      <x:c r="O31" s="391" t="n">
        <x:v>0</x:v>
      </x:c>
      <x:c r="P31" s="287" t="n">
        <x:f>$A31*$C31*F31*$D31*(1+'02_Assumptions'!$C$12)^0</x:f>
        <x:v>0</x:v>
      </x:c>
      <x:c r="Q31" s="287" t="n">
        <x:f>$A31*$C31*G31*$D31*(1+'02_Assumptions'!$C$12)^1</x:f>
        <x:v>0</x:v>
      </x:c>
      <x:c r="R31" s="287" t="n">
        <x:f>$A31*$C31*H31*$D31*(1+'02_Assumptions'!$C$12)^2</x:f>
        <x:v>0</x:v>
      </x:c>
      <x:c r="S31" s="287" t="n">
        <x:f>$A31*$C31*I31*$D31*(1+'02_Assumptions'!$C$12)^3</x:f>
        <x:v>0</x:v>
      </x:c>
      <x:c r="T31" s="287" t="n">
        <x:f>$A31*$C31*J31*$D31*(1+'02_Assumptions'!$C$12)^4</x:f>
        <x:v>0</x:v>
      </x:c>
      <x:c r="U31" s="287" t="n">
        <x:f>$A31*$C31*K31*$D31*(1+'02_Assumptions'!$C$12)^5</x:f>
        <x:v>0</x:v>
      </x:c>
      <x:c r="V31" s="287" t="n">
        <x:f>$A31*$C31*L31*$D31*(1+'02_Assumptions'!$C$12)^6</x:f>
        <x:v>0</x:v>
      </x:c>
      <x:c r="W31" s="287" t="n">
        <x:f>$A31*$C31*M31*$D31*(1+'02_Assumptions'!$C$12)^7</x:f>
        <x:v>0</x:v>
      </x:c>
      <x:c r="X31" s="287" t="n">
        <x:f>$A31*$C31*N31*$D31*(1+'02_Assumptions'!$C$12)^8</x:f>
        <x:v>0</x:v>
      </x:c>
      <x:c r="Y31" s="287" t="n">
        <x:f>$A31*$C31*O31*$D31*(1+'02_Assumptions'!$C$12)^9</x:f>
        <x:v>0</x:v>
      </x:c>
      <x:c r="Z31" s="287" t="n">
        <x:f>$A31*$C31*F31*$E31*(1+'02_Assumptions'!$C$11)^0</x:f>
        <x:v>0</x:v>
      </x:c>
      <x:c r="AA31" s="287" t="n">
        <x:f>$A31*$C31*G31*$E31*(1+'02_Assumptions'!$C$11)^1</x:f>
        <x:v>0</x:v>
      </x:c>
      <x:c r="AB31" s="287" t="n">
        <x:f>$A31*$C31*H31*$E31*(1+'02_Assumptions'!$C$11)^2</x:f>
        <x:v>0</x:v>
      </x:c>
      <x:c r="AC31" s="287" t="n">
        <x:f>$A31*$C31*I31*$E31*(1+'02_Assumptions'!$C$11)^3</x:f>
        <x:v>0</x:v>
      </x:c>
      <x:c r="AD31" s="287" t="n">
        <x:f>$A31*$C31*J31*$E31*(1+'02_Assumptions'!$C$11)^4</x:f>
        <x:v>0</x:v>
      </x:c>
      <x:c r="AE31" s="287" t="n">
        <x:f>$A31*$C31*K31*$E31*(1+'02_Assumptions'!$C$11)^5</x:f>
        <x:v>0</x:v>
      </x:c>
      <x:c r="AF31" s="287" t="n">
        <x:f>$A31*$C31*L31*$E31*(1+'02_Assumptions'!$C$11)^6</x:f>
        <x:v>0</x:v>
      </x:c>
      <x:c r="AG31" s="287" t="n">
        <x:f>$A31*$C31*M31*$E31*(1+'02_Assumptions'!$C$11)^7</x:f>
        <x:v>0</x:v>
      </x:c>
      <x:c r="AH31" s="287" t="n">
        <x:f>$A31*$C31*N31*$E31*(1+'02_Assumptions'!$C$11)^8</x:f>
        <x:v>0</x:v>
      </x:c>
      <x:c r="AI31" s="287" t="n">
        <x:f>$A31*$C31*O31*$E31*(1+'02_Assumptions'!$C$11)^9</x:f>
        <x:v>0</x:v>
      </x:c>
      <x:c r="AJ31" s="264"/>
    </x:row>
    <x:row r="32">
      <x:c r="A32" s="384" t="n">
        <x:f>$A$15</x:f>
        <x:v>0</x:v>
      </x:c>
      <x:c r="B32" s="384" t="str">
        <x:f>$B$15</x:f>
        <x:v>Tambahan 8</x:v>
      </x:c>
      <x:c r="C32" s="384" t="n">
        <x:f>$K$15</x:f>
        <x:v>0</x:v>
      </x:c>
      <x:c r="D32" s="387" t="n">
        <x:v>0</x:v>
      </x:c>
      <x:c r="E32" s="387" t="n">
        <x:v>0</x:v>
      </x:c>
      <x:c r="F32" s="391" t="n">
        <x:v>0</x:v>
      </x:c>
      <x:c r="G32" s="391" t="n">
        <x:v>0</x:v>
      </x:c>
      <x:c r="H32" s="391" t="n">
        <x:v>0</x:v>
      </x:c>
      <x:c r="I32" s="391" t="n">
        <x:v>0</x:v>
      </x:c>
      <x:c r="J32" s="391" t="n">
        <x:v>0</x:v>
      </x:c>
      <x:c r="K32" s="391" t="n">
        <x:v>0</x:v>
      </x:c>
      <x:c r="L32" s="391" t="n">
        <x:v>0</x:v>
      </x:c>
      <x:c r="M32" s="391" t="n">
        <x:v>0</x:v>
      </x:c>
      <x:c r="N32" s="391" t="n">
        <x:v>0</x:v>
      </x:c>
      <x:c r="O32" s="391" t="n">
        <x:v>0</x:v>
      </x:c>
      <x:c r="P32" s="287" t="n">
        <x:f>$A32*$C32*F32*$D32*(1+'02_Assumptions'!$C$12)^0</x:f>
        <x:v>0</x:v>
      </x:c>
      <x:c r="Q32" s="287" t="n">
        <x:f>$A32*$C32*G32*$D32*(1+'02_Assumptions'!$C$12)^1</x:f>
        <x:v>0</x:v>
      </x:c>
      <x:c r="R32" s="287" t="n">
        <x:f>$A32*$C32*H32*$D32*(1+'02_Assumptions'!$C$12)^2</x:f>
        <x:v>0</x:v>
      </x:c>
      <x:c r="S32" s="287" t="n">
        <x:f>$A32*$C32*I32*$D32*(1+'02_Assumptions'!$C$12)^3</x:f>
        <x:v>0</x:v>
      </x:c>
      <x:c r="T32" s="287" t="n">
        <x:f>$A32*$C32*J32*$D32*(1+'02_Assumptions'!$C$12)^4</x:f>
        <x:v>0</x:v>
      </x:c>
      <x:c r="U32" s="287" t="n">
        <x:f>$A32*$C32*K32*$D32*(1+'02_Assumptions'!$C$12)^5</x:f>
        <x:v>0</x:v>
      </x:c>
      <x:c r="V32" s="287" t="n">
        <x:f>$A32*$C32*L32*$D32*(1+'02_Assumptions'!$C$12)^6</x:f>
        <x:v>0</x:v>
      </x:c>
      <x:c r="W32" s="287" t="n">
        <x:f>$A32*$C32*M32*$D32*(1+'02_Assumptions'!$C$12)^7</x:f>
        <x:v>0</x:v>
      </x:c>
      <x:c r="X32" s="287" t="n">
        <x:f>$A32*$C32*N32*$D32*(1+'02_Assumptions'!$C$12)^8</x:f>
        <x:v>0</x:v>
      </x:c>
      <x:c r="Y32" s="287" t="n">
        <x:f>$A32*$C32*O32*$D32*(1+'02_Assumptions'!$C$12)^9</x:f>
        <x:v>0</x:v>
      </x:c>
      <x:c r="Z32" s="287" t="n">
        <x:f>$A32*$C32*F32*$E32*(1+'02_Assumptions'!$C$11)^0</x:f>
        <x:v>0</x:v>
      </x:c>
      <x:c r="AA32" s="287" t="n">
        <x:f>$A32*$C32*G32*$E32*(1+'02_Assumptions'!$C$11)^1</x:f>
        <x:v>0</x:v>
      </x:c>
      <x:c r="AB32" s="287" t="n">
        <x:f>$A32*$C32*H32*$E32*(1+'02_Assumptions'!$C$11)^2</x:f>
        <x:v>0</x:v>
      </x:c>
      <x:c r="AC32" s="287" t="n">
        <x:f>$A32*$C32*I32*$E32*(1+'02_Assumptions'!$C$11)^3</x:f>
        <x:v>0</x:v>
      </x:c>
      <x:c r="AD32" s="287" t="n">
        <x:f>$A32*$C32*J32*$E32*(1+'02_Assumptions'!$C$11)^4</x:f>
        <x:v>0</x:v>
      </x:c>
      <x:c r="AE32" s="287" t="n">
        <x:f>$A32*$C32*K32*$E32*(1+'02_Assumptions'!$C$11)^5</x:f>
        <x:v>0</x:v>
      </x:c>
      <x:c r="AF32" s="287" t="n">
        <x:f>$A32*$C32*L32*$E32*(1+'02_Assumptions'!$C$11)^6</x:f>
        <x:v>0</x:v>
      </x:c>
      <x:c r="AG32" s="287" t="n">
        <x:f>$A32*$C32*M32*$E32*(1+'02_Assumptions'!$C$11)^7</x:f>
        <x:v>0</x:v>
      </x:c>
      <x:c r="AH32" s="287" t="n">
        <x:f>$A32*$C32*N32*$E32*(1+'02_Assumptions'!$C$11)^8</x:f>
        <x:v>0</x:v>
      </x:c>
      <x:c r="AI32" s="287" t="n">
        <x:f>$A32*$C32*O32*$E32*(1+'02_Assumptions'!$C$11)^9</x:f>
        <x:v>0</x:v>
      </x:c>
      <x:c r="AJ32" s="264"/>
    </x:row>
    <x:row r="33">
      <x:c r="A33" s="264"/>
      <x:c r="B33" s="264"/>
      <x:c r="C33" s="264"/>
      <x:c r="D33" s="264"/>
      <x:c r="E33" s="264"/>
      <x:c r="F33" s="264"/>
      <x:c r="G33" s="264"/>
      <x:c r="H33" s="264"/>
      <x:c r="I33" s="264"/>
      <x:c r="J33" s="264"/>
      <x:c r="K33" s="264"/>
      <x:c r="L33" s="264"/>
      <x:c r="M33" s="264"/>
      <x:c r="N33" s="264"/>
      <x:c r="O33" s="264"/>
      <x:c r="P33" s="287"/>
      <x:c r="Q33" s="287"/>
      <x:c r="R33" s="287"/>
      <x:c r="S33" s="287"/>
      <x:c r="T33" s="287"/>
      <x:c r="U33" s="287"/>
      <x:c r="V33" s="287"/>
      <x:c r="W33" s="287"/>
      <x:c r="X33" s="287"/>
      <x:c r="Y33" s="287"/>
      <x:c r="Z33" s="287"/>
      <x:c r="AA33" s="287"/>
      <x:c r="AB33" s="287"/>
      <x:c r="AC33" s="287"/>
      <x:c r="AD33" s="287"/>
      <x:c r="AE33" s="287"/>
      <x:c r="AF33" s="287"/>
      <x:c r="AG33" s="287"/>
      <x:c r="AH33" s="287"/>
      <x:c r="AI33" s="287"/>
      <x:c r="AJ33" s="264"/>
    </x:row>
    <x:row r="34">
      <x:c r="A34" s="392" t="str">
        <x:v>TOTAL PENDAPATAN SPESIES OPSIONAL/TAMBAHAN</x:v>
      </x:c>
      <x:c r="B34" s="392"/>
      <x:c r="C34" s="392"/>
      <x:c r="D34" s="392"/>
      <x:c r="E34" s="392"/>
      <x:c r="F34" s="392"/>
      <x:c r="G34" s="392"/>
      <x:c r="H34" s="392"/>
      <x:c r="I34" s="392"/>
      <x:c r="J34" s="392"/>
      <x:c r="K34" s="392"/>
      <x:c r="L34" s="392"/>
      <x:c r="M34" s="392"/>
      <x:c r="N34" s="392"/>
      <x:c r="O34" s="392"/>
      <x:c r="P34" s="392" t="n">
        <x:f>SUM(P23:P32)</x:f>
        <x:v>0</x:v>
      </x:c>
      <x:c r="Q34" s="392" t="n">
        <x:f>SUM(Q23:Q32)</x:f>
        <x:v>0</x:v>
      </x:c>
      <x:c r="R34" s="392" t="n">
        <x:f>SUM(R23:R32)</x:f>
        <x:v>0</x:v>
      </x:c>
      <x:c r="S34" s="392" t="n">
        <x:f>SUM(S23:S32)</x:f>
        <x:v>0</x:v>
      </x:c>
      <x:c r="T34" s="392" t="n">
        <x:f>SUM(T23:T32)</x:f>
        <x:v>0</x:v>
      </x:c>
      <x:c r="U34" s="392" t="n">
        <x:f>SUM(U23:U32)</x:f>
        <x:v>0</x:v>
      </x:c>
      <x:c r="V34" s="392" t="n">
        <x:f>SUM(V23:V32)</x:f>
        <x:v>0</x:v>
      </x:c>
      <x:c r="W34" s="392" t="n">
        <x:f>SUM(W23:W32)</x:f>
        <x:v>0</x:v>
      </x:c>
      <x:c r="X34" s="392" t="n">
        <x:f>SUM(X23:X32)</x:f>
        <x:v>0</x:v>
      </x:c>
      <x:c r="Y34" s="392" t="n">
        <x:f>SUM(Y23:Y32)</x:f>
        <x:v>0</x:v>
      </x:c>
      <x:c r="Z34" s="392"/>
      <x:c r="AA34" s="392"/>
      <x:c r="AB34" s="392"/>
      <x:c r="AC34" s="392"/>
      <x:c r="AD34" s="392"/>
      <x:c r="AE34" s="392"/>
      <x:c r="AF34" s="392"/>
      <x:c r="AG34" s="392"/>
      <x:c r="AH34" s="392"/>
      <x:c r="AI34" s="392"/>
      <x:c r="AJ34" s="264"/>
    </x:row>
    <x:row r="35">
      <x:c r="A35" s="393" t="str">
        <x:v>TOTAL BIAYA PANEN SPESIES OPSIONAL/TAMBAHAN</x:v>
      </x:c>
      <x:c r="B35" s="393"/>
      <x:c r="C35" s="393"/>
      <x:c r="D35" s="393"/>
      <x:c r="E35" s="393"/>
      <x:c r="F35" s="393"/>
      <x:c r="G35" s="393"/>
      <x:c r="H35" s="393"/>
      <x:c r="I35" s="393"/>
      <x:c r="J35" s="393"/>
      <x:c r="K35" s="393"/>
      <x:c r="L35" s="393"/>
      <x:c r="M35" s="393"/>
      <x:c r="N35" s="393"/>
      <x:c r="O35" s="393"/>
      <x:c r="P35" s="393"/>
      <x:c r="Q35" s="393"/>
      <x:c r="R35" s="393"/>
      <x:c r="S35" s="393"/>
      <x:c r="T35" s="393"/>
      <x:c r="U35" s="393"/>
      <x:c r="V35" s="393"/>
      <x:c r="W35" s="393"/>
      <x:c r="X35" s="393"/>
      <x:c r="Y35" s="393"/>
      <x:c r="Z35" s="393" t="n">
        <x:f>SUM(Z23:Z32)</x:f>
        <x:v>0</x:v>
      </x:c>
      <x:c r="AA35" s="393" t="n">
        <x:f>SUM(AA23:AA32)</x:f>
        <x:v>0</x:v>
      </x:c>
      <x:c r="AB35" s="393" t="n">
        <x:f>SUM(AB23:AB32)</x:f>
        <x:v>0</x:v>
      </x:c>
      <x:c r="AC35" s="393" t="n">
        <x:f>SUM(AC23:AC32)</x:f>
        <x:v>0</x:v>
      </x:c>
      <x:c r="AD35" s="393" t="n">
        <x:f>SUM(AD23:AD32)</x:f>
        <x:v>0</x:v>
      </x:c>
      <x:c r="AE35" s="393" t="n">
        <x:f>SUM(AE23:AE32)</x:f>
        <x:v>0</x:v>
      </x:c>
      <x:c r="AF35" s="393" t="n">
        <x:f>SUM(AF23:AF32)</x:f>
        <x:v>0</x:v>
      </x:c>
      <x:c r="AG35" s="393" t="n">
        <x:f>SUM(AG23:AG32)</x:f>
        <x:v>0</x:v>
      </x:c>
      <x:c r="AH35" s="393" t="n">
        <x:f>SUM(AH23:AH32)</x:f>
        <x:v>0</x:v>
      </x:c>
      <x:c r="AI35" s="393" t="n">
        <x:f>SUM(AI23:AI32)</x:f>
        <x:v>0</x:v>
      </x:c>
      <x:c r="AJ35" s="264"/>
    </x:row>
    <x:row r="36">
      <x:c r="A36" s="264"/>
      <x:c r="B36" s="264"/>
      <x:c r="C36" s="264"/>
      <x:c r="D36" s="264"/>
      <x:c r="E36" s="264"/>
      <x:c r="F36" s="264"/>
      <x:c r="G36" s="264"/>
      <x:c r="H36" s="264"/>
      <x:c r="I36" s="264"/>
      <x:c r="J36" s="264"/>
      <x:c r="K36" s="264"/>
      <x:c r="L36" s="264"/>
      <x:c r="M36" s="264"/>
      <x:c r="N36" s="264"/>
      <x:c r="O36" s="264"/>
      <x:c r="P36" s="264"/>
      <x:c r="Q36" s="264"/>
      <x:c r="R36" s="264"/>
      <x:c r="S36" s="264"/>
      <x:c r="T36" s="264"/>
      <x:c r="U36" s="264"/>
      <x:c r="V36" s="264"/>
      <x:c r="W36" s="264"/>
      <x:c r="X36" s="264"/>
      <x:c r="Y36" s="264"/>
      <x:c r="Z36" s="264"/>
      <x:c r="AA36" s="264"/>
      <x:c r="AB36" s="264"/>
      <x:c r="AC36" s="264"/>
      <x:c r="AD36" s="264"/>
      <x:c r="AE36" s="264"/>
      <x:c r="AF36" s="264"/>
      <x:c r="AG36" s="264"/>
      <x:c r="AH36" s="264"/>
      <x:c r="AI36" s="264"/>
      <x:c r="AJ36" s="264"/>
    </x:row>
    <x:row r="37">
      <x:c r="A37" s="264"/>
      <x:c r="B37" s="264"/>
      <x:c r="C37" s="264"/>
      <x:c r="D37" s="264"/>
      <x:c r="E37" s="264"/>
      <x:c r="F37" s="264"/>
      <x:c r="G37" s="264"/>
      <x:c r="H37" s="264"/>
      <x:c r="I37" s="264"/>
      <x:c r="J37" s="264"/>
      <x:c r="K37" s="264"/>
      <x:c r="L37" s="264"/>
      <x:c r="M37" s="264"/>
      <x:c r="N37" s="264"/>
      <x:c r="O37" s="264"/>
      <x:c r="P37" s="264"/>
      <x:c r="Q37" s="264"/>
      <x:c r="R37" s="264"/>
      <x:c r="S37" s="264"/>
      <x:c r="T37" s="264"/>
      <x:c r="U37" s="264"/>
      <x:c r="V37" s="264"/>
      <x:c r="W37" s="264"/>
      <x:c r="X37" s="264"/>
      <x:c r="Y37" s="264"/>
      <x:c r="Z37" s="264"/>
      <x:c r="AA37" s="264"/>
      <x:c r="AB37" s="264"/>
      <x:c r="AC37" s="264"/>
      <x:c r="AD37" s="264"/>
      <x:c r="AE37" s="264"/>
      <x:c r="AF37" s="264"/>
      <x:c r="AG37" s="264"/>
      <x:c r="AH37" s="264"/>
      <x:c r="AI37" s="264"/>
      <x:c r="AJ37" s="264"/>
    </x:row>
    <x:row r="38" ht="20" customHeight="1">
      <x:c r="A38" s="383" t="str">
        <x:v>C. Input pertanian spesies opsional/tambahan</x:v>
      </x:c>
      <x:c r="B38" s="383"/>
      <x:c r="C38" s="383"/>
      <x:c r="D38" s="383"/>
      <x:c r="E38" s="383"/>
      <x:c r="F38" s="383"/>
      <x:c r="G38" s="383"/>
      <x:c r="H38" s="383"/>
      <x:c r="I38" s="383"/>
      <x:c r="J38" s="383"/>
      <x:c r="K38" s="383"/>
      <x:c r="L38" s="383"/>
      <x:c r="M38" s="383"/>
      <x:c r="N38" s="383"/>
      <x:c r="O38" s="383"/>
      <x:c r="P38" s="383"/>
      <x:c r="Q38" s="383"/>
      <x:c r="R38" s="383"/>
      <x:c r="S38" s="383"/>
      <x:c r="T38" s="383"/>
      <x:c r="U38" s="383"/>
      <x:c r="V38" s="383"/>
      <x:c r="W38" s="383"/>
      <x:c r="X38" s="383"/>
      <x:c r="Y38" s="383"/>
      <x:c r="Z38" s="264"/>
      <x:c r="AA38" s="264"/>
      <x:c r="AB38" s="264"/>
      <x:c r="AC38" s="264"/>
      <x:c r="AD38" s="264"/>
      <x:c r="AE38" s="264"/>
      <x:c r="AF38" s="264"/>
      <x:c r="AG38" s="264"/>
      <x:c r="AH38" s="264"/>
      <x:c r="AI38" s="264"/>
      <x:c r="AJ38" s="264"/>
    </x:row>
    <x:row r="39" ht="32" customHeight="1">
      <x:c r="A39" s="368" t="str">
        <x:v>Aktif</x:v>
      </x:c>
      <x:c r="B39" s="368" t="str">
        <x:v>Nama input/komoditas</x:v>
      </x:c>
      <x:c r="C39" s="368" t="str">
        <x:v>Basis hidup</x:v>
      </x:c>
      <x:c r="D39" s="368" t="str">
        <x:v>Harga per basis</x:v>
      </x:c>
      <x:c r="E39" s="368" t="str">
        <x:v>Dosis T1</x:v>
      </x:c>
      <x:c r="F39" s="368" t="str">
        <x:v>Dosis T2</x:v>
      </x:c>
      <x:c r="G39" s="368" t="str">
        <x:v>Dosis T3</x:v>
      </x:c>
      <x:c r="H39" s="368" t="str">
        <x:v>Dosis T4</x:v>
      </x:c>
      <x:c r="I39" s="368" t="str">
        <x:v>Dosis T5</x:v>
      </x:c>
      <x:c r="J39" s="368" t="str">
        <x:v>Dosis T6</x:v>
      </x:c>
      <x:c r="K39" s="368" t="str">
        <x:v>Dosis T7</x:v>
      </x:c>
      <x:c r="L39" s="368" t="str">
        <x:v>Dosis T8</x:v>
      </x:c>
      <x:c r="M39" s="368" t="str">
        <x:v>Dosis T9</x:v>
      </x:c>
      <x:c r="N39" s="368" t="str">
        <x:v>Dosis T10</x:v>
      </x:c>
      <x:c r="O39" s="368" t="str">
        <x:v>Biaya T1</x:v>
      </x:c>
      <x:c r="P39" s="368" t="str">
        <x:v>Biaya T2</x:v>
      </x:c>
      <x:c r="Q39" s="368" t="str">
        <x:v>Biaya T3</x:v>
      </x:c>
      <x:c r="R39" s="368" t="str">
        <x:v>Biaya T4</x:v>
      </x:c>
      <x:c r="S39" s="368" t="str">
        <x:v>Biaya T5</x:v>
      </x:c>
      <x:c r="T39" s="368" t="str">
        <x:v>Biaya T6</x:v>
      </x:c>
      <x:c r="U39" s="368" t="str">
        <x:v>Biaya T7</x:v>
      </x:c>
      <x:c r="V39" s="368" t="str">
        <x:v>Biaya T8</x:v>
      </x:c>
      <x:c r="W39" s="368" t="str">
        <x:v>Biaya T9</x:v>
      </x:c>
      <x:c r="X39" s="368" t="str">
        <x:v>Biaya T10</x:v>
      </x:c>
      <x:c r="Y39" s="368" t="str">
        <x:v>Catatan</x:v>
      </x:c>
      <x:c r="Z39" s="264"/>
      <x:c r="AA39" s="264"/>
      <x:c r="AB39" s="264"/>
      <x:c r="AC39" s="264"/>
      <x:c r="AD39" s="264"/>
      <x:c r="AE39" s="264"/>
      <x:c r="AF39" s="264"/>
      <x:c r="AG39" s="264"/>
      <x:c r="AH39" s="264"/>
      <x:c r="AI39" s="264"/>
      <x:c r="AJ39" s="264"/>
    </x:row>
    <x:row r="40">
      <x:c r="A40" s="384" t="n">
        <x:f>$A$6</x:f>
        <x:v>0</x:v>
      </x:c>
      <x:c r="B40" s="384" t="str">
        <x:f>$B$6</x:f>
        <x:v>Nanas</x:v>
      </x:c>
      <x:c r="C40" s="384" t="n">
        <x:f>$K$6</x:f>
        <x:v>0</x:v>
      </x:c>
      <x:c r="D40" s="387" t="n">
        <x:v>1</x:v>
      </x:c>
      <x:c r="E40" s="389" t="n">
        <x:v>3000</x:v>
      </x:c>
      <x:c r="F40" s="389" t="n">
        <x:v>1800</x:v>
      </x:c>
      <x:c r="G40" s="389" t="n">
        <x:v>900</x:v>
      </x:c>
      <x:c r="H40" s="389" t="n">
        <x:v>0</x:v>
      </x:c>
      <x:c r="I40" s="389" t="n">
        <x:v>0</x:v>
      </x:c>
      <x:c r="J40" s="389" t="n">
        <x:v>0</x:v>
      </x:c>
      <x:c r="K40" s="389" t="n">
        <x:v>0</x:v>
      </x:c>
      <x:c r="L40" s="389" t="n">
        <x:v>0</x:v>
      </x:c>
      <x:c r="M40" s="389" t="n">
        <x:v>0</x:v>
      </x:c>
      <x:c r="N40" s="389" t="n">
        <x:v>0</x:v>
      </x:c>
      <x:c r="O40" s="287" t="n">
        <x:f>$A40*$C40*E40*$D40*(1+'02_Assumptions'!$C$11)^0</x:f>
        <x:v>0</x:v>
      </x:c>
      <x:c r="P40" s="287" t="n">
        <x:f>$A40*$C40*F40*$D40*(1+'02_Assumptions'!$C$11)^1</x:f>
        <x:v>0</x:v>
      </x:c>
      <x:c r="Q40" s="287" t="n">
        <x:f>$A40*$C40*G40*$D40*(1+'02_Assumptions'!$C$11)^2</x:f>
        <x:v>0</x:v>
      </x:c>
      <x:c r="R40" s="287" t="n">
        <x:f>$A40*$C40*H40*$D40*(1+'02_Assumptions'!$C$11)^3</x:f>
        <x:v>0</x:v>
      </x:c>
      <x:c r="S40" s="287" t="n">
        <x:f>$A40*$C40*I40*$D40*(1+'02_Assumptions'!$C$11)^4</x:f>
        <x:v>0</x:v>
      </x:c>
      <x:c r="T40" s="287" t="n">
        <x:f>$A40*$C40*J40*$D40*(1+'02_Assumptions'!$C$11)^5</x:f>
        <x:v>0</x:v>
      </x:c>
      <x:c r="U40" s="287" t="n">
        <x:f>$A40*$C40*K40*$D40*(1+'02_Assumptions'!$C$11)^6</x:f>
        <x:v>0</x:v>
      </x:c>
      <x:c r="V40" s="287" t="n">
        <x:f>$A40*$C40*L40*$D40*(1+'02_Assumptions'!$C$11)^7</x:f>
        <x:v>0</x:v>
      </x:c>
      <x:c r="W40" s="287" t="n">
        <x:f>$A40*$C40*M40*$D40*(1+'02_Assumptions'!$C$11)^8</x:f>
        <x:v>0</x:v>
      </x:c>
      <x:c r="X40" s="287" t="n">
        <x:f>$A40*$C40*N40*$D40*(1+'02_Assumptions'!$C$11)^9</x:f>
        <x:v>0</x:v>
      </x:c>
      <x:c r="Y40" s="264" t="str">
        <x:v>Biaya input per tanaman/tahun; asumsi awal, pecah ke pupuk/bioproteksi setelah uji</x:v>
      </x:c>
      <x:c r="Z40" s="264"/>
      <x:c r="AA40" s="264"/>
      <x:c r="AB40" s="264"/>
      <x:c r="AC40" s="264"/>
      <x:c r="AD40" s="264"/>
      <x:c r="AE40" s="264"/>
      <x:c r="AF40" s="264"/>
      <x:c r="AG40" s="264"/>
      <x:c r="AH40" s="264"/>
      <x:c r="AI40" s="264"/>
      <x:c r="AJ40" s="264"/>
    </x:row>
    <x:row r="41">
      <x:c r="A41" s="384" t="n">
        <x:f>$A$7</x:f>
        <x:v>1</x:v>
      </x:c>
      <x:c r="B41" s="384" t="str">
        <x:f>$B$7</x:f>
        <x:v>Arachis pintoi</x:v>
      </x:c>
      <x:c r="C41" s="384" t="n">
        <x:f>$K$7</x:f>
        <x:v>57.2</x:v>
      </x:c>
      <x:c r="D41" s="387" t="n">
        <x:v>0</x:v>
      </x:c>
      <x:c r="E41" s="389" t="n">
        <x:v>0</x:v>
      </x:c>
      <x:c r="F41" s="389" t="n">
        <x:v>0</x:v>
      </x:c>
      <x:c r="G41" s="389" t="n">
        <x:v>0</x:v>
      </x:c>
      <x:c r="H41" s="389" t="n">
        <x:v>0</x:v>
      </x:c>
      <x:c r="I41" s="389" t="n">
        <x:v>0</x:v>
      </x:c>
      <x:c r="J41" s="389" t="n">
        <x:v>0</x:v>
      </x:c>
      <x:c r="K41" s="389" t="n">
        <x:v>0</x:v>
      </x:c>
      <x:c r="L41" s="389" t="n">
        <x:v>0</x:v>
      </x:c>
      <x:c r="M41" s="389" t="n">
        <x:v>0</x:v>
      </x:c>
      <x:c r="N41" s="389" t="n">
        <x:v>0</x:v>
      </x:c>
      <x:c r="O41" s="287" t="n">
        <x:f>$A41*$C41*E41*$D41*(1+'02_Assumptions'!$C$11)^0</x:f>
        <x:v>0</x:v>
      </x:c>
      <x:c r="P41" s="287" t="n">
        <x:f>$A41*$C41*F41*$D41*(1+'02_Assumptions'!$C$11)^1</x:f>
        <x:v>0</x:v>
      </x:c>
      <x:c r="Q41" s="287" t="n">
        <x:f>$A41*$C41*G41*$D41*(1+'02_Assumptions'!$C$11)^2</x:f>
        <x:v>0</x:v>
      </x:c>
      <x:c r="R41" s="287" t="n">
        <x:f>$A41*$C41*H41*$D41*(1+'02_Assumptions'!$C$11)^3</x:f>
        <x:v>0</x:v>
      </x:c>
      <x:c r="S41" s="287" t="n">
        <x:f>$A41*$C41*I41*$D41*(1+'02_Assumptions'!$C$11)^4</x:f>
        <x:v>0</x:v>
      </x:c>
      <x:c r="T41" s="287" t="n">
        <x:f>$A41*$C41*J41*$D41*(1+'02_Assumptions'!$C$11)^5</x:f>
        <x:v>0</x:v>
      </x:c>
      <x:c r="U41" s="287" t="n">
        <x:f>$A41*$C41*K41*$D41*(1+'02_Assumptions'!$C$11)^6</x:f>
        <x:v>0</x:v>
      </x:c>
      <x:c r="V41" s="287" t="n">
        <x:f>$A41*$C41*L41*$D41*(1+'02_Assumptions'!$C$11)^7</x:f>
        <x:v>0</x:v>
      </x:c>
      <x:c r="W41" s="287" t="n">
        <x:f>$A41*$C41*M41*$D41*(1+'02_Assumptions'!$C$11)^8</x:f>
        <x:v>0</x:v>
      </x:c>
      <x:c r="X41" s="287" t="n">
        <x:f>$A41*$C41*N41*$D41*(1+'02_Assumptions'!$C$11)^9</x:f>
        <x:v>0</x:v>
      </x:c>
      <x:c r="Y41" s="264" t="str">
        <x:v>Biaya input per pohon/tahun; belum termasuk penyadapan</x:v>
      </x:c>
      <x:c r="Z41" s="264"/>
      <x:c r="AA41" s="264"/>
      <x:c r="AB41" s="264"/>
      <x:c r="AC41" s="264"/>
      <x:c r="AD41" s="264"/>
      <x:c r="AE41" s="264"/>
      <x:c r="AF41" s="264"/>
      <x:c r="AG41" s="264"/>
      <x:c r="AH41" s="264"/>
      <x:c r="AI41" s="264"/>
      <x:c r="AJ41" s="264"/>
    </x:row>
    <x:row r="42">
      <x:c r="A42" s="384" t="n">
        <x:f>$A$8</x:f>
        <x:v>0</x:v>
      </x:c>
      <x:c r="B42" s="384" t="str">
        <x:f>$B$8</x:f>
        <x:v>Crotalaria juncea</x:v>
      </x:c>
      <x:c r="C42" s="384" t="n">
        <x:f>$K$8</x:f>
        <x:v>0</x:v>
      </x:c>
      <x:c r="D42" s="387" t="n">
        <x:v>0</x:v>
      </x:c>
      <x:c r="E42" s="389" t="n">
        <x:v>0</x:v>
      </x:c>
      <x:c r="F42" s="389" t="n">
        <x:v>0</x:v>
      </x:c>
      <x:c r="G42" s="389" t="n">
        <x:v>0</x:v>
      </x:c>
      <x:c r="H42" s="389" t="n">
        <x:v>0</x:v>
      </x:c>
      <x:c r="I42" s="389" t="n">
        <x:v>0</x:v>
      </x:c>
      <x:c r="J42" s="389" t="n">
        <x:v>0</x:v>
      </x:c>
      <x:c r="K42" s="389" t="n">
        <x:v>0</x:v>
      </x:c>
      <x:c r="L42" s="389" t="n">
        <x:v>0</x:v>
      </x:c>
      <x:c r="M42" s="389" t="n">
        <x:v>0</x:v>
      </x:c>
      <x:c r="N42" s="389" t="n">
        <x:v>0</x:v>
      </x:c>
      <x:c r="O42" s="287" t="n">
        <x:f>$A42*$C42*E42*$D42*(1+'02_Assumptions'!$C$11)^0</x:f>
        <x:v>0</x:v>
      </x:c>
      <x:c r="P42" s="287" t="n">
        <x:f>$A42*$C42*F42*$D42*(1+'02_Assumptions'!$C$11)^1</x:f>
        <x:v>0</x:v>
      </x:c>
      <x:c r="Q42" s="287" t="n">
        <x:f>$A42*$C42*G42*$D42*(1+'02_Assumptions'!$C$11)^2</x:f>
        <x:v>0</x:v>
      </x:c>
      <x:c r="R42" s="287" t="n">
        <x:f>$A42*$C42*H42*$D42*(1+'02_Assumptions'!$C$11)^3</x:f>
        <x:v>0</x:v>
      </x:c>
      <x:c r="S42" s="287" t="n">
        <x:f>$A42*$C42*I42*$D42*(1+'02_Assumptions'!$C$11)^4</x:f>
        <x:v>0</x:v>
      </x:c>
      <x:c r="T42" s="287" t="n">
        <x:f>$A42*$C42*J42*$D42*(1+'02_Assumptions'!$C$11)^5</x:f>
        <x:v>0</x:v>
      </x:c>
      <x:c r="U42" s="287" t="n">
        <x:f>$A42*$C42*K42*$D42*(1+'02_Assumptions'!$C$11)^6</x:f>
        <x:v>0</x:v>
      </x:c>
      <x:c r="V42" s="287" t="n">
        <x:f>$A42*$C42*L42*$D42*(1+'02_Assumptions'!$C$11)^7</x:f>
        <x:v>0</x:v>
      </x:c>
      <x:c r="W42" s="287" t="n">
        <x:f>$A42*$C42*M42*$D42*(1+'02_Assumptions'!$C$11)^8</x:f>
        <x:v>0</x:v>
      </x:c>
      <x:c r="X42" s="287" t="n">
        <x:f>$A42*$C42*N42*$D42*(1+'02_Assumptions'!$C$11)^9</x:f>
        <x:v>0</x:v>
      </x:c>
      <x:c r="Y42" s="264"/>
      <x:c r="Z42" s="264"/>
      <x:c r="AA42" s="264"/>
      <x:c r="AB42" s="264"/>
      <x:c r="AC42" s="264"/>
      <x:c r="AD42" s="264"/>
      <x:c r="AE42" s="264"/>
      <x:c r="AF42" s="264"/>
      <x:c r="AG42" s="264"/>
      <x:c r="AH42" s="264"/>
      <x:c r="AI42" s="264"/>
      <x:c r="AJ42" s="264"/>
    </x:row>
    <x:row r="43">
      <x:c r="A43" s="384" t="n">
        <x:f>$A$9</x:f>
        <x:v>0</x:v>
      </x:c>
      <x:c r="B43" s="384" t="str">
        <x:f>$B$9</x:f>
        <x:v>Mucuna/benguk</x:v>
      </x:c>
      <x:c r="C43" s="384" t="n">
        <x:f>$K$9</x:f>
        <x:v>0</x:v>
      </x:c>
      <x:c r="D43" s="387" t="n">
        <x:v>0</x:v>
      </x:c>
      <x:c r="E43" s="389" t="n">
        <x:v>0</x:v>
      </x:c>
      <x:c r="F43" s="389" t="n">
        <x:v>0</x:v>
      </x:c>
      <x:c r="G43" s="389" t="n">
        <x:v>0</x:v>
      </x:c>
      <x:c r="H43" s="389" t="n">
        <x:v>0</x:v>
      </x:c>
      <x:c r="I43" s="389" t="n">
        <x:v>0</x:v>
      </x:c>
      <x:c r="J43" s="389" t="n">
        <x:v>0</x:v>
      </x:c>
      <x:c r="K43" s="389" t="n">
        <x:v>0</x:v>
      </x:c>
      <x:c r="L43" s="389" t="n">
        <x:v>0</x:v>
      </x:c>
      <x:c r="M43" s="389" t="n">
        <x:v>0</x:v>
      </x:c>
      <x:c r="N43" s="389" t="n">
        <x:v>0</x:v>
      </x:c>
      <x:c r="O43" s="287" t="n">
        <x:f>$A43*$C43*E43*$D43*(1+'02_Assumptions'!$C$11)^0</x:f>
        <x:v>0</x:v>
      </x:c>
      <x:c r="P43" s="287" t="n">
        <x:f>$A43*$C43*F43*$D43*(1+'02_Assumptions'!$C$11)^1</x:f>
        <x:v>0</x:v>
      </x:c>
      <x:c r="Q43" s="287" t="n">
        <x:f>$A43*$C43*G43*$D43*(1+'02_Assumptions'!$C$11)^2</x:f>
        <x:v>0</x:v>
      </x:c>
      <x:c r="R43" s="287" t="n">
        <x:f>$A43*$C43*H43*$D43*(1+'02_Assumptions'!$C$11)^3</x:f>
        <x:v>0</x:v>
      </x:c>
      <x:c r="S43" s="287" t="n">
        <x:f>$A43*$C43*I43*$D43*(1+'02_Assumptions'!$C$11)^4</x:f>
        <x:v>0</x:v>
      </x:c>
      <x:c r="T43" s="287" t="n">
        <x:f>$A43*$C43*J43*$D43*(1+'02_Assumptions'!$C$11)^5</x:f>
        <x:v>0</x:v>
      </x:c>
      <x:c r="U43" s="287" t="n">
        <x:f>$A43*$C43*K43*$D43*(1+'02_Assumptions'!$C$11)^6</x:f>
        <x:v>0</x:v>
      </x:c>
      <x:c r="V43" s="287" t="n">
        <x:f>$A43*$C43*L43*$D43*(1+'02_Assumptions'!$C$11)^7</x:f>
        <x:v>0</x:v>
      </x:c>
      <x:c r="W43" s="287" t="n">
        <x:f>$A43*$C43*M43*$D43*(1+'02_Assumptions'!$C$11)^8</x:f>
        <x:v>0</x:v>
      </x:c>
      <x:c r="X43" s="287" t="n">
        <x:f>$A43*$C43*N43*$D43*(1+'02_Assumptions'!$C$11)^9</x:f>
        <x:v>0</x:v>
      </x:c>
      <x:c r="Y43" s="264"/>
      <x:c r="Z43" s="264"/>
      <x:c r="AA43" s="264"/>
      <x:c r="AB43" s="264"/>
      <x:c r="AC43" s="264"/>
      <x:c r="AD43" s="264"/>
      <x:c r="AE43" s="264"/>
      <x:c r="AF43" s="264"/>
      <x:c r="AG43" s="264"/>
      <x:c r="AH43" s="264"/>
      <x:c r="AI43" s="264"/>
      <x:c r="AJ43" s="264"/>
    </x:row>
    <x:row r="44">
      <x:c r="A44" s="384" t="n">
        <x:f>$A$10</x:f>
        <x:v>0</x:v>
      </x:c>
      <x:c r="B44" s="384" t="str">
        <x:f>$B$10</x:f>
        <x:v>Vetiver</x:v>
      </x:c>
      <x:c r="C44" s="384" t="n">
        <x:f>$K$10</x:f>
        <x:v>0</x:v>
      </x:c>
      <x:c r="D44" s="387" t="n">
        <x:v>0</x:v>
      </x:c>
      <x:c r="E44" s="389" t="n">
        <x:v>0</x:v>
      </x:c>
      <x:c r="F44" s="389" t="n">
        <x:v>0</x:v>
      </x:c>
      <x:c r="G44" s="389" t="n">
        <x:v>0</x:v>
      </x:c>
      <x:c r="H44" s="389" t="n">
        <x:v>0</x:v>
      </x:c>
      <x:c r="I44" s="389" t="n">
        <x:v>0</x:v>
      </x:c>
      <x:c r="J44" s="389" t="n">
        <x:v>0</x:v>
      </x:c>
      <x:c r="K44" s="389" t="n">
        <x:v>0</x:v>
      </x:c>
      <x:c r="L44" s="389" t="n">
        <x:v>0</x:v>
      </x:c>
      <x:c r="M44" s="389" t="n">
        <x:v>0</x:v>
      </x:c>
      <x:c r="N44" s="389" t="n">
        <x:v>0</x:v>
      </x:c>
      <x:c r="O44" s="287" t="n">
        <x:f>$A44*$C44*E44*$D44*(1+'02_Assumptions'!$C$11)^0</x:f>
        <x:v>0</x:v>
      </x:c>
      <x:c r="P44" s="287" t="n">
        <x:f>$A44*$C44*F44*$D44*(1+'02_Assumptions'!$C$11)^1</x:f>
        <x:v>0</x:v>
      </x:c>
      <x:c r="Q44" s="287" t="n">
        <x:f>$A44*$C44*G44*$D44*(1+'02_Assumptions'!$C$11)^2</x:f>
        <x:v>0</x:v>
      </x:c>
      <x:c r="R44" s="287" t="n">
        <x:f>$A44*$C44*H44*$D44*(1+'02_Assumptions'!$C$11)^3</x:f>
        <x:v>0</x:v>
      </x:c>
      <x:c r="S44" s="287" t="n">
        <x:f>$A44*$C44*I44*$D44*(1+'02_Assumptions'!$C$11)^4</x:f>
        <x:v>0</x:v>
      </x:c>
      <x:c r="T44" s="287" t="n">
        <x:f>$A44*$C44*J44*$D44*(1+'02_Assumptions'!$C$11)^5</x:f>
        <x:v>0</x:v>
      </x:c>
      <x:c r="U44" s="287" t="n">
        <x:f>$A44*$C44*K44*$D44*(1+'02_Assumptions'!$C$11)^6</x:f>
        <x:v>0</x:v>
      </x:c>
      <x:c r="V44" s="287" t="n">
        <x:f>$A44*$C44*L44*$D44*(1+'02_Assumptions'!$C$11)^7</x:f>
        <x:v>0</x:v>
      </x:c>
      <x:c r="W44" s="287" t="n">
        <x:f>$A44*$C44*M44*$D44*(1+'02_Assumptions'!$C$11)^8</x:f>
        <x:v>0</x:v>
      </x:c>
      <x:c r="X44" s="287" t="n">
        <x:f>$A44*$C44*N44*$D44*(1+'02_Assumptions'!$C$11)^9</x:f>
        <x:v>0</x:v>
      </x:c>
      <x:c r="Y44" s="264"/>
      <x:c r="Z44" s="264"/>
      <x:c r="AA44" s="264"/>
      <x:c r="AB44" s="264"/>
      <x:c r="AC44" s="264"/>
      <x:c r="AD44" s="264"/>
      <x:c r="AE44" s="264"/>
      <x:c r="AF44" s="264"/>
      <x:c r="AG44" s="264"/>
      <x:c r="AH44" s="264"/>
      <x:c r="AI44" s="264"/>
      <x:c r="AJ44" s="264"/>
    </x:row>
    <x:row r="45">
      <x:c r="A45" s="384" t="n">
        <x:f>$A$11</x:f>
        <x:v>0</x:v>
      </x:c>
      <x:c r="B45" s="384" t="str">
        <x:f>$B$11</x:f>
        <x:v>Tithonia</x:v>
      </x:c>
      <x:c r="C45" s="384" t="n">
        <x:f>$K$11</x:f>
        <x:v>0</x:v>
      </x:c>
      <x:c r="D45" s="387" t="n">
        <x:v>0</x:v>
      </x:c>
      <x:c r="E45" s="389" t="n">
        <x:v>0</x:v>
      </x:c>
      <x:c r="F45" s="389" t="n">
        <x:v>0</x:v>
      </x:c>
      <x:c r="G45" s="389" t="n">
        <x:v>0</x:v>
      </x:c>
      <x:c r="H45" s="389" t="n">
        <x:v>0</x:v>
      </x:c>
      <x:c r="I45" s="389" t="n">
        <x:v>0</x:v>
      </x:c>
      <x:c r="J45" s="389" t="n">
        <x:v>0</x:v>
      </x:c>
      <x:c r="K45" s="389" t="n">
        <x:v>0</x:v>
      </x:c>
      <x:c r="L45" s="389" t="n">
        <x:v>0</x:v>
      </x:c>
      <x:c r="M45" s="389" t="n">
        <x:v>0</x:v>
      </x:c>
      <x:c r="N45" s="389" t="n">
        <x:v>0</x:v>
      </x:c>
      <x:c r="O45" s="287" t="n">
        <x:f>$A45*$C45*E45*$D45*(1+'02_Assumptions'!$C$11)^0</x:f>
        <x:v>0</x:v>
      </x:c>
      <x:c r="P45" s="287" t="n">
        <x:f>$A45*$C45*F45*$D45*(1+'02_Assumptions'!$C$11)^1</x:f>
        <x:v>0</x:v>
      </x:c>
      <x:c r="Q45" s="287" t="n">
        <x:f>$A45*$C45*G45*$D45*(1+'02_Assumptions'!$C$11)^2</x:f>
        <x:v>0</x:v>
      </x:c>
      <x:c r="R45" s="287" t="n">
        <x:f>$A45*$C45*H45*$D45*(1+'02_Assumptions'!$C$11)^3</x:f>
        <x:v>0</x:v>
      </x:c>
      <x:c r="S45" s="287" t="n">
        <x:f>$A45*$C45*I45*$D45*(1+'02_Assumptions'!$C$11)^4</x:f>
        <x:v>0</x:v>
      </x:c>
      <x:c r="T45" s="287" t="n">
        <x:f>$A45*$C45*J45*$D45*(1+'02_Assumptions'!$C$11)^5</x:f>
        <x:v>0</x:v>
      </x:c>
      <x:c r="U45" s="287" t="n">
        <x:f>$A45*$C45*K45*$D45*(1+'02_Assumptions'!$C$11)^6</x:f>
        <x:v>0</x:v>
      </x:c>
      <x:c r="V45" s="287" t="n">
        <x:f>$A45*$C45*L45*$D45*(1+'02_Assumptions'!$C$11)^7</x:f>
        <x:v>0</x:v>
      </x:c>
      <x:c r="W45" s="287" t="n">
        <x:f>$A45*$C45*M45*$D45*(1+'02_Assumptions'!$C$11)^8</x:f>
        <x:v>0</x:v>
      </x:c>
      <x:c r="X45" s="287" t="n">
        <x:f>$A45*$C45*N45*$D45*(1+'02_Assumptions'!$C$11)^9</x:f>
        <x:v>0</x:v>
      </x:c>
      <x:c r="Y45" s="264"/>
      <x:c r="Z45" s="264"/>
      <x:c r="AA45" s="264"/>
      <x:c r="AB45" s="264"/>
      <x:c r="AC45" s="264"/>
      <x:c r="AD45" s="264"/>
      <x:c r="AE45" s="264"/>
      <x:c r="AF45" s="264"/>
      <x:c r="AG45" s="264"/>
      <x:c r="AH45" s="264"/>
      <x:c r="AI45" s="264"/>
      <x:c r="AJ45" s="264"/>
    </x:row>
    <x:row r="46">
      <x:c r="A46" s="384" t="n">
        <x:f>$A$12</x:f>
        <x:v>0</x:v>
      </x:c>
      <x:c r="B46" s="384" t="str">
        <x:f>$B$12</x:f>
        <x:v>Tambahan 5</x:v>
      </x:c>
      <x:c r="C46" s="384" t="n">
        <x:f>$K$12</x:f>
        <x:v>0</x:v>
      </x:c>
      <x:c r="D46" s="387" t="n">
        <x:v>0</x:v>
      </x:c>
      <x:c r="E46" s="389" t="n">
        <x:v>0</x:v>
      </x:c>
      <x:c r="F46" s="389" t="n">
        <x:v>0</x:v>
      </x:c>
      <x:c r="G46" s="389" t="n">
        <x:v>0</x:v>
      </x:c>
      <x:c r="H46" s="389" t="n">
        <x:v>0</x:v>
      </x:c>
      <x:c r="I46" s="389" t="n">
        <x:v>0</x:v>
      </x:c>
      <x:c r="J46" s="389" t="n">
        <x:v>0</x:v>
      </x:c>
      <x:c r="K46" s="389" t="n">
        <x:v>0</x:v>
      </x:c>
      <x:c r="L46" s="389" t="n">
        <x:v>0</x:v>
      </x:c>
      <x:c r="M46" s="389" t="n">
        <x:v>0</x:v>
      </x:c>
      <x:c r="N46" s="389" t="n">
        <x:v>0</x:v>
      </x:c>
      <x:c r="O46" s="287" t="n">
        <x:f>$A46*$C46*E46*$D46*(1+'02_Assumptions'!$C$11)^0</x:f>
        <x:v>0</x:v>
      </x:c>
      <x:c r="P46" s="287" t="n">
        <x:f>$A46*$C46*F46*$D46*(1+'02_Assumptions'!$C$11)^1</x:f>
        <x:v>0</x:v>
      </x:c>
      <x:c r="Q46" s="287" t="n">
        <x:f>$A46*$C46*G46*$D46*(1+'02_Assumptions'!$C$11)^2</x:f>
        <x:v>0</x:v>
      </x:c>
      <x:c r="R46" s="287" t="n">
        <x:f>$A46*$C46*H46*$D46*(1+'02_Assumptions'!$C$11)^3</x:f>
        <x:v>0</x:v>
      </x:c>
      <x:c r="S46" s="287" t="n">
        <x:f>$A46*$C46*I46*$D46*(1+'02_Assumptions'!$C$11)^4</x:f>
        <x:v>0</x:v>
      </x:c>
      <x:c r="T46" s="287" t="n">
        <x:f>$A46*$C46*J46*$D46*(1+'02_Assumptions'!$C$11)^5</x:f>
        <x:v>0</x:v>
      </x:c>
      <x:c r="U46" s="287" t="n">
        <x:f>$A46*$C46*K46*$D46*(1+'02_Assumptions'!$C$11)^6</x:f>
        <x:v>0</x:v>
      </x:c>
      <x:c r="V46" s="287" t="n">
        <x:f>$A46*$C46*L46*$D46*(1+'02_Assumptions'!$C$11)^7</x:f>
        <x:v>0</x:v>
      </x:c>
      <x:c r="W46" s="287" t="n">
        <x:f>$A46*$C46*M46*$D46*(1+'02_Assumptions'!$C$11)^8</x:f>
        <x:v>0</x:v>
      </x:c>
      <x:c r="X46" s="287" t="n">
        <x:f>$A46*$C46*N46*$D46*(1+'02_Assumptions'!$C$11)^9</x:f>
        <x:v>0</x:v>
      </x:c>
      <x:c r="Y46" s="264"/>
      <x:c r="Z46" s="264"/>
      <x:c r="AA46" s="264"/>
      <x:c r="AB46" s="264"/>
      <x:c r="AC46" s="264"/>
      <x:c r="AD46" s="264"/>
      <x:c r="AE46" s="264"/>
      <x:c r="AF46" s="264"/>
      <x:c r="AG46" s="264"/>
      <x:c r="AH46" s="264"/>
      <x:c r="AI46" s="264"/>
      <x:c r="AJ46" s="264"/>
    </x:row>
    <x:row r="47">
      <x:c r="A47" s="384" t="n">
        <x:f>$A$13</x:f>
        <x:v>0</x:v>
      </x:c>
      <x:c r="B47" s="384" t="str">
        <x:f>$B$13</x:f>
        <x:v>Tambahan 6</x:v>
      </x:c>
      <x:c r="C47" s="384" t="n">
        <x:f>$K$13</x:f>
        <x:v>0</x:v>
      </x:c>
      <x:c r="D47" s="387" t="n">
        <x:v>0</x:v>
      </x:c>
      <x:c r="E47" s="389" t="n">
        <x:v>0</x:v>
      </x:c>
      <x:c r="F47" s="389" t="n">
        <x:v>0</x:v>
      </x:c>
      <x:c r="G47" s="389" t="n">
        <x:v>0</x:v>
      </x:c>
      <x:c r="H47" s="389" t="n">
        <x:v>0</x:v>
      </x:c>
      <x:c r="I47" s="389" t="n">
        <x:v>0</x:v>
      </x:c>
      <x:c r="J47" s="389" t="n">
        <x:v>0</x:v>
      </x:c>
      <x:c r="K47" s="389" t="n">
        <x:v>0</x:v>
      </x:c>
      <x:c r="L47" s="389" t="n">
        <x:v>0</x:v>
      </x:c>
      <x:c r="M47" s="389" t="n">
        <x:v>0</x:v>
      </x:c>
      <x:c r="N47" s="389" t="n">
        <x:v>0</x:v>
      </x:c>
      <x:c r="O47" s="287" t="n">
        <x:f>$A47*$C47*E47*$D47*(1+'02_Assumptions'!$C$11)^0</x:f>
        <x:v>0</x:v>
      </x:c>
      <x:c r="P47" s="287" t="n">
        <x:f>$A47*$C47*F47*$D47*(1+'02_Assumptions'!$C$11)^1</x:f>
        <x:v>0</x:v>
      </x:c>
      <x:c r="Q47" s="287" t="n">
        <x:f>$A47*$C47*G47*$D47*(1+'02_Assumptions'!$C$11)^2</x:f>
        <x:v>0</x:v>
      </x:c>
      <x:c r="R47" s="287" t="n">
        <x:f>$A47*$C47*H47*$D47*(1+'02_Assumptions'!$C$11)^3</x:f>
        <x:v>0</x:v>
      </x:c>
      <x:c r="S47" s="287" t="n">
        <x:f>$A47*$C47*I47*$D47*(1+'02_Assumptions'!$C$11)^4</x:f>
        <x:v>0</x:v>
      </x:c>
      <x:c r="T47" s="287" t="n">
        <x:f>$A47*$C47*J47*$D47*(1+'02_Assumptions'!$C$11)^5</x:f>
        <x:v>0</x:v>
      </x:c>
      <x:c r="U47" s="287" t="n">
        <x:f>$A47*$C47*K47*$D47*(1+'02_Assumptions'!$C$11)^6</x:f>
        <x:v>0</x:v>
      </x:c>
      <x:c r="V47" s="287" t="n">
        <x:f>$A47*$C47*L47*$D47*(1+'02_Assumptions'!$C$11)^7</x:f>
        <x:v>0</x:v>
      </x:c>
      <x:c r="W47" s="287" t="n">
        <x:f>$A47*$C47*M47*$D47*(1+'02_Assumptions'!$C$11)^8</x:f>
        <x:v>0</x:v>
      </x:c>
      <x:c r="X47" s="287" t="n">
        <x:f>$A47*$C47*N47*$D47*(1+'02_Assumptions'!$C$11)^9</x:f>
        <x:v>0</x:v>
      </x:c>
      <x:c r="Y47" s="264"/>
      <x:c r="Z47" s="264"/>
      <x:c r="AA47" s="264"/>
      <x:c r="AB47" s="264"/>
      <x:c r="AC47" s="264"/>
      <x:c r="AD47" s="264"/>
      <x:c r="AE47" s="264"/>
      <x:c r="AF47" s="264"/>
      <x:c r="AG47" s="264"/>
      <x:c r="AH47" s="264"/>
      <x:c r="AI47" s="264"/>
      <x:c r="AJ47" s="264"/>
    </x:row>
    <x:row r="48">
      <x:c r="A48" s="384" t="n">
        <x:f>$A$14</x:f>
        <x:v>0</x:v>
      </x:c>
      <x:c r="B48" s="384" t="str">
        <x:f>$B$14</x:f>
        <x:v>Tambahan 7</x:v>
      </x:c>
      <x:c r="C48" s="384" t="n">
        <x:f>$K$14</x:f>
        <x:v>0</x:v>
      </x:c>
      <x:c r="D48" s="387" t="n">
        <x:v>0</x:v>
      </x:c>
      <x:c r="E48" s="389" t="n">
        <x:v>0</x:v>
      </x:c>
      <x:c r="F48" s="389" t="n">
        <x:v>0</x:v>
      </x:c>
      <x:c r="G48" s="389" t="n">
        <x:v>0</x:v>
      </x:c>
      <x:c r="H48" s="389" t="n">
        <x:v>0</x:v>
      </x:c>
      <x:c r="I48" s="389" t="n">
        <x:v>0</x:v>
      </x:c>
      <x:c r="J48" s="389" t="n">
        <x:v>0</x:v>
      </x:c>
      <x:c r="K48" s="389" t="n">
        <x:v>0</x:v>
      </x:c>
      <x:c r="L48" s="389" t="n">
        <x:v>0</x:v>
      </x:c>
      <x:c r="M48" s="389" t="n">
        <x:v>0</x:v>
      </x:c>
      <x:c r="N48" s="389" t="n">
        <x:v>0</x:v>
      </x:c>
      <x:c r="O48" s="287" t="n">
        <x:f>$A48*$C48*E48*$D48*(1+'02_Assumptions'!$C$11)^0</x:f>
        <x:v>0</x:v>
      </x:c>
      <x:c r="P48" s="287" t="n">
        <x:f>$A48*$C48*F48*$D48*(1+'02_Assumptions'!$C$11)^1</x:f>
        <x:v>0</x:v>
      </x:c>
      <x:c r="Q48" s="287" t="n">
        <x:f>$A48*$C48*G48*$D48*(1+'02_Assumptions'!$C$11)^2</x:f>
        <x:v>0</x:v>
      </x:c>
      <x:c r="R48" s="287" t="n">
        <x:f>$A48*$C48*H48*$D48*(1+'02_Assumptions'!$C$11)^3</x:f>
        <x:v>0</x:v>
      </x:c>
      <x:c r="S48" s="287" t="n">
        <x:f>$A48*$C48*I48*$D48*(1+'02_Assumptions'!$C$11)^4</x:f>
        <x:v>0</x:v>
      </x:c>
      <x:c r="T48" s="287" t="n">
        <x:f>$A48*$C48*J48*$D48*(1+'02_Assumptions'!$C$11)^5</x:f>
        <x:v>0</x:v>
      </x:c>
      <x:c r="U48" s="287" t="n">
        <x:f>$A48*$C48*K48*$D48*(1+'02_Assumptions'!$C$11)^6</x:f>
        <x:v>0</x:v>
      </x:c>
      <x:c r="V48" s="287" t="n">
        <x:f>$A48*$C48*L48*$D48*(1+'02_Assumptions'!$C$11)^7</x:f>
        <x:v>0</x:v>
      </x:c>
      <x:c r="W48" s="287" t="n">
        <x:f>$A48*$C48*M48*$D48*(1+'02_Assumptions'!$C$11)^8</x:f>
        <x:v>0</x:v>
      </x:c>
      <x:c r="X48" s="287" t="n">
        <x:f>$A48*$C48*N48*$D48*(1+'02_Assumptions'!$C$11)^9</x:f>
        <x:v>0</x:v>
      </x:c>
      <x:c r="Y48" s="264"/>
      <x:c r="Z48" s="264"/>
      <x:c r="AA48" s="264"/>
      <x:c r="AB48" s="264"/>
      <x:c r="AC48" s="264"/>
      <x:c r="AD48" s="264"/>
      <x:c r="AE48" s="264"/>
      <x:c r="AF48" s="264"/>
      <x:c r="AG48" s="264"/>
      <x:c r="AH48" s="264"/>
      <x:c r="AI48" s="264"/>
      <x:c r="AJ48" s="264"/>
    </x:row>
    <x:row r="49">
      <x:c r="A49" s="384" t="n">
        <x:f>$A$15</x:f>
        <x:v>0</x:v>
      </x:c>
      <x:c r="B49" s="384" t="str">
        <x:f>$B$15</x:f>
        <x:v>Tambahan 8</x:v>
      </x:c>
      <x:c r="C49" s="384" t="n">
        <x:f>$K$15</x:f>
        <x:v>0</x:v>
      </x:c>
      <x:c r="D49" s="387" t="n">
        <x:v>0</x:v>
      </x:c>
      <x:c r="E49" s="389" t="n">
        <x:v>0</x:v>
      </x:c>
      <x:c r="F49" s="389" t="n">
        <x:v>0</x:v>
      </x:c>
      <x:c r="G49" s="389" t="n">
        <x:v>0</x:v>
      </x:c>
      <x:c r="H49" s="389" t="n">
        <x:v>0</x:v>
      </x:c>
      <x:c r="I49" s="389" t="n">
        <x:v>0</x:v>
      </x:c>
      <x:c r="J49" s="389" t="n">
        <x:v>0</x:v>
      </x:c>
      <x:c r="K49" s="389" t="n">
        <x:v>0</x:v>
      </x:c>
      <x:c r="L49" s="389" t="n">
        <x:v>0</x:v>
      </x:c>
      <x:c r="M49" s="389" t="n">
        <x:v>0</x:v>
      </x:c>
      <x:c r="N49" s="389" t="n">
        <x:v>0</x:v>
      </x:c>
      <x:c r="O49" s="287" t="n">
        <x:f>$A49*$C49*E49*$D49*(1+'02_Assumptions'!$C$11)^0</x:f>
        <x:v>0</x:v>
      </x:c>
      <x:c r="P49" s="287" t="n">
        <x:f>$A49*$C49*F49*$D49*(1+'02_Assumptions'!$C$11)^1</x:f>
        <x:v>0</x:v>
      </x:c>
      <x:c r="Q49" s="287" t="n">
        <x:f>$A49*$C49*G49*$D49*(1+'02_Assumptions'!$C$11)^2</x:f>
        <x:v>0</x:v>
      </x:c>
      <x:c r="R49" s="287" t="n">
        <x:f>$A49*$C49*H49*$D49*(1+'02_Assumptions'!$C$11)^3</x:f>
        <x:v>0</x:v>
      </x:c>
      <x:c r="S49" s="287" t="n">
        <x:f>$A49*$C49*I49*$D49*(1+'02_Assumptions'!$C$11)^4</x:f>
        <x:v>0</x:v>
      </x:c>
      <x:c r="T49" s="287" t="n">
        <x:f>$A49*$C49*J49*$D49*(1+'02_Assumptions'!$C$11)^5</x:f>
        <x:v>0</x:v>
      </x:c>
      <x:c r="U49" s="287" t="n">
        <x:f>$A49*$C49*K49*$D49*(1+'02_Assumptions'!$C$11)^6</x:f>
        <x:v>0</x:v>
      </x:c>
      <x:c r="V49" s="287" t="n">
        <x:f>$A49*$C49*L49*$D49*(1+'02_Assumptions'!$C$11)^7</x:f>
        <x:v>0</x:v>
      </x:c>
      <x:c r="W49" s="287" t="n">
        <x:f>$A49*$C49*M49*$D49*(1+'02_Assumptions'!$C$11)^8</x:f>
        <x:v>0</x:v>
      </x:c>
      <x:c r="X49" s="287" t="n">
        <x:f>$A49*$C49*N49*$D49*(1+'02_Assumptions'!$C$11)^9</x:f>
        <x:v>0</x:v>
      </x:c>
      <x:c r="Y49" s="264"/>
      <x:c r="Z49" s="264"/>
      <x:c r="AA49" s="264"/>
      <x:c r="AB49" s="264"/>
      <x:c r="AC49" s="264"/>
      <x:c r="AD49" s="264"/>
      <x:c r="AE49" s="264"/>
      <x:c r="AF49" s="264"/>
      <x:c r="AG49" s="264"/>
      <x:c r="AH49" s="264"/>
      <x:c r="AI49" s="264"/>
      <x:c r="AJ49" s="264"/>
    </x:row>
    <x:row r="50">
      <x:c r="A50" s="264"/>
      <x:c r="B50" s="264"/>
      <x:c r="C50" s="264"/>
      <x:c r="D50" s="264"/>
      <x:c r="E50" s="264"/>
      <x:c r="F50" s="264"/>
      <x:c r="G50" s="264"/>
      <x:c r="H50" s="264"/>
      <x:c r="I50" s="264"/>
      <x:c r="J50" s="264"/>
      <x:c r="K50" s="264"/>
      <x:c r="L50" s="264"/>
      <x:c r="M50" s="264"/>
      <x:c r="N50" s="264"/>
      <x:c r="O50" s="287"/>
      <x:c r="P50" s="287"/>
      <x:c r="Q50" s="287"/>
      <x:c r="R50" s="287"/>
      <x:c r="S50" s="287"/>
      <x:c r="T50" s="287"/>
      <x:c r="U50" s="287"/>
      <x:c r="V50" s="287"/>
      <x:c r="W50" s="287"/>
      <x:c r="X50" s="287"/>
      <x:c r="Y50" s="264"/>
      <x:c r="Z50" s="264"/>
      <x:c r="AA50" s="264"/>
      <x:c r="AB50" s="264"/>
      <x:c r="AC50" s="264"/>
      <x:c r="AD50" s="264"/>
      <x:c r="AE50" s="264"/>
      <x:c r="AF50" s="264"/>
      <x:c r="AG50" s="264"/>
      <x:c r="AH50" s="264"/>
      <x:c r="AI50" s="264"/>
      <x:c r="AJ50" s="264"/>
    </x:row>
    <x:row r="51">
      <x:c r="A51" s="264"/>
      <x:c r="B51" s="264"/>
      <x:c r="C51" s="264"/>
      <x:c r="D51" s="264"/>
      <x:c r="E51" s="264"/>
      <x:c r="F51" s="264"/>
      <x:c r="G51" s="264"/>
      <x:c r="H51" s="264"/>
      <x:c r="I51" s="264"/>
      <x:c r="J51" s="264"/>
      <x:c r="K51" s="264"/>
      <x:c r="L51" s="264"/>
      <x:c r="M51" s="264"/>
      <x:c r="N51" s="264"/>
      <x:c r="O51" s="287"/>
      <x:c r="P51" s="287"/>
      <x:c r="Q51" s="287"/>
      <x:c r="R51" s="287"/>
      <x:c r="S51" s="287"/>
      <x:c r="T51" s="287"/>
      <x:c r="U51" s="287"/>
      <x:c r="V51" s="287"/>
      <x:c r="W51" s="287"/>
      <x:c r="X51" s="287"/>
      <x:c r="Y51" s="264"/>
      <x:c r="Z51" s="264"/>
      <x:c r="AA51" s="264"/>
      <x:c r="AB51" s="264"/>
      <x:c r="AC51" s="264"/>
      <x:c r="AD51" s="264"/>
      <x:c r="AE51" s="264"/>
      <x:c r="AF51" s="264"/>
      <x:c r="AG51" s="264"/>
      <x:c r="AH51" s="264"/>
      <x:c r="AI51" s="264"/>
      <x:c r="AJ51" s="264"/>
    </x:row>
    <x:row r="52">
      <x:c r="A52" s="390" t="str">
        <x:v>TOTAL BIAYA INPUT SPESIES OPSIONAL/TAMBAHAN</x:v>
      </x:c>
      <x:c r="B52" s="390"/>
      <x:c r="C52" s="390"/>
      <x:c r="D52" s="390"/>
      <x:c r="E52" s="390"/>
      <x:c r="F52" s="390"/>
      <x:c r="G52" s="390"/>
      <x:c r="H52" s="390"/>
      <x:c r="I52" s="390"/>
      <x:c r="J52" s="390"/>
      <x:c r="K52" s="390"/>
      <x:c r="L52" s="390"/>
      <x:c r="M52" s="390"/>
      <x:c r="N52" s="390"/>
      <x:c r="O52" s="390" t="n">
        <x:f>SUM(O40:O49)</x:f>
        <x:v>0</x:v>
      </x:c>
      <x:c r="P52" s="390" t="n">
        <x:f>SUM(P40:P49)</x:f>
        <x:v>0</x:v>
      </x:c>
      <x:c r="Q52" s="390" t="n">
        <x:f>SUM(Q40:Q49)</x:f>
        <x:v>0</x:v>
      </x:c>
      <x:c r="R52" s="390" t="n">
        <x:f>SUM(R40:R49)</x:f>
        <x:v>0</x:v>
      </x:c>
      <x:c r="S52" s="390" t="n">
        <x:f>SUM(S40:S49)</x:f>
        <x:v>0</x:v>
      </x:c>
      <x:c r="T52" s="390" t="n">
        <x:f>SUM(T40:T49)</x:f>
        <x:v>0</x:v>
      </x:c>
      <x:c r="U52" s="390" t="n">
        <x:f>SUM(U40:U49)</x:f>
        <x:v>0</x:v>
      </x:c>
      <x:c r="V52" s="390" t="n">
        <x:f>SUM(V40:V49)</x:f>
        <x:v>0</x:v>
      </x:c>
      <x:c r="W52" s="390" t="n">
        <x:f>SUM(W40:W49)</x:f>
        <x:v>0</x:v>
      </x:c>
      <x:c r="X52" s="390" t="n">
        <x:f>SUM(X40:X49)</x:f>
        <x:v>0</x:v>
      </x:c>
      <x:c r="Y52" s="390"/>
      <x:c r="Z52" s="264"/>
      <x:c r="AA52" s="264"/>
      <x:c r="AB52" s="264"/>
      <x:c r="AC52" s="264"/>
      <x:c r="AD52" s="264"/>
      <x:c r="AE52" s="264"/>
      <x:c r="AF52" s="264"/>
      <x:c r="AG52" s="264"/>
      <x:c r="AH52" s="264"/>
      <x:c r="AI52" s="264"/>
      <x:c r="AJ52" s="264"/>
    </x:row>
    <x:row r="53">
      <x:c r="A53" s="264"/>
      <x:c r="B53" s="264"/>
      <x:c r="C53" s="264"/>
      <x:c r="D53" s="264"/>
      <x:c r="E53" s="264"/>
      <x:c r="F53" s="264"/>
      <x:c r="G53" s="264"/>
      <x:c r="H53" s="264"/>
      <x:c r="I53" s="264"/>
      <x:c r="J53" s="264"/>
      <x:c r="K53" s="264"/>
      <x:c r="L53" s="264"/>
      <x:c r="M53" s="264"/>
      <x:c r="N53" s="264"/>
      <x:c r="O53" s="264"/>
      <x:c r="P53" s="264"/>
      <x:c r="Q53" s="264"/>
      <x:c r="R53" s="264"/>
      <x:c r="S53" s="264"/>
      <x:c r="T53" s="264"/>
      <x:c r="U53" s="264"/>
      <x:c r="V53" s="264"/>
      <x:c r="W53" s="264"/>
      <x:c r="X53" s="264"/>
      <x:c r="Y53" s="264"/>
      <x:c r="Z53" s="264"/>
      <x:c r="AA53" s="264"/>
      <x:c r="AB53" s="264"/>
      <x:c r="AC53" s="264"/>
      <x:c r="AD53" s="264"/>
      <x:c r="AE53" s="264"/>
      <x:c r="AF53" s="264"/>
      <x:c r="AG53" s="264"/>
      <x:c r="AH53" s="264"/>
      <x:c r="AI53" s="264"/>
      <x:c r="AJ53" s="264"/>
    </x:row>
    <x:row r="54">
      <x:c r="A54" s="264"/>
      <x:c r="B54" s="264"/>
      <x:c r="C54" s="264"/>
      <x:c r="D54" s="264"/>
      <x:c r="E54" s="264"/>
      <x:c r="F54" s="264"/>
      <x:c r="G54" s="264"/>
      <x:c r="H54" s="264"/>
      <x:c r="I54" s="264"/>
      <x:c r="J54" s="264"/>
      <x:c r="K54" s="264"/>
      <x:c r="L54" s="264"/>
      <x:c r="M54" s="264"/>
      <x:c r="N54" s="264"/>
      <x:c r="O54" s="264"/>
      <x:c r="P54" s="264"/>
      <x:c r="Q54" s="264"/>
      <x:c r="R54" s="264"/>
      <x:c r="S54" s="264"/>
      <x:c r="T54" s="264"/>
      <x:c r="U54" s="264"/>
      <x:c r="V54" s="264"/>
      <x:c r="W54" s="264"/>
      <x:c r="X54" s="264"/>
      <x:c r="Y54" s="264"/>
      <x:c r="Z54" s="264"/>
      <x:c r="AA54" s="264"/>
      <x:c r="AB54" s="264"/>
      <x:c r="AC54" s="264"/>
      <x:c r="AD54" s="264"/>
      <x:c r="AE54" s="264"/>
      <x:c r="AF54" s="264"/>
      <x:c r="AG54" s="264"/>
      <x:c r="AH54" s="264"/>
      <x:c r="AI54" s="264"/>
      <x:c r="AJ54" s="264"/>
    </x:row>
    <x:row r="55" ht="20" customHeight="1">
      <x:c r="A55" s="383" t="str">
        <x:v>D. HOK pemeliharaan spesies opsional/tambahan</x:v>
      </x:c>
      <x:c r="B55" s="383"/>
      <x:c r="C55" s="383"/>
      <x:c r="D55" s="383"/>
      <x:c r="E55" s="383"/>
      <x:c r="F55" s="383"/>
      <x:c r="G55" s="383"/>
      <x:c r="H55" s="383"/>
      <x:c r="I55" s="383"/>
      <x:c r="J55" s="383"/>
      <x:c r="K55" s="383"/>
      <x:c r="L55" s="383"/>
      <x:c r="M55" s="383"/>
      <x:c r="N55" s="383"/>
      <x:c r="O55" s="383"/>
      <x:c r="P55" s="383"/>
      <x:c r="Q55" s="383"/>
      <x:c r="R55" s="383"/>
      <x:c r="S55" s="383"/>
      <x:c r="T55" s="383"/>
      <x:c r="U55" s="383"/>
      <x:c r="V55" s="383"/>
      <x:c r="W55" s="383"/>
      <x:c r="X55" s="383"/>
      <x:c r="Y55" s="264"/>
      <x:c r="Z55" s="264"/>
      <x:c r="AA55" s="264"/>
      <x:c r="AB55" s="264"/>
      <x:c r="AC55" s="264"/>
      <x:c r="AD55" s="264"/>
      <x:c r="AE55" s="264"/>
      <x:c r="AF55" s="264"/>
      <x:c r="AG55" s="264"/>
      <x:c r="AH55" s="264"/>
      <x:c r="AI55" s="264"/>
      <x:c r="AJ55" s="264"/>
    </x:row>
    <x:row r="56" ht="32" customHeight="1">
      <x:c r="A56" s="368" t="str">
        <x:v>Aktif</x:v>
      </x:c>
      <x:c r="B56" s="368" t="str">
        <x:v>Aktivitas/komoditas</x:v>
      </x:c>
      <x:c r="C56" s="368" t="str">
        <x:v>Basis hidup</x:v>
      </x:c>
      <x:c r="D56" s="368" t="str">
        <x:v>HOK/basis T1</x:v>
      </x:c>
      <x:c r="E56" s="368" t="str">
        <x:v>HOK/basis T2</x:v>
      </x:c>
      <x:c r="F56" s="368" t="str">
        <x:v>HOK/basis T3</x:v>
      </x:c>
      <x:c r="G56" s="368" t="str">
        <x:v>HOK/basis T4</x:v>
      </x:c>
      <x:c r="H56" s="368" t="str">
        <x:v>HOK/basis T5</x:v>
      </x:c>
      <x:c r="I56" s="368" t="str">
        <x:v>HOK/basis T6</x:v>
      </x:c>
      <x:c r="J56" s="368" t="str">
        <x:v>HOK/basis T7</x:v>
      </x:c>
      <x:c r="K56" s="368" t="str">
        <x:v>HOK/basis T8</x:v>
      </x:c>
      <x:c r="L56" s="368" t="str">
        <x:v>HOK/basis T9</x:v>
      </x:c>
      <x:c r="M56" s="368" t="str">
        <x:v>HOK/basis T10</x:v>
      </x:c>
      <x:c r="N56" s="368" t="str">
        <x:v>HOK T1</x:v>
      </x:c>
      <x:c r="O56" s="368" t="str">
        <x:v>HOK T2</x:v>
      </x:c>
      <x:c r="P56" s="368" t="str">
        <x:v>HOK T3</x:v>
      </x:c>
      <x:c r="Q56" s="368" t="str">
        <x:v>HOK T4</x:v>
      </x:c>
      <x:c r="R56" s="368" t="str">
        <x:v>HOK T5</x:v>
      </x:c>
      <x:c r="S56" s="368" t="str">
        <x:v>HOK T6</x:v>
      </x:c>
      <x:c r="T56" s="368" t="str">
        <x:v>HOK T7</x:v>
      </x:c>
      <x:c r="U56" s="368" t="str">
        <x:v>HOK T8</x:v>
      </x:c>
      <x:c r="V56" s="368" t="str">
        <x:v>HOK T9</x:v>
      </x:c>
      <x:c r="W56" s="368" t="str">
        <x:v>HOK T10</x:v>
      </x:c>
      <x:c r="X56" s="368" t="str">
        <x:v>Catatan</x:v>
      </x:c>
      <x:c r="Y56" s="264"/>
      <x:c r="Z56" s="264"/>
      <x:c r="AA56" s="264"/>
      <x:c r="AB56" s="264"/>
      <x:c r="AC56" s="264"/>
      <x:c r="AD56" s="264"/>
      <x:c r="AE56" s="264"/>
      <x:c r="AF56" s="264"/>
      <x:c r="AG56" s="264"/>
      <x:c r="AH56" s="264"/>
      <x:c r="AI56" s="264"/>
      <x:c r="AJ56" s="264"/>
    </x:row>
    <x:row r="57">
      <x:c r="A57" s="384" t="n">
        <x:f>$A$6</x:f>
        <x:v>0</x:v>
      </x:c>
      <x:c r="B57" s="384" t="str">
        <x:f>$B$6</x:f>
        <x:v>Nanas</x:v>
      </x:c>
      <x:c r="C57" s="384" t="n">
        <x:f>$K$6</x:f>
        <x:v>0</x:v>
      </x:c>
      <x:c r="D57" s="388" t="n">
        <x:v>0.025</x:v>
      </x:c>
      <x:c r="E57" s="388" t="n">
        <x:v>0.03</x:v>
      </x:c>
      <x:c r="F57" s="388" t="n">
        <x:v>0.015</x:v>
      </x:c>
      <x:c r="G57" s="388" t="n">
        <x:v>0</x:v>
      </x:c>
      <x:c r="H57" s="388" t="n">
        <x:v>0</x:v>
      </x:c>
      <x:c r="I57" s="388" t="n">
        <x:v>0</x:v>
      </x:c>
      <x:c r="J57" s="388" t="n">
        <x:v>0</x:v>
      </x:c>
      <x:c r="K57" s="388" t="n">
        <x:v>0</x:v>
      </x:c>
      <x:c r="L57" s="388" t="n">
        <x:v>0</x:v>
      </x:c>
      <x:c r="M57" s="388" t="n">
        <x:v>0</x:v>
      </x:c>
      <x:c r="N57" s="288" t="n">
        <x:f>$A57*$C57*D57</x:f>
        <x:v>0</x:v>
      </x:c>
      <x:c r="O57" s="288" t="n">
        <x:f>$A57*$C57*E57</x:f>
        <x:v>0</x:v>
      </x:c>
      <x:c r="P57" s="288" t="n">
        <x:f>$A57*$C57*F57</x:f>
        <x:v>0</x:v>
      </x:c>
      <x:c r="Q57" s="288" t="n">
        <x:f>$A57*$C57*G57</x:f>
        <x:v>0</x:v>
      </x:c>
      <x:c r="R57" s="288" t="n">
        <x:f>$A57*$C57*H57</x:f>
        <x:v>0</x:v>
      </x:c>
      <x:c r="S57" s="288" t="n">
        <x:f>$A57*$C57*I57</x:f>
        <x:v>0</x:v>
      </x:c>
      <x:c r="T57" s="288" t="n">
        <x:f>$A57*$C57*J57</x:f>
        <x:v>0</x:v>
      </x:c>
      <x:c r="U57" s="288" t="n">
        <x:f>$A57*$C57*K57</x:f>
        <x:v>0</x:v>
      </x:c>
      <x:c r="V57" s="288" t="n">
        <x:f>$A57*$C57*L57</x:f>
        <x:v>0</x:v>
      </x:c>
      <x:c r="W57" s="288" t="n">
        <x:f>$A57*$C57*M57</x:f>
        <x:v>0</x:v>
      </x:c>
      <x:c r="X57" s="264" t="str">
        <x:v>Sanitasi, penyiangan, pemupukan, dan pemeliharaan nanas</x:v>
      </x:c>
      <x:c r="Y57" s="264"/>
      <x:c r="Z57" s="264"/>
      <x:c r="AA57" s="264"/>
      <x:c r="AB57" s="264"/>
      <x:c r="AC57" s="264"/>
      <x:c r="AD57" s="264"/>
      <x:c r="AE57" s="264"/>
      <x:c r="AF57" s="264"/>
      <x:c r="AG57" s="264"/>
      <x:c r="AH57" s="264"/>
      <x:c r="AI57" s="264"/>
      <x:c r="AJ57" s="264"/>
    </x:row>
    <x:row r="58">
      <x:c r="A58" s="384" t="n">
        <x:f>$A$7</x:f>
        <x:v>1</x:v>
      </x:c>
      <x:c r="B58" s="384" t="str">
        <x:f>$B$7</x:f>
        <x:v>Arachis pintoi</x:v>
      </x:c>
      <x:c r="C58" s="384" t="n">
        <x:f>$K$7</x:f>
        <x:v>57.2</x:v>
      </x:c>
      <x:c r="D58" s="388" t="n">
        <x:v>4</x:v>
      </x:c>
      <x:c r="E58" s="388" t="n">
        <x:v>3</x:v>
      </x:c>
      <x:c r="F58" s="388" t="n">
        <x:v>2</x:v>
      </x:c>
      <x:c r="G58" s="388" t="n">
        <x:v>2</x:v>
      </x:c>
      <x:c r="H58" s="388" t="n">
        <x:v>2</x:v>
      </x:c>
      <x:c r="I58" s="388" t="n">
        <x:v>2</x:v>
      </x:c>
      <x:c r="J58" s="388" t="n">
        <x:v>2</x:v>
      </x:c>
      <x:c r="K58" s="388" t="n">
        <x:v>2</x:v>
      </x:c>
      <x:c r="L58" s="388" t="n">
        <x:v>2</x:v>
      </x:c>
      <x:c r="M58" s="388" t="n">
        <x:v>2</x:v>
      </x:c>
      <x:c r="N58" s="288" t="n">
        <x:f>$A58*$C58*D58</x:f>
        <x:v>228.8</x:v>
      </x:c>
      <x:c r="O58" s="288" t="n">
        <x:f>$A58*$C58*E58</x:f>
        <x:v>171.60000000000002</x:v>
      </x:c>
      <x:c r="P58" s="288" t="n">
        <x:f>$A58*$C58*F58</x:f>
        <x:v>114.4</x:v>
      </x:c>
      <x:c r="Q58" s="288" t="n">
        <x:f>$A58*$C58*G58</x:f>
        <x:v>114.4</x:v>
      </x:c>
      <x:c r="R58" s="288" t="n">
        <x:f>$A58*$C58*H58</x:f>
        <x:v>114.4</x:v>
      </x:c>
      <x:c r="S58" s="288" t="n">
        <x:f>$A58*$C58*I58</x:f>
        <x:v>114.4</x:v>
      </x:c>
      <x:c r="T58" s="288" t="n">
        <x:f>$A58*$C58*J58</x:f>
        <x:v>114.4</x:v>
      </x:c>
      <x:c r="U58" s="288" t="n">
        <x:f>$A58*$C58*K58</x:f>
        <x:v>114.4</x:v>
      </x:c>
      <x:c r="V58" s="288" t="n">
        <x:f>$A58*$C58*L58</x:f>
        <x:v>114.4</x:v>
      </x:c>
      <x:c r="W58" s="288" t="n">
        <x:f>$A58*$C58*M58</x:f>
        <x:v>114.4</x:v>
      </x:c>
      <x:c r="X58" s="264" t="str">
        <x:v>Pembentukan penutup tanah dan penyiangan lingkar batang; kebutuhan turun setelah tutupan terbentuk</x:v>
      </x:c>
      <x:c r="Y58" s="264"/>
      <x:c r="Z58" s="264"/>
      <x:c r="AA58" s="264"/>
      <x:c r="AB58" s="264"/>
      <x:c r="AC58" s="264"/>
      <x:c r="AD58" s="264"/>
      <x:c r="AE58" s="264"/>
      <x:c r="AF58" s="264"/>
      <x:c r="AG58" s="264"/>
      <x:c r="AH58" s="264"/>
      <x:c r="AI58" s="264"/>
      <x:c r="AJ58" s="264"/>
    </x:row>
    <x:row r="59">
      <x:c r="A59" s="384" t="n">
        <x:f>$A$8</x:f>
        <x:v>0</x:v>
      </x:c>
      <x:c r="B59" s="384" t="str">
        <x:f>$B$8</x:f>
        <x:v>Crotalaria juncea</x:v>
      </x:c>
      <x:c r="C59" s="384" t="n">
        <x:f>$K$8</x:f>
        <x:v>0</x:v>
      </x:c>
      <x:c r="D59" s="388" t="n">
        <x:v>3</x:v>
      </x:c>
      <x:c r="E59" s="388" t="n">
        <x:v>3</x:v>
      </x:c>
      <x:c r="F59" s="388" t="n">
        <x:v>3</x:v>
      </x:c>
      <x:c r="G59" s="388" t="n">
        <x:v>3</x:v>
      </x:c>
      <x:c r="H59" s="388" t="n">
        <x:v>3</x:v>
      </x:c>
      <x:c r="I59" s="388" t="n">
        <x:v>3</x:v>
      </x:c>
      <x:c r="J59" s="388" t="n">
        <x:v>3</x:v>
      </x:c>
      <x:c r="K59" s="388" t="n">
        <x:v>3</x:v>
      </x:c>
      <x:c r="L59" s="388" t="n">
        <x:v>3</x:v>
      </x:c>
      <x:c r="M59" s="388" t="n">
        <x:v>3</x:v>
      </x:c>
      <x:c r="N59" s="288" t="n">
        <x:f>$A59*$C59*D59</x:f>
        <x:v>0</x:v>
      </x:c>
      <x:c r="O59" s="288" t="n">
        <x:f>$A59*$C59*E59</x:f>
        <x:v>0</x:v>
      </x:c>
      <x:c r="P59" s="288" t="n">
        <x:f>$A59*$C59*F59</x:f>
        <x:v>0</x:v>
      </x:c>
      <x:c r="Q59" s="288" t="n">
        <x:f>$A59*$C59*G59</x:f>
        <x:v>0</x:v>
      </x:c>
      <x:c r="R59" s="288" t="n">
        <x:f>$A59*$C59*H59</x:f>
        <x:v>0</x:v>
      </x:c>
      <x:c r="S59" s="288" t="n">
        <x:f>$A59*$C59*I59</x:f>
        <x:v>0</x:v>
      </x:c>
      <x:c r="T59" s="288" t="n">
        <x:f>$A59*$C59*J59</x:f>
        <x:v>0</x:v>
      </x:c>
      <x:c r="U59" s="288" t="n">
        <x:f>$A59*$C59*K59</x:f>
        <x:v>0</x:v>
      </x:c>
      <x:c r="V59" s="288" t="n">
        <x:f>$A59*$C59*L59</x:f>
        <x:v>0</x:v>
      </x:c>
      <x:c r="W59" s="288" t="n">
        <x:f>$A59*$C59*M59</x:f>
        <x:v>0</x:v>
      </x:c>
      <x:c r="X59" s="264" t="str">
        <x:v>Penaburan, pemotongan, dan pembenaman Crotalaria; aktifkan hanya bila sesuai diagnosis</x:v>
      </x:c>
      <x:c r="Y59" s="264"/>
      <x:c r="Z59" s="264"/>
      <x:c r="AA59" s="264"/>
      <x:c r="AB59" s="264"/>
      <x:c r="AC59" s="264"/>
      <x:c r="AD59" s="264"/>
      <x:c r="AE59" s="264"/>
      <x:c r="AF59" s="264"/>
      <x:c r="AG59" s="264"/>
      <x:c r="AH59" s="264"/>
      <x:c r="AI59" s="264"/>
      <x:c r="AJ59" s="264"/>
    </x:row>
    <x:row r="60">
      <x:c r="A60" s="384" t="n">
        <x:f>$A$9</x:f>
        <x:v>0</x:v>
      </x:c>
      <x:c r="B60" s="384" t="str">
        <x:f>$B$9</x:f>
        <x:v>Mucuna/benguk</x:v>
      </x:c>
      <x:c r="C60" s="384" t="n">
        <x:f>$K$9</x:f>
        <x:v>0</x:v>
      </x:c>
      <x:c r="D60" s="388" t="n">
        <x:v>3</x:v>
      </x:c>
      <x:c r="E60" s="388" t="n">
        <x:v>2</x:v>
      </x:c>
      <x:c r="F60" s="388" t="n">
        <x:v>2</x:v>
      </x:c>
      <x:c r="G60" s="388" t="n">
        <x:v>2</x:v>
      </x:c>
      <x:c r="H60" s="388" t="n">
        <x:v>2</x:v>
      </x:c>
      <x:c r="I60" s="388" t="n">
        <x:v>2</x:v>
      </x:c>
      <x:c r="J60" s="388" t="n">
        <x:v>2</x:v>
      </x:c>
      <x:c r="K60" s="388" t="n">
        <x:v>2</x:v>
      </x:c>
      <x:c r="L60" s="388" t="n">
        <x:v>2</x:v>
      </x:c>
      <x:c r="M60" s="388" t="n">
        <x:v>2</x:v>
      </x:c>
      <x:c r="N60" s="288" t="n">
        <x:f>$A60*$C60*D60</x:f>
        <x:v>0</x:v>
      </x:c>
      <x:c r="O60" s="288" t="n">
        <x:f>$A60*$C60*E60</x:f>
        <x:v>0</x:v>
      </x:c>
      <x:c r="P60" s="288" t="n">
        <x:f>$A60*$C60*F60</x:f>
        <x:v>0</x:v>
      </x:c>
      <x:c r="Q60" s="288" t="n">
        <x:f>$A60*$C60*G60</x:f>
        <x:v>0</x:v>
      </x:c>
      <x:c r="R60" s="288" t="n">
        <x:f>$A60*$C60*H60</x:f>
        <x:v>0</x:v>
      </x:c>
      <x:c r="S60" s="288" t="n">
        <x:f>$A60*$C60*I60</x:f>
        <x:v>0</x:v>
      </x:c>
      <x:c r="T60" s="288" t="n">
        <x:f>$A60*$C60*J60</x:f>
        <x:v>0</x:v>
      </x:c>
      <x:c r="U60" s="288" t="n">
        <x:f>$A60*$C60*K60</x:f>
        <x:v>0</x:v>
      </x:c>
      <x:c r="V60" s="288" t="n">
        <x:f>$A60*$C60*L60</x:f>
        <x:v>0</x:v>
      </x:c>
      <x:c r="W60" s="288" t="n">
        <x:f>$A60*$C60*M60</x:f>
        <x:v>0</x:v>
      </x:c>
      <x:c r="X60" s="264" t="str">
        <x:v>Pengendalian sulur Mucuna agar tidak memanjat tanaman inti</x:v>
      </x:c>
      <x:c r="Y60" s="264"/>
      <x:c r="Z60" s="264"/>
      <x:c r="AA60" s="264"/>
      <x:c r="AB60" s="264"/>
      <x:c r="AC60" s="264"/>
      <x:c r="AD60" s="264"/>
      <x:c r="AE60" s="264"/>
      <x:c r="AF60" s="264"/>
      <x:c r="AG60" s="264"/>
      <x:c r="AH60" s="264"/>
      <x:c r="AI60" s="264"/>
      <x:c r="AJ60" s="264"/>
    </x:row>
    <x:row r="61">
      <x:c r="A61" s="384" t="n">
        <x:f>$A$10</x:f>
        <x:v>0</x:v>
      </x:c>
      <x:c r="B61" s="384" t="str">
        <x:f>$B$10</x:f>
        <x:v>Vetiver</x:v>
      </x:c>
      <x:c r="C61" s="384" t="n">
        <x:f>$K$10</x:f>
        <x:v>0</x:v>
      </x:c>
      <x:c r="D61" s="388" t="n">
        <x:v>0.02</x:v>
      </x:c>
      <x:c r="E61" s="388" t="n">
        <x:v>0.015</x:v>
      </x:c>
      <x:c r="F61" s="388" t="n">
        <x:v>0.01</x:v>
      </x:c>
      <x:c r="G61" s="388" t="n">
        <x:v>0.01</x:v>
      </x:c>
      <x:c r="H61" s="388" t="n">
        <x:v>0.01</x:v>
      </x:c>
      <x:c r="I61" s="388" t="n">
        <x:v>0.01</x:v>
      </x:c>
      <x:c r="J61" s="388" t="n">
        <x:v>0.01</x:v>
      </x:c>
      <x:c r="K61" s="388" t="n">
        <x:v>0.01</x:v>
      </x:c>
      <x:c r="L61" s="388" t="n">
        <x:v>0.01</x:v>
      </x:c>
      <x:c r="M61" s="388" t="n">
        <x:v>0.01</x:v>
      </x:c>
      <x:c r="N61" s="288" t="n">
        <x:f>$A61*$C61*D61</x:f>
        <x:v>0</x:v>
      </x:c>
      <x:c r="O61" s="288" t="n">
        <x:f>$A61*$C61*E61</x:f>
        <x:v>0</x:v>
      </x:c>
      <x:c r="P61" s="288" t="n">
        <x:f>$A61*$C61*F61</x:f>
        <x:v>0</x:v>
      </x:c>
      <x:c r="Q61" s="288" t="n">
        <x:f>$A61*$C61*G61</x:f>
        <x:v>0</x:v>
      </x:c>
      <x:c r="R61" s="288" t="n">
        <x:f>$A61*$C61*H61</x:f>
        <x:v>0</x:v>
      </x:c>
      <x:c r="S61" s="288" t="n">
        <x:f>$A61*$C61*I61</x:f>
        <x:v>0</x:v>
      </x:c>
      <x:c r="T61" s="288" t="n">
        <x:f>$A61*$C61*J61</x:f>
        <x:v>0</x:v>
      </x:c>
      <x:c r="U61" s="288" t="n">
        <x:f>$A61*$C61*K61</x:f>
        <x:v>0</x:v>
      </x:c>
      <x:c r="V61" s="288" t="n">
        <x:f>$A61*$C61*L61</x:f>
        <x:v>0</x:v>
      </x:c>
      <x:c r="W61" s="288" t="n">
        <x:f>$A61*$C61*M61</x:f>
        <x:v>0</x:v>
      </x:c>
      <x:c r="X61" s="264" t="str">
        <x:v>Pemeliharaan strip vetiver setelah pembentukan</x:v>
      </x:c>
      <x:c r="Y61" s="264"/>
      <x:c r="Z61" s="264"/>
      <x:c r="AA61" s="264"/>
      <x:c r="AB61" s="264"/>
      <x:c r="AC61" s="264"/>
      <x:c r="AD61" s="264"/>
      <x:c r="AE61" s="264"/>
      <x:c r="AF61" s="264"/>
      <x:c r="AG61" s="264"/>
      <x:c r="AH61" s="264"/>
      <x:c r="AI61" s="264"/>
      <x:c r="AJ61" s="264"/>
    </x:row>
    <x:row r="62">
      <x:c r="A62" s="384" t="n">
        <x:f>$A$11</x:f>
        <x:v>0</x:v>
      </x:c>
      <x:c r="B62" s="384" t="str">
        <x:f>$B$11</x:f>
        <x:v>Tithonia</x:v>
      </x:c>
      <x:c r="C62" s="384" t="n">
        <x:f>$K$11</x:f>
        <x:v>0</x:v>
      </x:c>
      <x:c r="D62" s="388" t="n">
        <x:v>0.05</x:v>
      </x:c>
      <x:c r="E62" s="388" t="n">
        <x:v>0.05</x:v>
      </x:c>
      <x:c r="F62" s="388" t="n">
        <x:v>0.05</x:v>
      </x:c>
      <x:c r="G62" s="388" t="n">
        <x:v>0.05</x:v>
      </x:c>
      <x:c r="H62" s="388" t="n">
        <x:v>0.05</x:v>
      </x:c>
      <x:c r="I62" s="388" t="n">
        <x:v>0.05</x:v>
      </x:c>
      <x:c r="J62" s="388" t="n">
        <x:v>0.05</x:v>
      </x:c>
      <x:c r="K62" s="388" t="n">
        <x:v>0.05</x:v>
      </x:c>
      <x:c r="L62" s="388" t="n">
        <x:v>0.05</x:v>
      </x:c>
      <x:c r="M62" s="388" t="n">
        <x:v>0.05</x:v>
      </x:c>
      <x:c r="N62" s="288" t="n">
        <x:f>$A62*$C62*D62</x:f>
        <x:v>0</x:v>
      </x:c>
      <x:c r="O62" s="288" t="n">
        <x:f>$A62*$C62*E62</x:f>
        <x:v>0</x:v>
      </x:c>
      <x:c r="P62" s="288" t="n">
        <x:f>$A62*$C62*F62</x:f>
        <x:v>0</x:v>
      </x:c>
      <x:c r="Q62" s="288" t="n">
        <x:f>$A62*$C62*G62</x:f>
        <x:v>0</x:v>
      </x:c>
      <x:c r="R62" s="288" t="n">
        <x:f>$A62*$C62*H62</x:f>
        <x:v>0</x:v>
      </x:c>
      <x:c r="S62" s="288" t="n">
        <x:f>$A62*$C62*I62</x:f>
        <x:v>0</x:v>
      </x:c>
      <x:c r="T62" s="288" t="n">
        <x:f>$A62*$C62*J62</x:f>
        <x:v>0</x:v>
      </x:c>
      <x:c r="U62" s="288" t="n">
        <x:f>$A62*$C62*K62</x:f>
        <x:v>0</x:v>
      </x:c>
      <x:c r="V62" s="288" t="n">
        <x:f>$A62*$C62*L62</x:f>
        <x:v>0</x:v>
      </x:c>
      <x:c r="W62" s="288" t="n">
        <x:f>$A62*$C62*M62</x:f>
        <x:v>0</x:v>
      </x:c>
      <x:c r="X62" s="264" t="str">
        <x:v>Pemangkasan Tithonia dan pengembalian biomassa sebagai mulsa</x:v>
      </x:c>
      <x:c r="Y62" s="264"/>
      <x:c r="Z62" s="264"/>
      <x:c r="AA62" s="264"/>
      <x:c r="AB62" s="264"/>
      <x:c r="AC62" s="264"/>
      <x:c r="AD62" s="264"/>
      <x:c r="AE62" s="264"/>
      <x:c r="AF62" s="264"/>
      <x:c r="AG62" s="264"/>
      <x:c r="AH62" s="264"/>
      <x:c r="AI62" s="264"/>
      <x:c r="AJ62" s="264"/>
    </x:row>
    <x:row r="63">
      <x:c r="A63" s="384" t="n">
        <x:f>$A$12</x:f>
        <x:v>0</x:v>
      </x:c>
      <x:c r="B63" s="384" t="str">
        <x:f>$B$12</x:f>
        <x:v>Tambahan 5</x:v>
      </x:c>
      <x:c r="C63" s="384" t="n">
        <x:f>$K$12</x:f>
        <x:v>0</x:v>
      </x:c>
      <x:c r="D63" s="388" t="n">
        <x:v>0</x:v>
      </x:c>
      <x:c r="E63" s="388" t="n">
        <x:v>0</x:v>
      </x:c>
      <x:c r="F63" s="388" t="n">
        <x:v>0</x:v>
      </x:c>
      <x:c r="G63" s="388" t="n">
        <x:v>0</x:v>
      </x:c>
      <x:c r="H63" s="388" t="n">
        <x:v>0</x:v>
      </x:c>
      <x:c r="I63" s="388" t="n">
        <x:v>0</x:v>
      </x:c>
      <x:c r="J63" s="388" t="n">
        <x:v>0</x:v>
      </x:c>
      <x:c r="K63" s="388" t="n">
        <x:v>0</x:v>
      </x:c>
      <x:c r="L63" s="388" t="n">
        <x:v>0</x:v>
      </x:c>
      <x:c r="M63" s="388" t="n">
        <x:v>0</x:v>
      </x:c>
      <x:c r="N63" s="288" t="n">
        <x:f>$A63*$C63*D63</x:f>
        <x:v>0</x:v>
      </x:c>
      <x:c r="O63" s="288" t="n">
        <x:f>$A63*$C63*E63</x:f>
        <x:v>0</x:v>
      </x:c>
      <x:c r="P63" s="288" t="n">
        <x:f>$A63*$C63*F63</x:f>
        <x:v>0</x:v>
      </x:c>
      <x:c r="Q63" s="288" t="n">
        <x:f>$A63*$C63*G63</x:f>
        <x:v>0</x:v>
      </x:c>
      <x:c r="R63" s="288" t="n">
        <x:f>$A63*$C63*H63</x:f>
        <x:v>0</x:v>
      </x:c>
      <x:c r="S63" s="288" t="n">
        <x:f>$A63*$C63*I63</x:f>
        <x:v>0</x:v>
      </x:c>
      <x:c r="T63" s="288" t="n">
        <x:f>$A63*$C63*J63</x:f>
        <x:v>0</x:v>
      </x:c>
      <x:c r="U63" s="288" t="n">
        <x:f>$A63*$C63*K63</x:f>
        <x:v>0</x:v>
      </x:c>
      <x:c r="V63" s="288" t="n">
        <x:f>$A63*$C63*L63</x:f>
        <x:v>0</x:v>
      </x:c>
      <x:c r="W63" s="288" t="n">
        <x:f>$A63*$C63*M63</x:f>
        <x:v>0</x:v>
      </x:c>
      <x:c r="X63" s="264"/>
      <x:c r="Y63" s="264"/>
      <x:c r="Z63" s="264"/>
      <x:c r="AA63" s="264"/>
      <x:c r="AB63" s="264"/>
      <x:c r="AC63" s="264"/>
      <x:c r="AD63" s="264"/>
      <x:c r="AE63" s="264"/>
      <x:c r="AF63" s="264"/>
      <x:c r="AG63" s="264"/>
      <x:c r="AH63" s="264"/>
      <x:c r="AI63" s="264"/>
      <x:c r="AJ63" s="264"/>
    </x:row>
    <x:row r="64">
      <x:c r="A64" s="384" t="n">
        <x:f>$A$13</x:f>
        <x:v>0</x:v>
      </x:c>
      <x:c r="B64" s="384" t="str">
        <x:f>$B$13</x:f>
        <x:v>Tambahan 6</x:v>
      </x:c>
      <x:c r="C64" s="384" t="n">
        <x:f>$K$13</x:f>
        <x:v>0</x:v>
      </x:c>
      <x:c r="D64" s="388" t="n">
        <x:v>0</x:v>
      </x:c>
      <x:c r="E64" s="388" t="n">
        <x:v>0</x:v>
      </x:c>
      <x:c r="F64" s="388" t="n">
        <x:v>0</x:v>
      </x:c>
      <x:c r="G64" s="388" t="n">
        <x:v>0</x:v>
      </x:c>
      <x:c r="H64" s="388" t="n">
        <x:v>0</x:v>
      </x:c>
      <x:c r="I64" s="388" t="n">
        <x:v>0</x:v>
      </x:c>
      <x:c r="J64" s="388" t="n">
        <x:v>0</x:v>
      </x:c>
      <x:c r="K64" s="388" t="n">
        <x:v>0</x:v>
      </x:c>
      <x:c r="L64" s="388" t="n">
        <x:v>0</x:v>
      </x:c>
      <x:c r="M64" s="388" t="n">
        <x:v>0</x:v>
      </x:c>
      <x:c r="N64" s="288" t="n">
        <x:f>$A64*$C64*D64</x:f>
        <x:v>0</x:v>
      </x:c>
      <x:c r="O64" s="288" t="n">
        <x:f>$A64*$C64*E64</x:f>
        <x:v>0</x:v>
      </x:c>
      <x:c r="P64" s="288" t="n">
        <x:f>$A64*$C64*F64</x:f>
        <x:v>0</x:v>
      </x:c>
      <x:c r="Q64" s="288" t="n">
        <x:f>$A64*$C64*G64</x:f>
        <x:v>0</x:v>
      </x:c>
      <x:c r="R64" s="288" t="n">
        <x:f>$A64*$C64*H64</x:f>
        <x:v>0</x:v>
      </x:c>
      <x:c r="S64" s="288" t="n">
        <x:f>$A64*$C64*I64</x:f>
        <x:v>0</x:v>
      </x:c>
      <x:c r="T64" s="288" t="n">
        <x:f>$A64*$C64*J64</x:f>
        <x:v>0</x:v>
      </x:c>
      <x:c r="U64" s="288" t="n">
        <x:f>$A64*$C64*K64</x:f>
        <x:v>0</x:v>
      </x:c>
      <x:c r="V64" s="288" t="n">
        <x:f>$A64*$C64*L64</x:f>
        <x:v>0</x:v>
      </x:c>
      <x:c r="W64" s="288" t="n">
        <x:f>$A64*$C64*M64</x:f>
        <x:v>0</x:v>
      </x:c>
      <x:c r="X64" s="264"/>
      <x:c r="Y64" s="264"/>
      <x:c r="Z64" s="264"/>
      <x:c r="AA64" s="264"/>
      <x:c r="AB64" s="264"/>
      <x:c r="AC64" s="264"/>
      <x:c r="AD64" s="264"/>
      <x:c r="AE64" s="264"/>
      <x:c r="AF64" s="264"/>
      <x:c r="AG64" s="264"/>
      <x:c r="AH64" s="264"/>
      <x:c r="AI64" s="264"/>
      <x:c r="AJ64" s="264"/>
    </x:row>
    <x:row r="65">
      <x:c r="A65" s="384" t="n">
        <x:f>$A$14</x:f>
        <x:v>0</x:v>
      </x:c>
      <x:c r="B65" s="384" t="str">
        <x:f>$B$14</x:f>
        <x:v>Tambahan 7</x:v>
      </x:c>
      <x:c r="C65" s="384" t="n">
        <x:f>$K$14</x:f>
        <x:v>0</x:v>
      </x:c>
      <x:c r="D65" s="388" t="n">
        <x:v>0</x:v>
      </x:c>
      <x:c r="E65" s="388" t="n">
        <x:v>0</x:v>
      </x:c>
      <x:c r="F65" s="388" t="n">
        <x:v>0</x:v>
      </x:c>
      <x:c r="G65" s="388" t="n">
        <x:v>0</x:v>
      </x:c>
      <x:c r="H65" s="388" t="n">
        <x:v>0</x:v>
      </x:c>
      <x:c r="I65" s="388" t="n">
        <x:v>0</x:v>
      </x:c>
      <x:c r="J65" s="388" t="n">
        <x:v>0</x:v>
      </x:c>
      <x:c r="K65" s="388" t="n">
        <x:v>0</x:v>
      </x:c>
      <x:c r="L65" s="388" t="n">
        <x:v>0</x:v>
      </x:c>
      <x:c r="M65" s="388" t="n">
        <x:v>0</x:v>
      </x:c>
      <x:c r="N65" s="288" t="n">
        <x:f>$A65*$C65*D65</x:f>
        <x:v>0</x:v>
      </x:c>
      <x:c r="O65" s="288" t="n">
        <x:f>$A65*$C65*E65</x:f>
        <x:v>0</x:v>
      </x:c>
      <x:c r="P65" s="288" t="n">
        <x:f>$A65*$C65*F65</x:f>
        <x:v>0</x:v>
      </x:c>
      <x:c r="Q65" s="288" t="n">
        <x:f>$A65*$C65*G65</x:f>
        <x:v>0</x:v>
      </x:c>
      <x:c r="R65" s="288" t="n">
        <x:f>$A65*$C65*H65</x:f>
        <x:v>0</x:v>
      </x:c>
      <x:c r="S65" s="288" t="n">
        <x:f>$A65*$C65*I65</x:f>
        <x:v>0</x:v>
      </x:c>
      <x:c r="T65" s="288" t="n">
        <x:f>$A65*$C65*J65</x:f>
        <x:v>0</x:v>
      </x:c>
      <x:c r="U65" s="288" t="n">
        <x:f>$A65*$C65*K65</x:f>
        <x:v>0</x:v>
      </x:c>
      <x:c r="V65" s="288" t="n">
        <x:f>$A65*$C65*L65</x:f>
        <x:v>0</x:v>
      </x:c>
      <x:c r="W65" s="288" t="n">
        <x:f>$A65*$C65*M65</x:f>
        <x:v>0</x:v>
      </x:c>
      <x:c r="X65" s="264"/>
      <x:c r="Y65" s="264"/>
      <x:c r="Z65" s="264"/>
      <x:c r="AA65" s="264"/>
      <x:c r="AB65" s="264"/>
      <x:c r="AC65" s="264"/>
      <x:c r="AD65" s="264"/>
      <x:c r="AE65" s="264"/>
      <x:c r="AF65" s="264"/>
      <x:c r="AG65" s="264"/>
      <x:c r="AH65" s="264"/>
      <x:c r="AI65" s="264"/>
      <x:c r="AJ65" s="264"/>
    </x:row>
    <x:row r="66">
      <x:c r="A66" s="384" t="n">
        <x:f>$A$15</x:f>
        <x:v>0</x:v>
      </x:c>
      <x:c r="B66" s="384" t="str">
        <x:f>$B$15</x:f>
        <x:v>Tambahan 8</x:v>
      </x:c>
      <x:c r="C66" s="384" t="n">
        <x:f>$K$15</x:f>
        <x:v>0</x:v>
      </x:c>
      <x:c r="D66" s="388" t="n">
        <x:v>0</x:v>
      </x:c>
      <x:c r="E66" s="388" t="n">
        <x:v>0</x:v>
      </x:c>
      <x:c r="F66" s="388" t="n">
        <x:v>0</x:v>
      </x:c>
      <x:c r="G66" s="388" t="n">
        <x:v>0</x:v>
      </x:c>
      <x:c r="H66" s="388" t="n">
        <x:v>0</x:v>
      </x:c>
      <x:c r="I66" s="388" t="n">
        <x:v>0</x:v>
      </x:c>
      <x:c r="J66" s="388" t="n">
        <x:v>0</x:v>
      </x:c>
      <x:c r="K66" s="388" t="n">
        <x:v>0</x:v>
      </x:c>
      <x:c r="L66" s="388" t="n">
        <x:v>0</x:v>
      </x:c>
      <x:c r="M66" s="388" t="n">
        <x:v>0</x:v>
      </x:c>
      <x:c r="N66" s="288" t="n">
        <x:f>$A66*$C66*D66</x:f>
        <x:v>0</x:v>
      </x:c>
      <x:c r="O66" s="288" t="n">
        <x:f>$A66*$C66*E66</x:f>
        <x:v>0</x:v>
      </x:c>
      <x:c r="P66" s="288" t="n">
        <x:f>$A66*$C66*F66</x:f>
        <x:v>0</x:v>
      </x:c>
      <x:c r="Q66" s="288" t="n">
        <x:f>$A66*$C66*G66</x:f>
        <x:v>0</x:v>
      </x:c>
      <x:c r="R66" s="288" t="n">
        <x:f>$A66*$C66*H66</x:f>
        <x:v>0</x:v>
      </x:c>
      <x:c r="S66" s="288" t="n">
        <x:f>$A66*$C66*I66</x:f>
        <x:v>0</x:v>
      </x:c>
      <x:c r="T66" s="288" t="n">
        <x:f>$A66*$C66*J66</x:f>
        <x:v>0</x:v>
      </x:c>
      <x:c r="U66" s="288" t="n">
        <x:f>$A66*$C66*K66</x:f>
        <x:v>0</x:v>
      </x:c>
      <x:c r="V66" s="288" t="n">
        <x:f>$A66*$C66*L66</x:f>
        <x:v>0</x:v>
      </x:c>
      <x:c r="W66" s="288" t="n">
        <x:f>$A66*$C66*M66</x:f>
        <x:v>0</x:v>
      </x:c>
      <x:c r="X66" s="264"/>
      <x:c r="Y66" s="264"/>
      <x:c r="Z66" s="264"/>
      <x:c r="AA66" s="264"/>
      <x:c r="AB66" s="264"/>
      <x:c r="AC66" s="264"/>
      <x:c r="AD66" s="264"/>
      <x:c r="AE66" s="264"/>
      <x:c r="AF66" s="264"/>
      <x:c r="AG66" s="264"/>
      <x:c r="AH66" s="264"/>
      <x:c r="AI66" s="264"/>
      <x:c r="AJ66" s="264"/>
    </x:row>
    <x:row r="67">
      <x:c r="A67" s="264"/>
      <x:c r="B67" s="264"/>
      <x:c r="C67" s="264"/>
      <x:c r="D67" s="264"/>
      <x:c r="E67" s="264"/>
      <x:c r="F67" s="264"/>
      <x:c r="G67" s="264"/>
      <x:c r="H67" s="264"/>
      <x:c r="I67" s="264"/>
      <x:c r="J67" s="264"/>
      <x:c r="K67" s="264"/>
      <x:c r="L67" s="264"/>
      <x:c r="M67" s="264"/>
      <x:c r="N67" s="288"/>
      <x:c r="O67" s="288"/>
      <x:c r="P67" s="288"/>
      <x:c r="Q67" s="288"/>
      <x:c r="R67" s="288"/>
      <x:c r="S67" s="288"/>
      <x:c r="T67" s="288"/>
      <x:c r="U67" s="288"/>
      <x:c r="V67" s="288"/>
      <x:c r="W67" s="288"/>
      <x:c r="X67" s="264"/>
      <x:c r="Y67" s="264"/>
      <x:c r="Z67" s="264"/>
      <x:c r="AA67" s="264"/>
      <x:c r="AB67" s="264"/>
      <x:c r="AC67" s="264"/>
      <x:c r="AD67" s="264"/>
      <x:c r="AE67" s="264"/>
      <x:c r="AF67" s="264"/>
      <x:c r="AG67" s="264"/>
      <x:c r="AH67" s="264"/>
      <x:c r="AI67" s="264"/>
      <x:c r="AJ67" s="264"/>
    </x:row>
    <x:row r="68">
      <x:c r="A68" s="394" t="str">
        <x:v>TOTAL HOK SPESIES OPSIONAL/TAMBAHAN</x:v>
      </x:c>
      <x:c r="B68" s="394"/>
      <x:c r="C68" s="394"/>
      <x:c r="D68" s="394"/>
      <x:c r="E68" s="394"/>
      <x:c r="F68" s="394"/>
      <x:c r="G68" s="394"/>
      <x:c r="H68" s="394"/>
      <x:c r="I68" s="394"/>
      <x:c r="J68" s="394"/>
      <x:c r="K68" s="394"/>
      <x:c r="L68" s="394"/>
      <x:c r="M68" s="394"/>
      <x:c r="N68" s="394" t="n">
        <x:f>SUM(N57:N66)</x:f>
        <x:v>228.8</x:v>
      </x:c>
      <x:c r="O68" s="394" t="n">
        <x:f>SUM(O57:O66)</x:f>
        <x:v>171.60000000000002</x:v>
      </x:c>
      <x:c r="P68" s="394" t="n">
        <x:f>SUM(P57:P66)</x:f>
        <x:v>114.4</x:v>
      </x:c>
      <x:c r="Q68" s="394" t="n">
        <x:f>SUM(Q57:Q66)</x:f>
        <x:v>114.4</x:v>
      </x:c>
      <x:c r="R68" s="394" t="n">
        <x:f>SUM(R57:R66)</x:f>
        <x:v>114.4</x:v>
      </x:c>
      <x:c r="S68" s="394" t="n">
        <x:f>SUM(S57:S66)</x:f>
        <x:v>114.4</x:v>
      </x:c>
      <x:c r="T68" s="394" t="n">
        <x:f>SUM(T57:T66)</x:f>
        <x:v>114.4</x:v>
      </x:c>
      <x:c r="U68" s="394" t="n">
        <x:f>SUM(U57:U66)</x:f>
        <x:v>114.4</x:v>
      </x:c>
      <x:c r="V68" s="394" t="n">
        <x:f>SUM(V57:V66)</x:f>
        <x:v>114.4</x:v>
      </x:c>
      <x:c r="W68" s="394" t="n">
        <x:f>SUM(W57:W66)</x:f>
        <x:v>114.4</x:v>
      </x:c>
      <x:c r="X68" s="394"/>
      <x:c r="Y68" s="264"/>
      <x:c r="Z68" s="264"/>
      <x:c r="AA68" s="264"/>
      <x:c r="AB68" s="264"/>
      <x:c r="AC68" s="264"/>
      <x:c r="AD68" s="264"/>
      <x:c r="AE68" s="264"/>
      <x:c r="AF68" s="264"/>
      <x:c r="AG68" s="264"/>
      <x:c r="AH68" s="264"/>
      <x:c r="AI68" s="264"/>
      <x:c r="AJ68" s="264"/>
    </x:row>
    <x:row r="69">
      <x:c r="A69" s="264"/>
      <x:c r="B69" s="264"/>
      <x:c r="C69" s="264"/>
      <x:c r="D69" s="264"/>
      <x:c r="E69" s="264"/>
      <x:c r="F69" s="264"/>
      <x:c r="G69" s="264"/>
      <x:c r="H69" s="264"/>
      <x:c r="I69" s="264"/>
      <x:c r="J69" s="264"/>
      <x:c r="K69" s="264"/>
      <x:c r="L69" s="264"/>
      <x:c r="M69" s="264"/>
      <x:c r="N69" s="264"/>
      <x:c r="O69" s="264"/>
      <x:c r="P69" s="264"/>
      <x:c r="Q69" s="264"/>
      <x:c r="R69" s="264"/>
      <x:c r="S69" s="264"/>
      <x:c r="T69" s="264"/>
      <x:c r="U69" s="264"/>
      <x:c r="V69" s="264"/>
      <x:c r="W69" s="264"/>
      <x:c r="X69" s="264"/>
      <x:c r="Y69" s="264"/>
      <x:c r="Z69" s="264"/>
      <x:c r="AA69" s="264"/>
      <x:c r="AB69" s="264"/>
      <x:c r="AC69" s="264"/>
      <x:c r="AD69" s="264"/>
      <x:c r="AE69" s="264"/>
      <x:c r="AF69" s="264"/>
      <x:c r="AG69" s="264"/>
      <x:c r="AH69" s="264"/>
      <x:c r="AI69" s="264"/>
      <x:c r="AJ69" s="264"/>
    </x:row>
    <x:row r="70">
      <x:c r="A70" s="264"/>
      <x:c r="B70" s="264"/>
      <x:c r="C70" s="264"/>
      <x:c r="D70" s="264"/>
      <x:c r="E70" s="264"/>
      <x:c r="F70" s="264"/>
      <x:c r="G70" s="264"/>
      <x:c r="H70" s="264"/>
      <x:c r="I70" s="264"/>
      <x:c r="J70" s="264"/>
      <x:c r="K70" s="264"/>
      <x:c r="L70" s="264"/>
      <x:c r="M70" s="264"/>
      <x:c r="N70" s="264"/>
      <x:c r="O70" s="264"/>
      <x:c r="P70" s="264"/>
      <x:c r="Q70" s="264"/>
      <x:c r="R70" s="264"/>
      <x:c r="S70" s="264"/>
      <x:c r="T70" s="264"/>
      <x:c r="U70" s="264"/>
      <x:c r="V70" s="264"/>
      <x:c r="W70" s="264"/>
      <x:c r="X70" s="264"/>
      <x:c r="Y70" s="264"/>
      <x:c r="Z70" s="264"/>
      <x:c r="AA70" s="264"/>
      <x:c r="AB70" s="264"/>
      <x:c r="AC70" s="264"/>
      <x:c r="AD70" s="264"/>
      <x:c r="AE70" s="264"/>
      <x:c r="AF70" s="264"/>
      <x:c r="AG70" s="264"/>
      <x:c r="AH70" s="264"/>
      <x:c r="AI70" s="264"/>
      <x:c r="AJ70" s="264"/>
    </x:row>
    <x:row r="71" ht="20" customHeight="1">
      <x:c r="A71" s="383" t="str">
        <x:v>E. CAPEX tambahan — baris cadangan</x:v>
      </x:c>
      <x:c r="B71" s="383"/>
      <x:c r="C71" s="383"/>
      <x:c r="D71" s="383"/>
      <x:c r="E71" s="383"/>
      <x:c r="F71" s="383"/>
      <x:c r="G71" s="383"/>
      <x:c r="H71" s="383"/>
      <x:c r="I71" s="383"/>
      <x:c r="J71" s="383"/>
      <x:c r="K71" s="383"/>
      <x:c r="L71" s="264"/>
      <x:c r="M71" s="264"/>
      <x:c r="N71" s="264"/>
      <x:c r="O71" s="264"/>
      <x:c r="P71" s="264"/>
      <x:c r="Q71" s="264"/>
      <x:c r="R71" s="264"/>
      <x:c r="S71" s="264"/>
      <x:c r="T71" s="264"/>
      <x:c r="U71" s="264"/>
      <x:c r="V71" s="264"/>
      <x:c r="W71" s="264"/>
      <x:c r="X71" s="264"/>
      <x:c r="Y71" s="264"/>
      <x:c r="Z71" s="264"/>
      <x:c r="AA71" s="264"/>
      <x:c r="AB71" s="264"/>
      <x:c r="AC71" s="264"/>
      <x:c r="AD71" s="264"/>
      <x:c r="AE71" s="264"/>
      <x:c r="AF71" s="264"/>
      <x:c r="AG71" s="264"/>
      <x:c r="AH71" s="264"/>
      <x:c r="AI71" s="264"/>
      <x:c r="AJ71" s="264"/>
    </x:row>
    <x:row r="72" ht="32" customHeight="1">
      <x:c r="A72" s="368" t="str">
        <x:v>Aktif</x:v>
      </x:c>
      <x:c r="B72" s="368" t="str">
        <x:v>Nama biaya</x:v>
      </x:c>
      <x:c r="C72" s="368" t="str">
        <x:v>Basis</x:v>
      </x:c>
      <x:c r="D72" s="368" t="str">
        <x:v>Rasio per basis</x:v>
      </x:c>
      <x:c r="E72" s="368" t="str">
        <x:v>Satuan</x:v>
      </x:c>
      <x:c r="F72" s="368" t="str">
        <x:v>Harga satuan</x:v>
      </x:c>
      <x:c r="G72" s="368" t="str">
        <x:v>Jumlah 1 lokasi</x:v>
      </x:c>
      <x:c r="H72" s="368" t="str">
        <x:v>Jumlah 4 lokasi</x:v>
      </x:c>
      <x:c r="I72" s="368" t="str">
        <x:v>Total 1 lokasi</x:v>
      </x:c>
      <x:c r="J72" s="368" t="str">
        <x:v>Total 4 lokasi</x:v>
      </x:c>
      <x:c r="K72" s="368" t="str">
        <x:v>Catatan</x:v>
      </x:c>
      <x:c r="L72" s="264"/>
      <x:c r="M72" s="264"/>
      <x:c r="N72" s="264"/>
      <x:c r="O72" s="264"/>
      <x:c r="P72" s="264"/>
      <x:c r="Q72" s="264"/>
      <x:c r="R72" s="264"/>
      <x:c r="S72" s="264"/>
      <x:c r="T72" s="264"/>
      <x:c r="U72" s="264"/>
      <x:c r="V72" s="264"/>
      <x:c r="W72" s="264"/>
      <x:c r="X72" s="264"/>
      <x:c r="Y72" s="264"/>
      <x:c r="Z72" s="264"/>
      <x:c r="AA72" s="264"/>
      <x:c r="AB72" s="264"/>
      <x:c r="AC72" s="264"/>
      <x:c r="AD72" s="264"/>
      <x:c r="AE72" s="264"/>
      <x:c r="AF72" s="264"/>
      <x:c r="AG72" s="264"/>
      <x:c r="AH72" s="264"/>
      <x:c r="AI72" s="264"/>
      <x:c r="AJ72" s="264"/>
    </x:row>
    <x:row r="73">
      <x:c r="A73" s="389" t="n">
        <x:v>0</x:v>
      </x:c>
      <x:c r="B73" s="389" t="str">
        <x:v>CAPEX tambahan 1</x:v>
      </x:c>
      <x:c r="C73" s="389" t="str">
        <x:v>Nilai tetap</x:v>
      </x:c>
      <x:c r="D73" s="389" t="n">
        <x:v>1</x:v>
      </x:c>
      <x:c r="E73" s="389" t="str">
        <x:v>paket</x:v>
      </x:c>
      <x:c r="F73" s="387" t="n">
        <x:v>0</x:v>
      </x:c>
      <x:c r="G73" s="384" t="n">
        <x:f>$A73*$D73*IF($C73="ha bruto",'02_Assumptions'!$C$6,IF($C73="ha efektif",'02_Assumptions'!$C$24,IF($C73="lokasi",1,IF($C73="pohon kelapa",'04_Planting_Design'!$D$8,IF($C73="pohon durian",'04_Planting_Design'!$F$8,IF($C73="rumpun pisang",'04_Planting_Design'!$H$8,IF($C73="nanas hidup",$K$6,IF($C73="unit pendukung hidup",$K$7,1))))))))</x:f>
        <x:v>0</x:v>
      </x:c>
      <x:c r="H73" s="384" t="n">
        <x:f>$A73*$D73*IF($C73="ha bruto",'02_Assumptions'!$C$6,IF($C73="ha efektif",'02_Assumptions'!$C$24,IF($C73="lokasi",4,IF($C73="pohon kelapa",'04_Planting_Design'!$D$8,IF($C73="pohon durian",'04_Planting_Design'!$F$8,IF($C73="rumpun pisang",'04_Planting_Design'!$H$8,IF($C73="nanas hidup",$K$6,IF($C73="unit pendukung hidup",$K$7,1))))))))</x:f>
        <x:v>0</x:v>
      </x:c>
      <x:c r="I73" s="287" t="n">
        <x:f>$F73*$G73</x:f>
        <x:v>0</x:v>
      </x:c>
      <x:c r="J73" s="287" t="n">
        <x:f>$F73*$H73</x:f>
        <x:v>0</x:v>
      </x:c>
      <x:c r="K73" s="264"/>
      <x:c r="L73" s="264"/>
      <x:c r="M73" s="264"/>
      <x:c r="N73" s="264"/>
      <x:c r="O73" s="264"/>
      <x:c r="P73" s="264"/>
      <x:c r="Q73" s="264"/>
      <x:c r="R73" s="264"/>
      <x:c r="S73" s="264"/>
      <x:c r="T73" s="264"/>
      <x:c r="U73" s="264"/>
      <x:c r="V73" s="264"/>
      <x:c r="W73" s="264"/>
      <x:c r="X73" s="264"/>
      <x:c r="Y73" s="264"/>
      <x:c r="Z73" s="264"/>
      <x:c r="AA73" s="264"/>
      <x:c r="AB73" s="264"/>
      <x:c r="AC73" s="264"/>
      <x:c r="AD73" s="264"/>
      <x:c r="AE73" s="264"/>
      <x:c r="AF73" s="264"/>
      <x:c r="AG73" s="264"/>
      <x:c r="AH73" s="264"/>
      <x:c r="AI73" s="264"/>
      <x:c r="AJ73" s="264"/>
    </x:row>
    <x:row r="74">
      <x:c r="A74" s="389" t="n">
        <x:v>0</x:v>
      </x:c>
      <x:c r="B74" s="389" t="str">
        <x:v>CAPEX tambahan 2</x:v>
      </x:c>
      <x:c r="C74" s="389" t="str">
        <x:v>Nilai tetap</x:v>
      </x:c>
      <x:c r="D74" s="389" t="n">
        <x:v>1</x:v>
      </x:c>
      <x:c r="E74" s="389" t="str">
        <x:v>paket</x:v>
      </x:c>
      <x:c r="F74" s="387" t="n">
        <x:v>0</x:v>
      </x:c>
      <x:c r="G74" s="384" t="n">
        <x:f>$A74*$D74*IF($C74="ha bruto",'02_Assumptions'!$C$6,IF($C74="ha efektif",'02_Assumptions'!$C$24,IF($C74="lokasi",1,IF($C74="pohon kelapa",'04_Planting_Design'!$D$8,IF($C74="pohon durian",'04_Planting_Design'!$F$8,IF($C74="rumpun pisang",'04_Planting_Design'!$H$8,IF($C74="nanas hidup",$K$6,IF($C74="unit pendukung hidup",$K$7,1))))))))</x:f>
        <x:v>0</x:v>
      </x:c>
      <x:c r="H74" s="384" t="n">
        <x:f>$A74*$D74*IF($C74="ha bruto",'02_Assumptions'!$C$6,IF($C74="ha efektif",'02_Assumptions'!$C$24,IF($C74="lokasi",4,IF($C74="pohon kelapa",'04_Planting_Design'!$D$8,IF($C74="pohon durian",'04_Planting_Design'!$F$8,IF($C74="rumpun pisang",'04_Planting_Design'!$H$8,IF($C74="nanas hidup",$K$6,IF($C74="unit pendukung hidup",$K$7,1))))))))</x:f>
        <x:v>0</x:v>
      </x:c>
      <x:c r="I74" s="287" t="n">
        <x:f>$F74*$G74</x:f>
        <x:v>0</x:v>
      </x:c>
      <x:c r="J74" s="287" t="n">
        <x:f>$F74*$H74</x:f>
        <x:v>0</x:v>
      </x:c>
      <x:c r="K74" s="264"/>
      <x:c r="L74" s="264"/>
      <x:c r="M74" s="264"/>
      <x:c r="N74" s="264"/>
      <x:c r="O74" s="264"/>
      <x:c r="P74" s="264"/>
      <x:c r="Q74" s="264"/>
      <x:c r="R74" s="264"/>
      <x:c r="S74" s="264"/>
      <x:c r="T74" s="264"/>
      <x:c r="U74" s="264"/>
      <x:c r="V74" s="264"/>
      <x:c r="W74" s="264"/>
      <x:c r="X74" s="264"/>
      <x:c r="Y74" s="264"/>
      <x:c r="Z74" s="264"/>
      <x:c r="AA74" s="264"/>
      <x:c r="AB74" s="264"/>
      <x:c r="AC74" s="264"/>
      <x:c r="AD74" s="264"/>
      <x:c r="AE74" s="264"/>
      <x:c r="AF74" s="264"/>
      <x:c r="AG74" s="264"/>
      <x:c r="AH74" s="264"/>
      <x:c r="AI74" s="264"/>
      <x:c r="AJ74" s="264"/>
    </x:row>
    <x:row r="75">
      <x:c r="A75" s="389" t="n">
        <x:v>0</x:v>
      </x:c>
      <x:c r="B75" s="389" t="str">
        <x:v>CAPEX tambahan 3</x:v>
      </x:c>
      <x:c r="C75" s="389" t="str">
        <x:v>Nilai tetap</x:v>
      </x:c>
      <x:c r="D75" s="389" t="n">
        <x:v>1</x:v>
      </x:c>
      <x:c r="E75" s="389" t="str">
        <x:v>paket</x:v>
      </x:c>
      <x:c r="F75" s="387" t="n">
        <x:v>0</x:v>
      </x:c>
      <x:c r="G75" s="384" t="n">
        <x:f>$A75*$D75*IF($C75="ha bruto",'02_Assumptions'!$C$6,IF($C75="ha efektif",'02_Assumptions'!$C$24,IF($C75="lokasi",1,IF($C75="pohon kelapa",'04_Planting_Design'!$D$8,IF($C75="pohon durian",'04_Planting_Design'!$F$8,IF($C75="rumpun pisang",'04_Planting_Design'!$H$8,IF($C75="nanas hidup",$K$6,IF($C75="unit pendukung hidup",$K$7,1))))))))</x:f>
        <x:v>0</x:v>
      </x:c>
      <x:c r="H75" s="384" t="n">
        <x:f>$A75*$D75*IF($C75="ha bruto",'02_Assumptions'!$C$6,IF($C75="ha efektif",'02_Assumptions'!$C$24,IF($C75="lokasi",4,IF($C75="pohon kelapa",'04_Planting_Design'!$D$8,IF($C75="pohon durian",'04_Planting_Design'!$F$8,IF($C75="rumpun pisang",'04_Planting_Design'!$H$8,IF($C75="nanas hidup",$K$6,IF($C75="unit pendukung hidup",$K$7,1))))))))</x:f>
        <x:v>0</x:v>
      </x:c>
      <x:c r="I75" s="287" t="n">
        <x:f>$F75*$G75</x:f>
        <x:v>0</x:v>
      </x:c>
      <x:c r="J75" s="287" t="n">
        <x:f>$F75*$H75</x:f>
        <x:v>0</x:v>
      </x:c>
      <x:c r="K75" s="264"/>
      <x:c r="L75" s="264"/>
      <x:c r="M75" s="264"/>
      <x:c r="N75" s="264"/>
      <x:c r="O75" s="264"/>
      <x:c r="P75" s="264"/>
      <x:c r="Q75" s="264"/>
      <x:c r="R75" s="264"/>
      <x:c r="S75" s="264"/>
      <x:c r="T75" s="264"/>
      <x:c r="U75" s="264"/>
      <x:c r="V75" s="264"/>
      <x:c r="W75" s="264"/>
      <x:c r="X75" s="264"/>
      <x:c r="Y75" s="264"/>
      <x:c r="Z75" s="264"/>
      <x:c r="AA75" s="264"/>
      <x:c r="AB75" s="264"/>
      <x:c r="AC75" s="264"/>
      <x:c r="AD75" s="264"/>
      <x:c r="AE75" s="264"/>
      <x:c r="AF75" s="264"/>
      <x:c r="AG75" s="264"/>
      <x:c r="AH75" s="264"/>
      <x:c r="AI75" s="264"/>
      <x:c r="AJ75" s="264"/>
    </x:row>
    <x:row r="76">
      <x:c r="A76" s="389" t="n">
        <x:v>0</x:v>
      </x:c>
      <x:c r="B76" s="389" t="str">
        <x:v>CAPEX tambahan 4</x:v>
      </x:c>
      <x:c r="C76" s="389" t="str">
        <x:v>Nilai tetap</x:v>
      </x:c>
      <x:c r="D76" s="389" t="n">
        <x:v>1</x:v>
      </x:c>
      <x:c r="E76" s="389" t="str">
        <x:v>paket</x:v>
      </x:c>
      <x:c r="F76" s="387" t="n">
        <x:v>0</x:v>
      </x:c>
      <x:c r="G76" s="384" t="n">
        <x:f>$A76*$D76*IF($C76="ha bruto",'02_Assumptions'!$C$6,IF($C76="ha efektif",'02_Assumptions'!$C$24,IF($C76="lokasi",1,IF($C76="pohon kelapa",'04_Planting_Design'!$D$8,IF($C76="pohon durian",'04_Planting_Design'!$F$8,IF($C76="rumpun pisang",'04_Planting_Design'!$H$8,IF($C76="nanas hidup",$K$6,IF($C76="unit pendukung hidup",$K$7,1))))))))</x:f>
        <x:v>0</x:v>
      </x:c>
      <x:c r="H76" s="384" t="n">
        <x:f>$A76*$D76*IF($C76="ha bruto",'02_Assumptions'!$C$6,IF($C76="ha efektif",'02_Assumptions'!$C$24,IF($C76="lokasi",4,IF($C76="pohon kelapa",'04_Planting_Design'!$D$8,IF($C76="pohon durian",'04_Planting_Design'!$F$8,IF($C76="rumpun pisang",'04_Planting_Design'!$H$8,IF($C76="nanas hidup",$K$6,IF($C76="unit pendukung hidup",$K$7,1))))))))</x:f>
        <x:v>0</x:v>
      </x:c>
      <x:c r="I76" s="287" t="n">
        <x:f>$F76*$G76</x:f>
        <x:v>0</x:v>
      </x:c>
      <x:c r="J76" s="287" t="n">
        <x:f>$F76*$H76</x:f>
        <x:v>0</x:v>
      </x:c>
      <x:c r="K76" s="264"/>
      <x:c r="L76" s="264"/>
      <x:c r="M76" s="264"/>
      <x:c r="N76" s="264"/>
      <x:c r="O76" s="264"/>
      <x:c r="P76" s="264"/>
      <x:c r="Q76" s="264"/>
      <x:c r="R76" s="264"/>
      <x:c r="S76" s="264"/>
      <x:c r="T76" s="264"/>
      <x:c r="U76" s="264"/>
      <x:c r="V76" s="264"/>
      <x:c r="W76" s="264"/>
      <x:c r="X76" s="264"/>
      <x:c r="Y76" s="264"/>
      <x:c r="Z76" s="264"/>
      <x:c r="AA76" s="264"/>
      <x:c r="AB76" s="264"/>
      <x:c r="AC76" s="264"/>
      <x:c r="AD76" s="264"/>
      <x:c r="AE76" s="264"/>
      <x:c r="AF76" s="264"/>
      <x:c r="AG76" s="264"/>
      <x:c r="AH76" s="264"/>
      <x:c r="AI76" s="264"/>
      <x:c r="AJ76" s="264"/>
    </x:row>
    <x:row r="77">
      <x:c r="A77" s="389" t="n">
        <x:v>0</x:v>
      </x:c>
      <x:c r="B77" s="389" t="str">
        <x:v>CAPEX tambahan 5</x:v>
      </x:c>
      <x:c r="C77" s="389" t="str">
        <x:v>Nilai tetap</x:v>
      </x:c>
      <x:c r="D77" s="389" t="n">
        <x:v>1</x:v>
      </x:c>
      <x:c r="E77" s="389" t="str">
        <x:v>paket</x:v>
      </x:c>
      <x:c r="F77" s="387" t="n">
        <x:v>0</x:v>
      </x:c>
      <x:c r="G77" s="384" t="n">
        <x:f>$A77*$D77*IF($C77="ha bruto",'02_Assumptions'!$C$6,IF($C77="ha efektif",'02_Assumptions'!$C$24,IF($C77="lokasi",1,IF($C77="pohon kelapa",'04_Planting_Design'!$D$8,IF($C77="pohon durian",'04_Planting_Design'!$F$8,IF($C77="rumpun pisang",'04_Planting_Design'!$H$8,IF($C77="nanas hidup",$K$6,IF($C77="unit pendukung hidup",$K$7,1))))))))</x:f>
        <x:v>0</x:v>
      </x:c>
      <x:c r="H77" s="384" t="n">
        <x:f>$A77*$D77*IF($C77="ha bruto",'02_Assumptions'!$C$6,IF($C77="ha efektif",'02_Assumptions'!$C$24,IF($C77="lokasi",4,IF($C77="pohon kelapa",'04_Planting_Design'!$D$8,IF($C77="pohon durian",'04_Planting_Design'!$F$8,IF($C77="rumpun pisang",'04_Planting_Design'!$H$8,IF($C77="nanas hidup",$K$6,IF($C77="unit pendukung hidup",$K$7,1))))))))</x:f>
        <x:v>0</x:v>
      </x:c>
      <x:c r="I77" s="287" t="n">
        <x:f>$F77*$G77</x:f>
        <x:v>0</x:v>
      </x:c>
      <x:c r="J77" s="287" t="n">
        <x:f>$F77*$H77</x:f>
        <x:v>0</x:v>
      </x:c>
      <x:c r="K77" s="264"/>
      <x:c r="L77" s="264"/>
      <x:c r="M77" s="264"/>
      <x:c r="N77" s="264"/>
      <x:c r="O77" s="264"/>
      <x:c r="P77" s="264"/>
      <x:c r="Q77" s="264"/>
      <x:c r="R77" s="264"/>
      <x:c r="S77" s="264"/>
      <x:c r="T77" s="264"/>
      <x:c r="U77" s="264"/>
      <x:c r="V77" s="264"/>
      <x:c r="W77" s="264"/>
      <x:c r="X77" s="264"/>
      <x:c r="Y77" s="264"/>
      <x:c r="Z77" s="264"/>
      <x:c r="AA77" s="264"/>
      <x:c r="AB77" s="264"/>
      <x:c r="AC77" s="264"/>
      <x:c r="AD77" s="264"/>
      <x:c r="AE77" s="264"/>
      <x:c r="AF77" s="264"/>
      <x:c r="AG77" s="264"/>
      <x:c r="AH77" s="264"/>
      <x:c r="AI77" s="264"/>
      <x:c r="AJ77" s="264"/>
    </x:row>
    <x:row r="78">
      <x:c r="A78" s="389" t="n">
        <x:v>0</x:v>
      </x:c>
      <x:c r="B78" s="389" t="str">
        <x:v>CAPEX tambahan 6</x:v>
      </x:c>
      <x:c r="C78" s="389" t="str">
        <x:v>Nilai tetap</x:v>
      </x:c>
      <x:c r="D78" s="389" t="n">
        <x:v>1</x:v>
      </x:c>
      <x:c r="E78" s="389" t="str">
        <x:v>paket</x:v>
      </x:c>
      <x:c r="F78" s="387" t="n">
        <x:v>0</x:v>
      </x:c>
      <x:c r="G78" s="384" t="n">
        <x:f>$A78*$D78*IF($C78="ha bruto",'02_Assumptions'!$C$6,IF($C78="ha efektif",'02_Assumptions'!$C$24,IF($C78="lokasi",1,IF($C78="pohon kelapa",'04_Planting_Design'!$D$8,IF($C78="pohon durian",'04_Planting_Design'!$F$8,IF($C78="rumpun pisang",'04_Planting_Design'!$H$8,IF($C78="nanas hidup",$K$6,IF($C78="unit pendukung hidup",$K$7,1))))))))</x:f>
        <x:v>0</x:v>
      </x:c>
      <x:c r="H78" s="384" t="n">
        <x:f>$A78*$D78*IF($C78="ha bruto",'02_Assumptions'!$C$6,IF($C78="ha efektif",'02_Assumptions'!$C$24,IF($C78="lokasi",4,IF($C78="pohon kelapa",'04_Planting_Design'!$D$8,IF($C78="pohon durian",'04_Planting_Design'!$F$8,IF($C78="rumpun pisang",'04_Planting_Design'!$H$8,IF($C78="nanas hidup",$K$6,IF($C78="unit pendukung hidup",$K$7,1))))))))</x:f>
        <x:v>0</x:v>
      </x:c>
      <x:c r="I78" s="287" t="n">
        <x:f>$F78*$G78</x:f>
        <x:v>0</x:v>
      </x:c>
      <x:c r="J78" s="287" t="n">
        <x:f>$F78*$H78</x:f>
        <x:v>0</x:v>
      </x:c>
      <x:c r="K78" s="264"/>
      <x:c r="L78" s="264"/>
      <x:c r="M78" s="264"/>
      <x:c r="N78" s="264"/>
      <x:c r="O78" s="264"/>
      <x:c r="P78" s="264"/>
      <x:c r="Q78" s="264"/>
      <x:c r="R78" s="264"/>
      <x:c r="S78" s="264"/>
      <x:c r="T78" s="264"/>
      <x:c r="U78" s="264"/>
      <x:c r="V78" s="264"/>
      <x:c r="W78" s="264"/>
      <x:c r="X78" s="264"/>
      <x:c r="Y78" s="264"/>
      <x:c r="Z78" s="264"/>
      <x:c r="AA78" s="264"/>
      <x:c r="AB78" s="264"/>
      <x:c r="AC78" s="264"/>
      <x:c r="AD78" s="264"/>
      <x:c r="AE78" s="264"/>
      <x:c r="AF78" s="264"/>
      <x:c r="AG78" s="264"/>
      <x:c r="AH78" s="264"/>
      <x:c r="AI78" s="264"/>
      <x:c r="AJ78" s="264"/>
    </x:row>
    <x:row r="79">
      <x:c r="A79" s="389" t="n">
        <x:v>0</x:v>
      </x:c>
      <x:c r="B79" s="389" t="str">
        <x:v>CAPEX tambahan 7</x:v>
      </x:c>
      <x:c r="C79" s="389" t="str">
        <x:v>Nilai tetap</x:v>
      </x:c>
      <x:c r="D79" s="389" t="n">
        <x:v>1</x:v>
      </x:c>
      <x:c r="E79" s="389" t="str">
        <x:v>paket</x:v>
      </x:c>
      <x:c r="F79" s="387" t="n">
        <x:v>0</x:v>
      </x:c>
      <x:c r="G79" s="384" t="n">
        <x:f>$A79*$D79*IF($C79="ha bruto",'02_Assumptions'!$C$6,IF($C79="ha efektif",'02_Assumptions'!$C$24,IF($C79="lokasi",1,IF($C79="pohon kelapa",'04_Planting_Design'!$D$8,IF($C79="pohon durian",'04_Planting_Design'!$F$8,IF($C79="rumpun pisang",'04_Planting_Design'!$H$8,IF($C79="nanas hidup",$K$6,IF($C79="unit pendukung hidup",$K$7,1))))))))</x:f>
        <x:v>0</x:v>
      </x:c>
      <x:c r="H79" s="384" t="n">
        <x:f>$A79*$D79*IF($C79="ha bruto",'02_Assumptions'!$C$6,IF($C79="ha efektif",'02_Assumptions'!$C$24,IF($C79="lokasi",4,IF($C79="pohon kelapa",'04_Planting_Design'!$D$8,IF($C79="pohon durian",'04_Planting_Design'!$F$8,IF($C79="rumpun pisang",'04_Planting_Design'!$H$8,IF($C79="nanas hidup",$K$6,IF($C79="unit pendukung hidup",$K$7,1))))))))</x:f>
        <x:v>0</x:v>
      </x:c>
      <x:c r="I79" s="287" t="n">
        <x:f>$F79*$G79</x:f>
        <x:v>0</x:v>
      </x:c>
      <x:c r="J79" s="287" t="n">
        <x:f>$F79*$H79</x:f>
        <x:v>0</x:v>
      </x:c>
      <x:c r="K79" s="264"/>
      <x:c r="L79" s="264"/>
      <x:c r="M79" s="264"/>
      <x:c r="N79" s="264"/>
      <x:c r="O79" s="264"/>
      <x:c r="P79" s="264"/>
      <x:c r="Q79" s="264"/>
      <x:c r="R79" s="264"/>
      <x:c r="S79" s="264"/>
      <x:c r="T79" s="264"/>
      <x:c r="U79" s="264"/>
      <x:c r="V79" s="264"/>
      <x:c r="W79" s="264"/>
      <x:c r="X79" s="264"/>
      <x:c r="Y79" s="264"/>
      <x:c r="Z79" s="264"/>
      <x:c r="AA79" s="264"/>
      <x:c r="AB79" s="264"/>
      <x:c r="AC79" s="264"/>
      <x:c r="AD79" s="264"/>
      <x:c r="AE79" s="264"/>
      <x:c r="AF79" s="264"/>
      <x:c r="AG79" s="264"/>
      <x:c r="AH79" s="264"/>
      <x:c r="AI79" s="264"/>
      <x:c r="AJ79" s="264"/>
    </x:row>
    <x:row r="80">
      <x:c r="A80" s="389" t="n">
        <x:v>0</x:v>
      </x:c>
      <x:c r="B80" s="389" t="str">
        <x:v>CAPEX tambahan 8</x:v>
      </x:c>
      <x:c r="C80" s="389" t="str">
        <x:v>Nilai tetap</x:v>
      </x:c>
      <x:c r="D80" s="389" t="n">
        <x:v>1</x:v>
      </x:c>
      <x:c r="E80" s="389" t="str">
        <x:v>paket</x:v>
      </x:c>
      <x:c r="F80" s="387" t="n">
        <x:v>0</x:v>
      </x:c>
      <x:c r="G80" s="384" t="n">
        <x:f>$A80*$D80*IF($C80="ha bruto",'02_Assumptions'!$C$6,IF($C80="ha efektif",'02_Assumptions'!$C$24,IF($C80="lokasi",1,IF($C80="pohon kelapa",'04_Planting_Design'!$D$8,IF($C80="pohon durian",'04_Planting_Design'!$F$8,IF($C80="rumpun pisang",'04_Planting_Design'!$H$8,IF($C80="nanas hidup",$K$6,IF($C80="unit pendukung hidup",$K$7,1))))))))</x:f>
        <x:v>0</x:v>
      </x:c>
      <x:c r="H80" s="384" t="n">
        <x:f>$A80*$D80*IF($C80="ha bruto",'02_Assumptions'!$C$6,IF($C80="ha efektif",'02_Assumptions'!$C$24,IF($C80="lokasi",4,IF($C80="pohon kelapa",'04_Planting_Design'!$D$8,IF($C80="pohon durian",'04_Planting_Design'!$F$8,IF($C80="rumpun pisang",'04_Planting_Design'!$H$8,IF($C80="nanas hidup",$K$6,IF($C80="unit pendukung hidup",$K$7,1))))))))</x:f>
        <x:v>0</x:v>
      </x:c>
      <x:c r="I80" s="287" t="n">
        <x:f>$F80*$G80</x:f>
        <x:v>0</x:v>
      </x:c>
      <x:c r="J80" s="287" t="n">
        <x:f>$F80*$H80</x:f>
        <x:v>0</x:v>
      </x:c>
      <x:c r="K80" s="264"/>
      <x:c r="L80" s="264"/>
      <x:c r="M80" s="264"/>
      <x:c r="N80" s="264"/>
      <x:c r="O80" s="264"/>
      <x:c r="P80" s="264"/>
      <x:c r="Q80" s="264"/>
      <x:c r="R80" s="264"/>
      <x:c r="S80" s="264"/>
      <x:c r="T80" s="264"/>
      <x:c r="U80" s="264"/>
      <x:c r="V80" s="264"/>
      <x:c r="W80" s="264"/>
      <x:c r="X80" s="264"/>
      <x:c r="Y80" s="264"/>
      <x:c r="Z80" s="264"/>
      <x:c r="AA80" s="264"/>
      <x:c r="AB80" s="264"/>
      <x:c r="AC80" s="264"/>
      <x:c r="AD80" s="264"/>
      <x:c r="AE80" s="264"/>
      <x:c r="AF80" s="264"/>
      <x:c r="AG80" s="264"/>
      <x:c r="AH80" s="264"/>
      <x:c r="AI80" s="264"/>
      <x:c r="AJ80" s="264"/>
    </x:row>
    <x:row r="81">
      <x:c r="A81" s="389" t="n">
        <x:v>0</x:v>
      </x:c>
      <x:c r="B81" s="389" t="str">
        <x:v>CAPEX tambahan 9</x:v>
      </x:c>
      <x:c r="C81" s="389" t="str">
        <x:v>Nilai tetap</x:v>
      </x:c>
      <x:c r="D81" s="389" t="n">
        <x:v>1</x:v>
      </x:c>
      <x:c r="E81" s="389" t="str">
        <x:v>paket</x:v>
      </x:c>
      <x:c r="F81" s="387" t="n">
        <x:v>0</x:v>
      </x:c>
      <x:c r="G81" s="384" t="n">
        <x:f>$A81*$D81*IF($C81="ha bruto",'02_Assumptions'!$C$6,IF($C81="ha efektif",'02_Assumptions'!$C$24,IF($C81="lokasi",1,IF($C81="pohon kelapa",'04_Planting_Design'!$D$8,IF($C81="pohon durian",'04_Planting_Design'!$F$8,IF($C81="rumpun pisang",'04_Planting_Design'!$H$8,IF($C81="nanas hidup",$K$6,IF($C81="unit pendukung hidup",$K$7,1))))))))</x:f>
        <x:v>0</x:v>
      </x:c>
      <x:c r="H81" s="384" t="n">
        <x:f>$A81*$D81*IF($C81="ha bruto",'02_Assumptions'!$C$6,IF($C81="ha efektif",'02_Assumptions'!$C$24,IF($C81="lokasi",4,IF($C81="pohon kelapa",'04_Planting_Design'!$D$8,IF($C81="pohon durian",'04_Planting_Design'!$F$8,IF($C81="rumpun pisang",'04_Planting_Design'!$H$8,IF($C81="nanas hidup",$K$6,IF($C81="unit pendukung hidup",$K$7,1))))))))</x:f>
        <x:v>0</x:v>
      </x:c>
      <x:c r="I81" s="287" t="n">
        <x:f>$F81*$G81</x:f>
        <x:v>0</x:v>
      </x:c>
      <x:c r="J81" s="287" t="n">
        <x:f>$F81*$H81</x:f>
        <x:v>0</x:v>
      </x:c>
      <x:c r="K81" s="264"/>
      <x:c r="L81" s="264"/>
      <x:c r="M81" s="264"/>
      <x:c r="N81" s="264"/>
      <x:c r="O81" s="264"/>
      <x:c r="P81" s="264"/>
      <x:c r="Q81" s="264"/>
      <x:c r="R81" s="264"/>
      <x:c r="S81" s="264"/>
      <x:c r="T81" s="264"/>
      <x:c r="U81" s="264"/>
      <x:c r="V81" s="264"/>
      <x:c r="W81" s="264"/>
      <x:c r="X81" s="264"/>
      <x:c r="Y81" s="264"/>
      <x:c r="Z81" s="264"/>
      <x:c r="AA81" s="264"/>
      <x:c r="AB81" s="264"/>
      <x:c r="AC81" s="264"/>
      <x:c r="AD81" s="264"/>
      <x:c r="AE81" s="264"/>
      <x:c r="AF81" s="264"/>
      <x:c r="AG81" s="264"/>
      <x:c r="AH81" s="264"/>
      <x:c r="AI81" s="264"/>
      <x:c r="AJ81" s="264"/>
    </x:row>
    <x:row r="82">
      <x:c r="A82" s="389" t="n">
        <x:v>0</x:v>
      </x:c>
      <x:c r="B82" s="389" t="str">
        <x:v>CAPEX tambahan 10</x:v>
      </x:c>
      <x:c r="C82" s="389" t="str">
        <x:v>Nilai tetap</x:v>
      </x:c>
      <x:c r="D82" s="389" t="n">
        <x:v>1</x:v>
      </x:c>
      <x:c r="E82" s="389" t="str">
        <x:v>paket</x:v>
      </x:c>
      <x:c r="F82" s="387" t="n">
        <x:v>0</x:v>
      </x:c>
      <x:c r="G82" s="384" t="n">
        <x:f>$A82*$D82*IF($C82="ha bruto",'02_Assumptions'!$C$6,IF($C82="ha efektif",'02_Assumptions'!$C$24,IF($C82="lokasi",1,IF($C82="pohon kelapa",'04_Planting_Design'!$D$8,IF($C82="pohon durian",'04_Planting_Design'!$F$8,IF($C82="rumpun pisang",'04_Planting_Design'!$H$8,IF($C82="nanas hidup",$K$6,IF($C82="unit pendukung hidup",$K$7,1))))))))</x:f>
        <x:v>0</x:v>
      </x:c>
      <x:c r="H82" s="384" t="n">
        <x:f>$A82*$D82*IF($C82="ha bruto",'02_Assumptions'!$C$6,IF($C82="ha efektif",'02_Assumptions'!$C$24,IF($C82="lokasi",4,IF($C82="pohon kelapa",'04_Planting_Design'!$D$8,IF($C82="pohon durian",'04_Planting_Design'!$F$8,IF($C82="rumpun pisang",'04_Planting_Design'!$H$8,IF($C82="nanas hidup",$K$6,IF($C82="unit pendukung hidup",$K$7,1))))))))</x:f>
        <x:v>0</x:v>
      </x:c>
      <x:c r="I82" s="287" t="n">
        <x:f>$F82*$G82</x:f>
        <x:v>0</x:v>
      </x:c>
      <x:c r="J82" s="287" t="n">
        <x:f>$F82*$H82</x:f>
        <x:v>0</x:v>
      </x:c>
      <x:c r="K82" s="264"/>
      <x:c r="L82" s="264"/>
      <x:c r="M82" s="264"/>
      <x:c r="N82" s="264"/>
      <x:c r="O82" s="264"/>
      <x:c r="P82" s="264"/>
      <x:c r="Q82" s="264"/>
      <x:c r="R82" s="264"/>
      <x:c r="S82" s="264"/>
      <x:c r="T82" s="264"/>
      <x:c r="U82" s="264"/>
      <x:c r="V82" s="264"/>
      <x:c r="W82" s="264"/>
      <x:c r="X82" s="264"/>
      <x:c r="Y82" s="264"/>
      <x:c r="Z82" s="264"/>
      <x:c r="AA82" s="264"/>
      <x:c r="AB82" s="264"/>
      <x:c r="AC82" s="264"/>
      <x:c r="AD82" s="264"/>
      <x:c r="AE82" s="264"/>
      <x:c r="AF82" s="264"/>
      <x:c r="AG82" s="264"/>
      <x:c r="AH82" s="264"/>
      <x:c r="AI82" s="264"/>
      <x:c r="AJ82" s="264"/>
    </x:row>
    <x:row r="83">
      <x:c r="A83" s="264"/>
      <x:c r="B83" s="264"/>
      <x:c r="C83" s="264"/>
      <x:c r="D83" s="264"/>
      <x:c r="E83" s="264"/>
      <x:c r="F83" s="264"/>
      <x:c r="G83" s="264"/>
      <x:c r="H83" s="264"/>
      <x:c r="I83" s="287"/>
      <x:c r="J83" s="287"/>
      <x:c r="K83" s="264"/>
      <x:c r="L83" s="264"/>
      <x:c r="M83" s="264"/>
      <x:c r="N83" s="264"/>
      <x:c r="O83" s="264"/>
      <x:c r="P83" s="264"/>
      <x:c r="Q83" s="264"/>
      <x:c r="R83" s="264"/>
      <x:c r="S83" s="264"/>
      <x:c r="T83" s="264"/>
      <x:c r="U83" s="264"/>
      <x:c r="V83" s="264"/>
      <x:c r="W83" s="264"/>
      <x:c r="X83" s="264"/>
      <x:c r="Y83" s="264"/>
      <x:c r="Z83" s="264"/>
      <x:c r="AA83" s="264"/>
      <x:c r="AB83" s="264"/>
      <x:c r="AC83" s="264"/>
      <x:c r="AD83" s="264"/>
      <x:c r="AE83" s="264"/>
      <x:c r="AF83" s="264"/>
      <x:c r="AG83" s="264"/>
      <x:c r="AH83" s="264"/>
      <x:c r="AI83" s="264"/>
      <x:c r="AJ83" s="264"/>
    </x:row>
    <x:row r="84">
      <x:c r="A84" s="390" t="str">
        <x:v>TOTAL CAPEX TAMBAHAN</x:v>
      </x:c>
      <x:c r="B84" s="390"/>
      <x:c r="C84" s="390"/>
      <x:c r="D84" s="390"/>
      <x:c r="E84" s="390"/>
      <x:c r="F84" s="390"/>
      <x:c r="G84" s="390"/>
      <x:c r="H84" s="390"/>
      <x:c r="I84" s="390" t="n">
        <x:f>SUM(I73:I82)</x:f>
        <x:v>0</x:v>
      </x:c>
      <x:c r="J84" s="390" t="n">
        <x:f>SUM(J73:J82)</x:f>
        <x:v>0</x:v>
      </x:c>
      <x:c r="K84" s="390"/>
      <x:c r="L84" s="264"/>
      <x:c r="M84" s="264"/>
      <x:c r="N84" s="264"/>
      <x:c r="O84" s="264"/>
      <x:c r="P84" s="264"/>
      <x:c r="Q84" s="264"/>
      <x:c r="R84" s="264"/>
      <x:c r="S84" s="264"/>
      <x:c r="T84" s="264"/>
      <x:c r="U84" s="264"/>
      <x:c r="V84" s="264"/>
      <x:c r="W84" s="264"/>
      <x:c r="X84" s="264"/>
      <x:c r="Y84" s="264"/>
      <x:c r="Z84" s="264"/>
      <x:c r="AA84" s="264"/>
      <x:c r="AB84" s="264"/>
      <x:c r="AC84" s="264"/>
      <x:c r="AD84" s="264"/>
      <x:c r="AE84" s="264"/>
      <x:c r="AF84" s="264"/>
      <x:c r="AG84" s="264"/>
      <x:c r="AH84" s="264"/>
      <x:c r="AI84" s="264"/>
      <x:c r="AJ84" s="264"/>
    </x:row>
    <x:row r="85">
      <x:c r="A85" s="264"/>
      <x:c r="B85" s="264"/>
      <x:c r="C85" s="264"/>
      <x:c r="D85" s="264"/>
      <x:c r="E85" s="264"/>
      <x:c r="F85" s="264"/>
      <x:c r="G85" s="264"/>
      <x:c r="H85" s="264"/>
      <x:c r="I85" s="264"/>
      <x:c r="J85" s="264"/>
      <x:c r="K85" s="264"/>
      <x:c r="L85" s="264"/>
      <x:c r="M85" s="264"/>
      <x:c r="N85" s="264"/>
      <x:c r="O85" s="264"/>
      <x:c r="P85" s="264"/>
      <x:c r="Q85" s="264"/>
      <x:c r="R85" s="264"/>
      <x:c r="S85" s="264"/>
      <x:c r="T85" s="264"/>
      <x:c r="U85" s="264"/>
      <x:c r="V85" s="264"/>
      <x:c r="W85" s="264"/>
      <x:c r="X85" s="264"/>
      <x:c r="Y85" s="264"/>
      <x:c r="Z85" s="264"/>
      <x:c r="AA85" s="264"/>
      <x:c r="AB85" s="264"/>
      <x:c r="AC85" s="264"/>
      <x:c r="AD85" s="264"/>
      <x:c r="AE85" s="264"/>
      <x:c r="AF85" s="264"/>
      <x:c r="AG85" s="264"/>
      <x:c r="AH85" s="264"/>
      <x:c r="AI85" s="264"/>
      <x:c r="AJ85" s="264"/>
    </x:row>
    <x:row r="86">
      <x:c r="A86" s="264"/>
      <x:c r="B86" s="264"/>
      <x:c r="C86" s="264"/>
      <x:c r="D86" s="264"/>
      <x:c r="E86" s="264"/>
      <x:c r="F86" s="264"/>
      <x:c r="G86" s="264"/>
      <x:c r="H86" s="264"/>
      <x:c r="I86" s="264"/>
      <x:c r="J86" s="264"/>
      <x:c r="K86" s="264"/>
      <x:c r="L86" s="264"/>
      <x:c r="M86" s="264"/>
      <x:c r="N86" s="264"/>
      <x:c r="O86" s="264"/>
      <x:c r="P86" s="264"/>
      <x:c r="Q86" s="264"/>
      <x:c r="R86" s="264"/>
      <x:c r="S86" s="264"/>
      <x:c r="T86" s="264"/>
      <x:c r="U86" s="264"/>
      <x:c r="V86" s="264"/>
      <x:c r="W86" s="264"/>
      <x:c r="X86" s="264"/>
      <x:c r="Y86" s="264"/>
      <x:c r="Z86" s="264"/>
      <x:c r="AA86" s="264"/>
      <x:c r="AB86" s="264"/>
      <x:c r="AC86" s="264"/>
      <x:c r="AD86" s="264"/>
      <x:c r="AE86" s="264"/>
      <x:c r="AF86" s="264"/>
      <x:c r="AG86" s="264"/>
      <x:c r="AH86" s="264"/>
      <x:c r="AI86" s="264"/>
      <x:c r="AJ86" s="264"/>
    </x:row>
    <x:row r="87" ht="20" customHeight="1">
      <x:c r="A87" s="383" t="str">
        <x:v>F. OPEX tambahan — baris cadangan</x:v>
      </x:c>
      <x:c r="B87" s="383"/>
      <x:c r="C87" s="383"/>
      <x:c r="D87" s="383"/>
      <x:c r="E87" s="383"/>
      <x:c r="F87" s="383"/>
      <x:c r="G87" s="383"/>
      <x:c r="H87" s="383"/>
      <x:c r="I87" s="383"/>
      <x:c r="J87" s="383"/>
      <x:c r="K87" s="383"/>
      <x:c r="L87" s="383"/>
      <x:c r="M87" s="383"/>
      <x:c r="N87" s="383"/>
      <x:c r="O87" s="383"/>
      <x:c r="P87" s="383"/>
      <x:c r="Q87" s="383"/>
      <x:c r="R87" s="383"/>
      <x:c r="S87" s="264"/>
      <x:c r="T87" s="264"/>
      <x:c r="U87" s="264"/>
      <x:c r="V87" s="264"/>
      <x:c r="W87" s="264"/>
      <x:c r="X87" s="264"/>
      <x:c r="Y87" s="264"/>
      <x:c r="Z87" s="264"/>
      <x:c r="AA87" s="264"/>
      <x:c r="AB87" s="264"/>
      <x:c r="AC87" s="264"/>
      <x:c r="AD87" s="264"/>
      <x:c r="AE87" s="264"/>
      <x:c r="AF87" s="264"/>
      <x:c r="AG87" s="264"/>
      <x:c r="AH87" s="264"/>
      <x:c r="AI87" s="264"/>
      <x:c r="AJ87" s="264"/>
    </x:row>
    <x:row r="88" ht="32" customHeight="1">
      <x:c r="A88" s="368" t="str">
        <x:v>Aktif</x:v>
      </x:c>
      <x:c r="B88" s="368" t="str">
        <x:v>Nama biaya</x:v>
      </x:c>
      <x:c r="C88" s="368" t="str">
        <x:v>Basis</x:v>
      </x:c>
      <x:c r="D88" s="368" t="str">
        <x:v>Rasio per basis</x:v>
      </x:c>
      <x:c r="E88" s="368" t="str">
        <x:v>Harga satuan</x:v>
      </x:c>
      <x:c r="F88" s="368" t="str">
        <x:v>Tahun mulai</x:v>
      </x:c>
      <x:c r="G88" s="368" t="str">
        <x:v>Tahun akhir</x:v>
      </x:c>
      <x:c r="H88" s="368" t="str">
        <x:v>T1</x:v>
      </x:c>
      <x:c r="I88" s="368" t="str">
        <x:v>T2</x:v>
      </x:c>
      <x:c r="J88" s="368" t="str">
        <x:v>T3</x:v>
      </x:c>
      <x:c r="K88" s="368" t="str">
        <x:v>T4</x:v>
      </x:c>
      <x:c r="L88" s="368" t="str">
        <x:v>T5</x:v>
      </x:c>
      <x:c r="M88" s="368" t="str">
        <x:v>T6</x:v>
      </x:c>
      <x:c r="N88" s="368" t="str">
        <x:v>T7</x:v>
      </x:c>
      <x:c r="O88" s="368" t="str">
        <x:v>T8</x:v>
      </x:c>
      <x:c r="P88" s="368" t="str">
        <x:v>T9</x:v>
      </x:c>
      <x:c r="Q88" s="368" t="str">
        <x:v>T10</x:v>
      </x:c>
      <x:c r="R88" s="368" t="str">
        <x:v>Catatan</x:v>
      </x:c>
      <x:c r="S88" s="264"/>
      <x:c r="T88" s="264"/>
      <x:c r="U88" s="264"/>
      <x:c r="V88" s="264"/>
      <x:c r="W88" s="264"/>
      <x:c r="X88" s="264"/>
      <x:c r="Y88" s="264"/>
      <x:c r="Z88" s="264"/>
      <x:c r="AA88" s="264"/>
      <x:c r="AB88" s="264"/>
      <x:c r="AC88" s="264"/>
      <x:c r="AD88" s="264"/>
      <x:c r="AE88" s="264"/>
      <x:c r="AF88" s="264"/>
      <x:c r="AG88" s="264"/>
      <x:c r="AH88" s="264"/>
      <x:c r="AI88" s="264"/>
      <x:c r="AJ88" s="264"/>
    </x:row>
    <x:row r="89">
      <x:c r="A89" s="389" t="n">
        <x:v>0</x:v>
      </x:c>
      <x:c r="B89" s="389" t="str">
        <x:v>OPEX tambahan 1</x:v>
      </x:c>
      <x:c r="C89" s="389" t="str">
        <x:v>Nilai tetap</x:v>
      </x:c>
      <x:c r="D89" s="389" t="n">
        <x:v>1</x:v>
      </x:c>
      <x:c r="E89" s="387" t="n">
        <x:v>0</x:v>
      </x:c>
      <x:c r="F89" s="389" t="n">
        <x:v>1</x:v>
      </x:c>
      <x:c r="G89" s="389" t="n">
        <x:v>10</x:v>
      </x:c>
      <x:c r="H89" s="287" t="n">
        <x:f>IF(AND(1&gt;=$F89,1&lt;=$G89),$A89*$D89*$E89*IF($C89="ha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hidup",$K$7,1))))))))*(1+'02_Assumptions'!$C$11)^0,0)</x:f>
        <x:v>0</x:v>
      </x:c>
      <x:c r="I89" s="287" t="n">
        <x:f>IF(AND(2&gt;=$F89,2&lt;=$G89),$A89*$D89*$E89*IF($C89="ha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hidup",$K$7,1))))))))*(1+'02_Assumptions'!$C$11)^1,0)</x:f>
        <x:v>0</x:v>
      </x:c>
      <x:c r="J89" s="287" t="n">
        <x:f>IF(AND(3&gt;=$F89,3&lt;=$G89),$A89*$D89*$E89*IF($C89="ha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hidup",$K$7,1))))))))*(1+'02_Assumptions'!$C$11)^2,0)</x:f>
        <x:v>0</x:v>
      </x:c>
      <x:c r="K89" s="287" t="n">
        <x:f>IF(AND(4&gt;=$F89,4&lt;=$G89),$A89*$D89*$E89*IF($C89="ha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hidup",$K$7,1))))))))*(1+'02_Assumptions'!$C$11)^3,0)</x:f>
        <x:v>0</x:v>
      </x:c>
      <x:c r="L89" s="287" t="n">
        <x:f>IF(AND(5&gt;=$F89,5&lt;=$G89),$A89*$D89*$E89*IF($C89="ha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hidup",$K$7,1))))))))*(1+'02_Assumptions'!$C$11)^4,0)</x:f>
        <x:v>0</x:v>
      </x:c>
      <x:c r="M89" s="287" t="n">
        <x:f>IF(AND(6&gt;=$F89,6&lt;=$G89),$A89*$D89*$E89*IF($C89="ha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hidup",$K$7,1))))))))*(1+'02_Assumptions'!$C$11)^5,0)</x:f>
        <x:v>0</x:v>
      </x:c>
      <x:c r="N89" s="287" t="n">
        <x:f>IF(AND(7&gt;=$F89,7&lt;=$G89),$A89*$D89*$E89*IF($C89="ha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hidup",$K$7,1))))))))*(1+'02_Assumptions'!$C$11)^6,0)</x:f>
        <x:v>0</x:v>
      </x:c>
      <x:c r="O89" s="287" t="n">
        <x:f>IF(AND(8&gt;=$F89,8&lt;=$G89),$A89*$D89*$E89*IF($C89="ha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hidup",$K$7,1))))))))*(1+'02_Assumptions'!$C$11)^7,0)</x:f>
        <x:v>0</x:v>
      </x:c>
      <x:c r="P89" s="287" t="n">
        <x:f>IF(AND(9&gt;=$F89,9&lt;=$G89),$A89*$D89*$E89*IF($C89="ha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hidup",$K$7,1))))))))*(1+'02_Assumptions'!$C$11)^8,0)</x:f>
        <x:v>0</x:v>
      </x:c>
      <x:c r="Q89" s="287" t="n">
        <x:f>IF(AND(10&gt;=$F89,10&lt;=$G89),$A89*$D89*$E89*IF($C89="ha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hidup",$K$7,1))))))))*(1+'02_Assumptions'!$C$11)^9,0)</x:f>
        <x:v>0</x:v>
      </x:c>
      <x:c r="R89" s="264"/>
      <x:c r="S89" s="264"/>
      <x:c r="T89" s="264"/>
      <x:c r="U89" s="264"/>
      <x:c r="V89" s="264"/>
      <x:c r="W89" s="264"/>
      <x:c r="X89" s="264"/>
      <x:c r="Y89" s="264"/>
      <x:c r="Z89" s="264"/>
      <x:c r="AA89" s="264"/>
      <x:c r="AB89" s="264"/>
      <x:c r="AC89" s="264"/>
      <x:c r="AD89" s="264"/>
      <x:c r="AE89" s="264"/>
      <x:c r="AF89" s="264"/>
      <x:c r="AG89" s="264"/>
      <x:c r="AH89" s="264"/>
      <x:c r="AI89" s="264"/>
      <x:c r="AJ89" s="264"/>
    </x:row>
    <x:row r="90">
      <x:c r="A90" s="389" t="n">
        <x:v>0</x:v>
      </x:c>
      <x:c r="B90" s="389" t="str">
        <x:v>OPEX tambahan 2</x:v>
      </x:c>
      <x:c r="C90" s="389" t="str">
        <x:v>Nilai tetap</x:v>
      </x:c>
      <x:c r="D90" s="389" t="n">
        <x:v>1</x:v>
      </x:c>
      <x:c r="E90" s="387" t="n">
        <x:v>0</x:v>
      </x:c>
      <x:c r="F90" s="389" t="n">
        <x:v>1</x:v>
      </x:c>
      <x:c r="G90" s="389" t="n">
        <x:v>10</x:v>
      </x:c>
      <x:c r="H90" s="287" t="n">
        <x:f>IF(AND(1&gt;=$F90,1&lt;=$G90),$A90*$D90*$E90*IF($C90="ha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hidup",$K$7,1))))))))*(1+'02_Assumptions'!$C$11)^0,0)</x:f>
        <x:v>0</x:v>
      </x:c>
      <x:c r="I90" s="287" t="n">
        <x:f>IF(AND(2&gt;=$F90,2&lt;=$G90),$A90*$D90*$E90*IF($C90="ha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hidup",$K$7,1))))))))*(1+'02_Assumptions'!$C$11)^1,0)</x:f>
        <x:v>0</x:v>
      </x:c>
      <x:c r="J90" s="287" t="n">
        <x:f>IF(AND(3&gt;=$F90,3&lt;=$G90),$A90*$D90*$E90*IF($C90="ha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hidup",$K$7,1))))))))*(1+'02_Assumptions'!$C$11)^2,0)</x:f>
        <x:v>0</x:v>
      </x:c>
      <x:c r="K90" s="287" t="n">
        <x:f>IF(AND(4&gt;=$F90,4&lt;=$G90),$A90*$D90*$E90*IF($C90="ha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hidup",$K$7,1))))))))*(1+'02_Assumptions'!$C$11)^3,0)</x:f>
        <x:v>0</x:v>
      </x:c>
      <x:c r="L90" s="287" t="n">
        <x:f>IF(AND(5&gt;=$F90,5&lt;=$G90),$A90*$D90*$E90*IF($C90="ha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hidup",$K$7,1))))))))*(1+'02_Assumptions'!$C$11)^4,0)</x:f>
        <x:v>0</x:v>
      </x:c>
      <x:c r="M90" s="287" t="n">
        <x:f>IF(AND(6&gt;=$F90,6&lt;=$G90),$A90*$D90*$E90*IF($C90="ha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hidup",$K$7,1))))))))*(1+'02_Assumptions'!$C$11)^5,0)</x:f>
        <x:v>0</x:v>
      </x:c>
      <x:c r="N90" s="287" t="n">
        <x:f>IF(AND(7&gt;=$F90,7&lt;=$G90),$A90*$D90*$E90*IF($C90="ha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hidup",$K$7,1))))))))*(1+'02_Assumptions'!$C$11)^6,0)</x:f>
        <x:v>0</x:v>
      </x:c>
      <x:c r="O90" s="287" t="n">
        <x:f>IF(AND(8&gt;=$F90,8&lt;=$G90),$A90*$D90*$E90*IF($C90="ha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hidup",$K$7,1))))))))*(1+'02_Assumptions'!$C$11)^7,0)</x:f>
        <x:v>0</x:v>
      </x:c>
      <x:c r="P90" s="287" t="n">
        <x:f>IF(AND(9&gt;=$F90,9&lt;=$G90),$A90*$D90*$E90*IF($C90="ha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hidup",$K$7,1))))))))*(1+'02_Assumptions'!$C$11)^8,0)</x:f>
        <x:v>0</x:v>
      </x:c>
      <x:c r="Q90" s="287" t="n">
        <x:f>IF(AND(10&gt;=$F90,10&lt;=$G90),$A90*$D90*$E90*IF($C90="ha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hidup",$K$7,1))))))))*(1+'02_Assumptions'!$C$11)^9,0)</x:f>
        <x:v>0</x:v>
      </x:c>
      <x:c r="R90" s="264"/>
      <x:c r="S90" s="264"/>
      <x:c r="T90" s="264"/>
      <x:c r="U90" s="264"/>
      <x:c r="V90" s="264"/>
      <x:c r="W90" s="264"/>
      <x:c r="X90" s="264"/>
      <x:c r="Y90" s="264"/>
      <x:c r="Z90" s="264"/>
      <x:c r="AA90" s="264"/>
      <x:c r="AB90" s="264"/>
      <x:c r="AC90" s="264"/>
      <x:c r="AD90" s="264"/>
      <x:c r="AE90" s="264"/>
      <x:c r="AF90" s="264"/>
      <x:c r="AG90" s="264"/>
      <x:c r="AH90" s="264"/>
      <x:c r="AI90" s="264"/>
      <x:c r="AJ90" s="264"/>
    </x:row>
    <x:row r="91">
      <x:c r="A91" s="389" t="n">
        <x:v>0</x:v>
      </x:c>
      <x:c r="B91" s="389" t="str">
        <x:v>OPEX tambahan 3</x:v>
      </x:c>
      <x:c r="C91" s="389" t="str">
        <x:v>Nilai tetap</x:v>
      </x:c>
      <x:c r="D91" s="389" t="n">
        <x:v>1</x:v>
      </x:c>
      <x:c r="E91" s="387" t="n">
        <x:v>0</x:v>
      </x:c>
      <x:c r="F91" s="389" t="n">
        <x:v>1</x:v>
      </x:c>
      <x:c r="G91" s="389" t="n">
        <x:v>10</x:v>
      </x:c>
      <x:c r="H91" s="287" t="n">
        <x:f>IF(AND(1&gt;=$F91,1&lt;=$G91),$A91*$D91*$E91*IF($C91="ha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hidup",$K$7,1))))))))*(1+'02_Assumptions'!$C$11)^0,0)</x:f>
        <x:v>0</x:v>
      </x:c>
      <x:c r="I91" s="287" t="n">
        <x:f>IF(AND(2&gt;=$F91,2&lt;=$G91),$A91*$D91*$E91*IF($C91="ha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hidup",$K$7,1))))))))*(1+'02_Assumptions'!$C$11)^1,0)</x:f>
        <x:v>0</x:v>
      </x:c>
      <x:c r="J91" s="287" t="n">
        <x:f>IF(AND(3&gt;=$F91,3&lt;=$G91),$A91*$D91*$E91*IF($C91="ha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hidup",$K$7,1))))))))*(1+'02_Assumptions'!$C$11)^2,0)</x:f>
        <x:v>0</x:v>
      </x:c>
      <x:c r="K91" s="287" t="n">
        <x:f>IF(AND(4&gt;=$F91,4&lt;=$G91),$A91*$D91*$E91*IF($C91="ha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hidup",$K$7,1))))))))*(1+'02_Assumptions'!$C$11)^3,0)</x:f>
        <x:v>0</x:v>
      </x:c>
      <x:c r="L91" s="287" t="n">
        <x:f>IF(AND(5&gt;=$F91,5&lt;=$G91),$A91*$D91*$E91*IF($C91="ha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hidup",$K$7,1))))))))*(1+'02_Assumptions'!$C$11)^4,0)</x:f>
        <x:v>0</x:v>
      </x:c>
      <x:c r="M91" s="287" t="n">
        <x:f>IF(AND(6&gt;=$F91,6&lt;=$G91),$A91*$D91*$E91*IF($C91="ha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hidup",$K$7,1))))))))*(1+'02_Assumptions'!$C$11)^5,0)</x:f>
        <x:v>0</x:v>
      </x:c>
      <x:c r="N91" s="287" t="n">
        <x:f>IF(AND(7&gt;=$F91,7&lt;=$G91),$A91*$D91*$E91*IF($C91="ha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hidup",$K$7,1))))))))*(1+'02_Assumptions'!$C$11)^6,0)</x:f>
        <x:v>0</x:v>
      </x:c>
      <x:c r="O91" s="287" t="n">
        <x:f>IF(AND(8&gt;=$F91,8&lt;=$G91),$A91*$D91*$E91*IF($C91="ha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hidup",$K$7,1))))))))*(1+'02_Assumptions'!$C$11)^7,0)</x:f>
        <x:v>0</x:v>
      </x:c>
      <x:c r="P91" s="287" t="n">
        <x:f>IF(AND(9&gt;=$F91,9&lt;=$G91),$A91*$D91*$E91*IF($C91="ha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hidup",$K$7,1))))))))*(1+'02_Assumptions'!$C$11)^8,0)</x:f>
        <x:v>0</x:v>
      </x:c>
      <x:c r="Q91" s="287" t="n">
        <x:f>IF(AND(10&gt;=$F91,10&lt;=$G91),$A91*$D91*$E91*IF($C91="ha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hidup",$K$7,1))))))))*(1+'02_Assumptions'!$C$11)^9,0)</x:f>
        <x:v>0</x:v>
      </x:c>
      <x:c r="R91" s="264"/>
      <x:c r="S91" s="264"/>
      <x:c r="T91" s="264"/>
      <x:c r="U91" s="264"/>
      <x:c r="V91" s="264"/>
      <x:c r="W91" s="264"/>
      <x:c r="X91" s="264"/>
      <x:c r="Y91" s="264"/>
      <x:c r="Z91" s="264"/>
      <x:c r="AA91" s="264"/>
      <x:c r="AB91" s="264"/>
      <x:c r="AC91" s="264"/>
      <x:c r="AD91" s="264"/>
      <x:c r="AE91" s="264"/>
      <x:c r="AF91" s="264"/>
      <x:c r="AG91" s="264"/>
      <x:c r="AH91" s="264"/>
      <x:c r="AI91" s="264"/>
      <x:c r="AJ91" s="264"/>
    </x:row>
    <x:row r="92">
      <x:c r="A92" s="389" t="n">
        <x:v>0</x:v>
      </x:c>
      <x:c r="B92" s="389" t="str">
        <x:v>OPEX tambahan 4</x:v>
      </x:c>
      <x:c r="C92" s="389" t="str">
        <x:v>Nilai tetap</x:v>
      </x:c>
      <x:c r="D92" s="389" t="n">
        <x:v>1</x:v>
      </x:c>
      <x:c r="E92" s="387" t="n">
        <x:v>0</x:v>
      </x:c>
      <x:c r="F92" s="389" t="n">
        <x:v>1</x:v>
      </x:c>
      <x:c r="G92" s="389" t="n">
        <x:v>10</x:v>
      </x:c>
      <x:c r="H92" s="287" t="n">
        <x:f>IF(AND(1&gt;=$F92,1&lt;=$G92),$A92*$D92*$E92*IF($C92="ha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hidup",$K$7,1))))))))*(1+'02_Assumptions'!$C$11)^0,0)</x:f>
        <x:v>0</x:v>
      </x:c>
      <x:c r="I92" s="287" t="n">
        <x:f>IF(AND(2&gt;=$F92,2&lt;=$G92),$A92*$D92*$E92*IF($C92="ha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hidup",$K$7,1))))))))*(1+'02_Assumptions'!$C$11)^1,0)</x:f>
        <x:v>0</x:v>
      </x:c>
      <x:c r="J92" s="287" t="n">
        <x:f>IF(AND(3&gt;=$F92,3&lt;=$G92),$A92*$D92*$E92*IF($C92="ha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hidup",$K$7,1))))))))*(1+'02_Assumptions'!$C$11)^2,0)</x:f>
        <x:v>0</x:v>
      </x:c>
      <x:c r="K92" s="287" t="n">
        <x:f>IF(AND(4&gt;=$F92,4&lt;=$G92),$A92*$D92*$E92*IF($C92="ha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hidup",$K$7,1))))))))*(1+'02_Assumptions'!$C$11)^3,0)</x:f>
        <x:v>0</x:v>
      </x:c>
      <x:c r="L92" s="287" t="n">
        <x:f>IF(AND(5&gt;=$F92,5&lt;=$G92),$A92*$D92*$E92*IF($C92="ha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hidup",$K$7,1))))))))*(1+'02_Assumptions'!$C$11)^4,0)</x:f>
        <x:v>0</x:v>
      </x:c>
      <x:c r="M92" s="287" t="n">
        <x:f>IF(AND(6&gt;=$F92,6&lt;=$G92),$A92*$D92*$E92*IF($C92="ha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hidup",$K$7,1))))))))*(1+'02_Assumptions'!$C$11)^5,0)</x:f>
        <x:v>0</x:v>
      </x:c>
      <x:c r="N92" s="287" t="n">
        <x:f>IF(AND(7&gt;=$F92,7&lt;=$G92),$A92*$D92*$E92*IF($C92="ha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hidup",$K$7,1))))))))*(1+'02_Assumptions'!$C$11)^6,0)</x:f>
        <x:v>0</x:v>
      </x:c>
      <x:c r="O92" s="287" t="n">
        <x:f>IF(AND(8&gt;=$F92,8&lt;=$G92),$A92*$D92*$E92*IF($C92="ha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hidup",$K$7,1))))))))*(1+'02_Assumptions'!$C$11)^7,0)</x:f>
        <x:v>0</x:v>
      </x:c>
      <x:c r="P92" s="287" t="n">
        <x:f>IF(AND(9&gt;=$F92,9&lt;=$G92),$A92*$D92*$E92*IF($C92="ha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hidup",$K$7,1))))))))*(1+'02_Assumptions'!$C$11)^8,0)</x:f>
        <x:v>0</x:v>
      </x:c>
      <x:c r="Q92" s="287" t="n">
        <x:f>IF(AND(10&gt;=$F92,10&lt;=$G92),$A92*$D92*$E92*IF($C92="ha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hidup",$K$7,1))))))))*(1+'02_Assumptions'!$C$11)^9,0)</x:f>
        <x:v>0</x:v>
      </x:c>
      <x:c r="R92" s="264"/>
      <x:c r="S92" s="264"/>
      <x:c r="T92" s="264"/>
      <x:c r="U92" s="264"/>
      <x:c r="V92" s="264"/>
      <x:c r="W92" s="264"/>
      <x:c r="X92" s="264"/>
      <x:c r="Y92" s="264"/>
      <x:c r="Z92" s="264"/>
      <x:c r="AA92" s="264"/>
      <x:c r="AB92" s="264"/>
      <x:c r="AC92" s="264"/>
      <x:c r="AD92" s="264"/>
      <x:c r="AE92" s="264"/>
      <x:c r="AF92" s="264"/>
      <x:c r="AG92" s="264"/>
      <x:c r="AH92" s="264"/>
      <x:c r="AI92" s="264"/>
      <x:c r="AJ92" s="264"/>
    </x:row>
    <x:row r="93">
      <x:c r="A93" s="389" t="n">
        <x:v>0</x:v>
      </x:c>
      <x:c r="B93" s="389" t="str">
        <x:v>OPEX tambahan 5</x:v>
      </x:c>
      <x:c r="C93" s="389" t="str">
        <x:v>Nilai tetap</x:v>
      </x:c>
      <x:c r="D93" s="389" t="n">
        <x:v>1</x:v>
      </x:c>
      <x:c r="E93" s="387" t="n">
        <x:v>0</x:v>
      </x:c>
      <x:c r="F93" s="389" t="n">
        <x:v>1</x:v>
      </x:c>
      <x:c r="G93" s="389" t="n">
        <x:v>10</x:v>
      </x:c>
      <x:c r="H93" s="287" t="n">
        <x:f>IF(AND(1&gt;=$F93,1&lt;=$G93),$A93*$D93*$E93*IF($C93="ha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hidup",$K$7,1))))))))*(1+'02_Assumptions'!$C$11)^0,0)</x:f>
        <x:v>0</x:v>
      </x:c>
      <x:c r="I93" s="287" t="n">
        <x:f>IF(AND(2&gt;=$F93,2&lt;=$G93),$A93*$D93*$E93*IF($C93="ha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hidup",$K$7,1))))))))*(1+'02_Assumptions'!$C$11)^1,0)</x:f>
        <x:v>0</x:v>
      </x:c>
      <x:c r="J93" s="287" t="n">
        <x:f>IF(AND(3&gt;=$F93,3&lt;=$G93),$A93*$D93*$E93*IF($C93="ha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hidup",$K$7,1))))))))*(1+'02_Assumptions'!$C$11)^2,0)</x:f>
        <x:v>0</x:v>
      </x:c>
      <x:c r="K93" s="287" t="n">
        <x:f>IF(AND(4&gt;=$F93,4&lt;=$G93),$A93*$D93*$E93*IF($C93="ha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hidup",$K$7,1))))))))*(1+'02_Assumptions'!$C$11)^3,0)</x:f>
        <x:v>0</x:v>
      </x:c>
      <x:c r="L93" s="287" t="n">
        <x:f>IF(AND(5&gt;=$F93,5&lt;=$G93),$A93*$D93*$E93*IF($C93="ha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hidup",$K$7,1))))))))*(1+'02_Assumptions'!$C$11)^4,0)</x:f>
        <x:v>0</x:v>
      </x:c>
      <x:c r="M93" s="287" t="n">
        <x:f>IF(AND(6&gt;=$F93,6&lt;=$G93),$A93*$D93*$E93*IF($C93="ha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hidup",$K$7,1))))))))*(1+'02_Assumptions'!$C$11)^5,0)</x:f>
        <x:v>0</x:v>
      </x:c>
      <x:c r="N93" s="287" t="n">
        <x:f>IF(AND(7&gt;=$F93,7&lt;=$G93),$A93*$D93*$E93*IF($C93="ha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hidup",$K$7,1))))))))*(1+'02_Assumptions'!$C$11)^6,0)</x:f>
        <x:v>0</x:v>
      </x:c>
      <x:c r="O93" s="287" t="n">
        <x:f>IF(AND(8&gt;=$F93,8&lt;=$G93),$A93*$D93*$E93*IF($C93="ha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hidup",$K$7,1))))))))*(1+'02_Assumptions'!$C$11)^7,0)</x:f>
        <x:v>0</x:v>
      </x:c>
      <x:c r="P93" s="287" t="n">
        <x:f>IF(AND(9&gt;=$F93,9&lt;=$G93),$A93*$D93*$E93*IF($C93="ha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hidup",$K$7,1))))))))*(1+'02_Assumptions'!$C$11)^8,0)</x:f>
        <x:v>0</x:v>
      </x:c>
      <x:c r="Q93" s="287" t="n">
        <x:f>IF(AND(10&gt;=$F93,10&lt;=$G93),$A93*$D93*$E93*IF($C93="ha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hidup",$K$7,1))))))))*(1+'02_Assumptions'!$C$11)^9,0)</x:f>
        <x:v>0</x:v>
      </x:c>
      <x:c r="R93" s="264"/>
      <x:c r="S93" s="264"/>
      <x:c r="T93" s="264"/>
      <x:c r="U93" s="264"/>
      <x:c r="V93" s="264"/>
      <x:c r="W93" s="264"/>
      <x:c r="X93" s="264"/>
      <x:c r="Y93" s="264"/>
      <x:c r="Z93" s="264"/>
      <x:c r="AA93" s="264"/>
      <x:c r="AB93" s="264"/>
      <x:c r="AC93" s="264"/>
      <x:c r="AD93" s="264"/>
      <x:c r="AE93" s="264"/>
      <x:c r="AF93" s="264"/>
      <x:c r="AG93" s="264"/>
      <x:c r="AH93" s="264"/>
      <x:c r="AI93" s="264"/>
      <x:c r="AJ93" s="264"/>
    </x:row>
    <x:row r="94">
      <x:c r="A94" s="389" t="n">
        <x:v>0</x:v>
      </x:c>
      <x:c r="B94" s="389" t="str">
        <x:v>OPEX tambahan 6</x:v>
      </x:c>
      <x:c r="C94" s="389" t="str">
        <x:v>Nilai tetap</x:v>
      </x:c>
      <x:c r="D94" s="389" t="n">
        <x:v>1</x:v>
      </x:c>
      <x:c r="E94" s="387" t="n">
        <x:v>0</x:v>
      </x:c>
      <x:c r="F94" s="389" t="n">
        <x:v>1</x:v>
      </x:c>
      <x:c r="G94" s="389" t="n">
        <x:v>10</x:v>
      </x:c>
      <x:c r="H94" s="287" t="n">
        <x:f>IF(AND(1&gt;=$F94,1&lt;=$G94),$A94*$D94*$E94*IF($C94="ha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hidup",$K$7,1))))))))*(1+'02_Assumptions'!$C$11)^0,0)</x:f>
        <x:v>0</x:v>
      </x:c>
      <x:c r="I94" s="287" t="n">
        <x:f>IF(AND(2&gt;=$F94,2&lt;=$G94),$A94*$D94*$E94*IF($C94="ha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hidup",$K$7,1))))))))*(1+'02_Assumptions'!$C$11)^1,0)</x:f>
        <x:v>0</x:v>
      </x:c>
      <x:c r="J94" s="287" t="n">
        <x:f>IF(AND(3&gt;=$F94,3&lt;=$G94),$A94*$D94*$E94*IF($C94="ha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hidup",$K$7,1))))))))*(1+'02_Assumptions'!$C$11)^2,0)</x:f>
        <x:v>0</x:v>
      </x:c>
      <x:c r="K94" s="287" t="n">
        <x:f>IF(AND(4&gt;=$F94,4&lt;=$G94),$A94*$D94*$E94*IF($C94="ha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hidup",$K$7,1))))))))*(1+'02_Assumptions'!$C$11)^3,0)</x:f>
        <x:v>0</x:v>
      </x:c>
      <x:c r="L94" s="287" t="n">
        <x:f>IF(AND(5&gt;=$F94,5&lt;=$G94),$A94*$D94*$E94*IF($C94="ha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hidup",$K$7,1))))))))*(1+'02_Assumptions'!$C$11)^4,0)</x:f>
        <x:v>0</x:v>
      </x:c>
      <x:c r="M94" s="287" t="n">
        <x:f>IF(AND(6&gt;=$F94,6&lt;=$G94),$A94*$D94*$E94*IF($C94="ha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hidup",$K$7,1))))))))*(1+'02_Assumptions'!$C$11)^5,0)</x:f>
        <x:v>0</x:v>
      </x:c>
      <x:c r="N94" s="287" t="n">
        <x:f>IF(AND(7&gt;=$F94,7&lt;=$G94),$A94*$D94*$E94*IF($C94="ha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hidup",$K$7,1))))))))*(1+'02_Assumptions'!$C$11)^6,0)</x:f>
        <x:v>0</x:v>
      </x:c>
      <x:c r="O94" s="287" t="n">
        <x:f>IF(AND(8&gt;=$F94,8&lt;=$G94),$A94*$D94*$E94*IF($C94="ha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hidup",$K$7,1))))))))*(1+'02_Assumptions'!$C$11)^7,0)</x:f>
        <x:v>0</x:v>
      </x:c>
      <x:c r="P94" s="287" t="n">
        <x:f>IF(AND(9&gt;=$F94,9&lt;=$G94),$A94*$D94*$E94*IF($C94="ha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hidup",$K$7,1))))))))*(1+'02_Assumptions'!$C$11)^8,0)</x:f>
        <x:v>0</x:v>
      </x:c>
      <x:c r="Q94" s="287" t="n">
        <x:f>IF(AND(10&gt;=$F94,10&lt;=$G94),$A94*$D94*$E94*IF($C94="ha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hidup",$K$7,1))))))))*(1+'02_Assumptions'!$C$11)^9,0)</x:f>
        <x:v>0</x:v>
      </x:c>
      <x:c r="R94" s="264"/>
      <x:c r="S94" s="264"/>
      <x:c r="T94" s="264"/>
      <x:c r="U94" s="264"/>
      <x:c r="V94" s="264"/>
      <x:c r="W94" s="264"/>
      <x:c r="X94" s="264"/>
      <x:c r="Y94" s="264"/>
      <x:c r="Z94" s="264"/>
      <x:c r="AA94" s="264"/>
      <x:c r="AB94" s="264"/>
      <x:c r="AC94" s="264"/>
      <x:c r="AD94" s="264"/>
      <x:c r="AE94" s="264"/>
      <x:c r="AF94" s="264"/>
      <x:c r="AG94" s="264"/>
      <x:c r="AH94" s="264"/>
      <x:c r="AI94" s="264"/>
      <x:c r="AJ94" s="264"/>
    </x:row>
    <x:row r="95">
      <x:c r="A95" s="389" t="n">
        <x:v>0</x:v>
      </x:c>
      <x:c r="B95" s="389" t="str">
        <x:v>OPEX tambahan 7</x:v>
      </x:c>
      <x:c r="C95" s="389" t="str">
        <x:v>Nilai tetap</x:v>
      </x:c>
      <x:c r="D95" s="389" t="n">
        <x:v>1</x:v>
      </x:c>
      <x:c r="E95" s="387" t="n">
        <x:v>0</x:v>
      </x:c>
      <x:c r="F95" s="389" t="n">
        <x:v>1</x:v>
      </x:c>
      <x:c r="G95" s="389" t="n">
        <x:v>10</x:v>
      </x:c>
      <x:c r="H95" s="287" t="n">
        <x:f>IF(AND(1&gt;=$F95,1&lt;=$G95),$A95*$D95*$E95*IF($C95="ha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hidup",$K$7,1))))))))*(1+'02_Assumptions'!$C$11)^0,0)</x:f>
        <x:v>0</x:v>
      </x:c>
      <x:c r="I95" s="287" t="n">
        <x:f>IF(AND(2&gt;=$F95,2&lt;=$G95),$A95*$D95*$E95*IF($C95="ha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hidup",$K$7,1))))))))*(1+'02_Assumptions'!$C$11)^1,0)</x:f>
        <x:v>0</x:v>
      </x:c>
      <x:c r="J95" s="287" t="n">
        <x:f>IF(AND(3&gt;=$F95,3&lt;=$G95),$A95*$D95*$E95*IF($C95="ha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hidup",$K$7,1))))))))*(1+'02_Assumptions'!$C$11)^2,0)</x:f>
        <x:v>0</x:v>
      </x:c>
      <x:c r="K95" s="287" t="n">
        <x:f>IF(AND(4&gt;=$F95,4&lt;=$G95),$A95*$D95*$E95*IF($C95="ha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hidup",$K$7,1))))))))*(1+'02_Assumptions'!$C$11)^3,0)</x:f>
        <x:v>0</x:v>
      </x:c>
      <x:c r="L95" s="287" t="n">
        <x:f>IF(AND(5&gt;=$F95,5&lt;=$G95),$A95*$D95*$E95*IF($C95="ha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hidup",$K$7,1))))))))*(1+'02_Assumptions'!$C$11)^4,0)</x:f>
        <x:v>0</x:v>
      </x:c>
      <x:c r="M95" s="287" t="n">
        <x:f>IF(AND(6&gt;=$F95,6&lt;=$G95),$A95*$D95*$E95*IF($C95="ha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hidup",$K$7,1))))))))*(1+'02_Assumptions'!$C$11)^5,0)</x:f>
        <x:v>0</x:v>
      </x:c>
      <x:c r="N95" s="287" t="n">
        <x:f>IF(AND(7&gt;=$F95,7&lt;=$G95),$A95*$D95*$E95*IF($C95="ha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hidup",$K$7,1))))))))*(1+'02_Assumptions'!$C$11)^6,0)</x:f>
        <x:v>0</x:v>
      </x:c>
      <x:c r="O95" s="287" t="n">
        <x:f>IF(AND(8&gt;=$F95,8&lt;=$G95),$A95*$D95*$E95*IF($C95="ha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hidup",$K$7,1))))))))*(1+'02_Assumptions'!$C$11)^7,0)</x:f>
        <x:v>0</x:v>
      </x:c>
      <x:c r="P95" s="287" t="n">
        <x:f>IF(AND(9&gt;=$F95,9&lt;=$G95),$A95*$D95*$E95*IF($C95="ha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hidup",$K$7,1))))))))*(1+'02_Assumptions'!$C$11)^8,0)</x:f>
        <x:v>0</x:v>
      </x:c>
      <x:c r="Q95" s="287" t="n">
        <x:f>IF(AND(10&gt;=$F95,10&lt;=$G95),$A95*$D95*$E95*IF($C95="ha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hidup",$K$7,1))))))))*(1+'02_Assumptions'!$C$11)^9,0)</x:f>
        <x:v>0</x:v>
      </x:c>
      <x:c r="R95" s="264"/>
      <x:c r="S95" s="264"/>
      <x:c r="T95" s="264"/>
      <x:c r="U95" s="264"/>
      <x:c r="V95" s="264"/>
      <x:c r="W95" s="264"/>
      <x:c r="X95" s="264"/>
      <x:c r="Y95" s="264"/>
      <x:c r="Z95" s="264"/>
      <x:c r="AA95" s="264"/>
      <x:c r="AB95" s="264"/>
      <x:c r="AC95" s="264"/>
      <x:c r="AD95" s="264"/>
      <x:c r="AE95" s="264"/>
      <x:c r="AF95" s="264"/>
      <x:c r="AG95" s="264"/>
      <x:c r="AH95" s="264"/>
      <x:c r="AI95" s="264"/>
      <x:c r="AJ95" s="264"/>
    </x:row>
    <x:row r="96">
      <x:c r="A96" s="389" t="n">
        <x:v>0</x:v>
      </x:c>
      <x:c r="B96" s="389" t="str">
        <x:v>OPEX tambahan 8</x:v>
      </x:c>
      <x:c r="C96" s="389" t="str">
        <x:v>Nilai tetap</x:v>
      </x:c>
      <x:c r="D96" s="389" t="n">
        <x:v>1</x:v>
      </x:c>
      <x:c r="E96" s="387" t="n">
        <x:v>0</x:v>
      </x:c>
      <x:c r="F96" s="389" t="n">
        <x:v>1</x:v>
      </x:c>
      <x:c r="G96" s="389" t="n">
        <x:v>10</x:v>
      </x:c>
      <x:c r="H96" s="287" t="n">
        <x:f>IF(AND(1&gt;=$F96,1&lt;=$G96),$A96*$D96*$E96*IF($C96="ha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hidup",$K$7,1))))))))*(1+'02_Assumptions'!$C$11)^0,0)</x:f>
        <x:v>0</x:v>
      </x:c>
      <x:c r="I96" s="287" t="n">
        <x:f>IF(AND(2&gt;=$F96,2&lt;=$G96),$A96*$D96*$E96*IF($C96="ha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hidup",$K$7,1))))))))*(1+'02_Assumptions'!$C$11)^1,0)</x:f>
        <x:v>0</x:v>
      </x:c>
      <x:c r="J96" s="287" t="n">
        <x:f>IF(AND(3&gt;=$F96,3&lt;=$G96),$A96*$D96*$E96*IF($C96="ha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hidup",$K$7,1))))))))*(1+'02_Assumptions'!$C$11)^2,0)</x:f>
        <x:v>0</x:v>
      </x:c>
      <x:c r="K96" s="287" t="n">
        <x:f>IF(AND(4&gt;=$F96,4&lt;=$G96),$A96*$D96*$E96*IF($C96="ha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hidup",$K$7,1))))))))*(1+'02_Assumptions'!$C$11)^3,0)</x:f>
        <x:v>0</x:v>
      </x:c>
      <x:c r="L96" s="287" t="n">
        <x:f>IF(AND(5&gt;=$F96,5&lt;=$G96),$A96*$D96*$E96*IF($C96="ha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hidup",$K$7,1))))))))*(1+'02_Assumptions'!$C$11)^4,0)</x:f>
        <x:v>0</x:v>
      </x:c>
      <x:c r="M96" s="287" t="n">
        <x:f>IF(AND(6&gt;=$F96,6&lt;=$G96),$A96*$D96*$E96*IF($C96="ha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hidup",$K$7,1))))))))*(1+'02_Assumptions'!$C$11)^5,0)</x:f>
        <x:v>0</x:v>
      </x:c>
      <x:c r="N96" s="287" t="n">
        <x:f>IF(AND(7&gt;=$F96,7&lt;=$G96),$A96*$D96*$E96*IF($C96="ha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hidup",$K$7,1))))))))*(1+'02_Assumptions'!$C$11)^6,0)</x:f>
        <x:v>0</x:v>
      </x:c>
      <x:c r="O96" s="287" t="n">
        <x:f>IF(AND(8&gt;=$F96,8&lt;=$G96),$A96*$D96*$E96*IF($C96="ha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hidup",$K$7,1))))))))*(1+'02_Assumptions'!$C$11)^7,0)</x:f>
        <x:v>0</x:v>
      </x:c>
      <x:c r="P96" s="287" t="n">
        <x:f>IF(AND(9&gt;=$F96,9&lt;=$G96),$A96*$D96*$E96*IF($C96="ha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hidup",$K$7,1))))))))*(1+'02_Assumptions'!$C$11)^8,0)</x:f>
        <x:v>0</x:v>
      </x:c>
      <x:c r="Q96" s="287" t="n">
        <x:f>IF(AND(10&gt;=$F96,10&lt;=$G96),$A96*$D96*$E96*IF($C96="ha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hidup",$K$7,1))))))))*(1+'02_Assumptions'!$C$11)^9,0)</x:f>
        <x:v>0</x:v>
      </x:c>
      <x:c r="R96" s="264"/>
      <x:c r="S96" s="264"/>
      <x:c r="T96" s="264"/>
      <x:c r="U96" s="264"/>
      <x:c r="V96" s="264"/>
      <x:c r="W96" s="264"/>
      <x:c r="X96" s="264"/>
      <x:c r="Y96" s="264"/>
      <x:c r="Z96" s="264"/>
      <x:c r="AA96" s="264"/>
      <x:c r="AB96" s="264"/>
      <x:c r="AC96" s="264"/>
      <x:c r="AD96" s="264"/>
      <x:c r="AE96" s="264"/>
      <x:c r="AF96" s="264"/>
      <x:c r="AG96" s="264"/>
      <x:c r="AH96" s="264"/>
      <x:c r="AI96" s="264"/>
      <x:c r="AJ96" s="264"/>
    </x:row>
    <x:row r="97">
      <x:c r="A97" s="389" t="n">
        <x:v>0</x:v>
      </x:c>
      <x:c r="B97" s="389" t="str">
        <x:v>OPEX tambahan 9</x:v>
      </x:c>
      <x:c r="C97" s="389" t="str">
        <x:v>Nilai tetap</x:v>
      </x:c>
      <x:c r="D97" s="389" t="n">
        <x:v>1</x:v>
      </x:c>
      <x:c r="E97" s="387" t="n">
        <x:v>0</x:v>
      </x:c>
      <x:c r="F97" s="389" t="n">
        <x:v>1</x:v>
      </x:c>
      <x:c r="G97" s="389" t="n">
        <x:v>10</x:v>
      </x:c>
      <x:c r="H97" s="287" t="n">
        <x:f>IF(AND(1&gt;=$F97,1&lt;=$G97),$A97*$D97*$E97*IF($C97="ha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hidup",$K$7,1))))))))*(1+'02_Assumptions'!$C$11)^0,0)</x:f>
        <x:v>0</x:v>
      </x:c>
      <x:c r="I97" s="287" t="n">
        <x:f>IF(AND(2&gt;=$F97,2&lt;=$G97),$A97*$D97*$E97*IF($C97="ha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hidup",$K$7,1))))))))*(1+'02_Assumptions'!$C$11)^1,0)</x:f>
        <x:v>0</x:v>
      </x:c>
      <x:c r="J97" s="287" t="n">
        <x:f>IF(AND(3&gt;=$F97,3&lt;=$G97),$A97*$D97*$E97*IF($C97="ha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hidup",$K$7,1))))))))*(1+'02_Assumptions'!$C$11)^2,0)</x:f>
        <x:v>0</x:v>
      </x:c>
      <x:c r="K97" s="287" t="n">
        <x:f>IF(AND(4&gt;=$F97,4&lt;=$G97),$A97*$D97*$E97*IF($C97="ha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hidup",$K$7,1))))))))*(1+'02_Assumptions'!$C$11)^3,0)</x:f>
        <x:v>0</x:v>
      </x:c>
      <x:c r="L97" s="287" t="n">
        <x:f>IF(AND(5&gt;=$F97,5&lt;=$G97),$A97*$D97*$E97*IF($C97="ha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hidup",$K$7,1))))))))*(1+'02_Assumptions'!$C$11)^4,0)</x:f>
        <x:v>0</x:v>
      </x:c>
      <x:c r="M97" s="287" t="n">
        <x:f>IF(AND(6&gt;=$F97,6&lt;=$G97),$A97*$D97*$E97*IF($C97="ha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hidup",$K$7,1))))))))*(1+'02_Assumptions'!$C$11)^5,0)</x:f>
        <x:v>0</x:v>
      </x:c>
      <x:c r="N97" s="287" t="n">
        <x:f>IF(AND(7&gt;=$F97,7&lt;=$G97),$A97*$D97*$E97*IF($C97="ha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hidup",$K$7,1))))))))*(1+'02_Assumptions'!$C$11)^6,0)</x:f>
        <x:v>0</x:v>
      </x:c>
      <x:c r="O97" s="287" t="n">
        <x:f>IF(AND(8&gt;=$F97,8&lt;=$G97),$A97*$D97*$E97*IF($C97="ha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hidup",$K$7,1))))))))*(1+'02_Assumptions'!$C$11)^7,0)</x:f>
        <x:v>0</x:v>
      </x:c>
      <x:c r="P97" s="287" t="n">
        <x:f>IF(AND(9&gt;=$F97,9&lt;=$G97),$A97*$D97*$E97*IF($C97="ha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hidup",$K$7,1))))))))*(1+'02_Assumptions'!$C$11)^8,0)</x:f>
        <x:v>0</x:v>
      </x:c>
      <x:c r="Q97" s="287" t="n">
        <x:f>IF(AND(10&gt;=$F97,10&lt;=$G97),$A97*$D97*$E97*IF($C97="ha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hidup",$K$7,1))))))))*(1+'02_Assumptions'!$C$11)^9,0)</x:f>
        <x:v>0</x:v>
      </x:c>
      <x:c r="R97" s="264"/>
      <x:c r="S97" s="264"/>
      <x:c r="T97" s="264"/>
      <x:c r="U97" s="264"/>
      <x:c r="V97" s="264"/>
      <x:c r="W97" s="264"/>
      <x:c r="X97" s="264"/>
      <x:c r="Y97" s="264"/>
      <x:c r="Z97" s="264"/>
      <x:c r="AA97" s="264"/>
      <x:c r="AB97" s="264"/>
      <x:c r="AC97" s="264"/>
      <x:c r="AD97" s="264"/>
      <x:c r="AE97" s="264"/>
      <x:c r="AF97" s="264"/>
      <x:c r="AG97" s="264"/>
      <x:c r="AH97" s="264"/>
      <x:c r="AI97" s="264"/>
      <x:c r="AJ97" s="264"/>
    </x:row>
    <x:row r="98">
      <x:c r="A98" s="389" t="n">
        <x:v>0</x:v>
      </x:c>
      <x:c r="B98" s="389" t="str">
        <x:v>OPEX tambahan 10</x:v>
      </x:c>
      <x:c r="C98" s="389" t="str">
        <x:v>Nilai tetap</x:v>
      </x:c>
      <x:c r="D98" s="389" t="n">
        <x:v>1</x:v>
      </x:c>
      <x:c r="E98" s="387" t="n">
        <x:v>0</x:v>
      </x:c>
      <x:c r="F98" s="389" t="n">
        <x:v>1</x:v>
      </x:c>
      <x:c r="G98" s="389" t="n">
        <x:v>10</x:v>
      </x:c>
      <x:c r="H98" s="287" t="n">
        <x:f>IF(AND(1&gt;=$F98,1&lt;=$G98),$A98*$D98*$E98*IF($C98="ha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hidup",$K$7,1))))))))*(1+'02_Assumptions'!$C$11)^0,0)</x:f>
        <x:v>0</x:v>
      </x:c>
      <x:c r="I98" s="287" t="n">
        <x:f>IF(AND(2&gt;=$F98,2&lt;=$G98),$A98*$D98*$E98*IF($C98="ha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hidup",$K$7,1))))))))*(1+'02_Assumptions'!$C$11)^1,0)</x:f>
        <x:v>0</x:v>
      </x:c>
      <x:c r="J98" s="287" t="n">
        <x:f>IF(AND(3&gt;=$F98,3&lt;=$G98),$A98*$D98*$E98*IF($C98="ha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hidup",$K$7,1))))))))*(1+'02_Assumptions'!$C$11)^2,0)</x:f>
        <x:v>0</x:v>
      </x:c>
      <x:c r="K98" s="287" t="n">
        <x:f>IF(AND(4&gt;=$F98,4&lt;=$G98),$A98*$D98*$E98*IF($C98="ha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hidup",$K$7,1))))))))*(1+'02_Assumptions'!$C$11)^3,0)</x:f>
        <x:v>0</x:v>
      </x:c>
      <x:c r="L98" s="287" t="n">
        <x:f>IF(AND(5&gt;=$F98,5&lt;=$G98),$A98*$D98*$E98*IF($C98="ha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hidup",$K$7,1))))))))*(1+'02_Assumptions'!$C$11)^4,0)</x:f>
        <x:v>0</x:v>
      </x:c>
      <x:c r="M98" s="287" t="n">
        <x:f>IF(AND(6&gt;=$F98,6&lt;=$G98),$A98*$D98*$E98*IF($C98="ha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hidup",$K$7,1))))))))*(1+'02_Assumptions'!$C$11)^5,0)</x:f>
        <x:v>0</x:v>
      </x:c>
      <x:c r="N98" s="287" t="n">
        <x:f>IF(AND(7&gt;=$F98,7&lt;=$G98),$A98*$D98*$E98*IF($C98="ha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hidup",$K$7,1))))))))*(1+'02_Assumptions'!$C$11)^6,0)</x:f>
        <x:v>0</x:v>
      </x:c>
      <x:c r="O98" s="287" t="n">
        <x:f>IF(AND(8&gt;=$F98,8&lt;=$G98),$A98*$D98*$E98*IF($C98="ha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hidup",$K$7,1))))))))*(1+'02_Assumptions'!$C$11)^7,0)</x:f>
        <x:v>0</x:v>
      </x:c>
      <x:c r="P98" s="287" t="n">
        <x:f>IF(AND(9&gt;=$F98,9&lt;=$G98),$A98*$D98*$E98*IF($C98="ha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hidup",$K$7,1))))))))*(1+'02_Assumptions'!$C$11)^8,0)</x:f>
        <x:v>0</x:v>
      </x:c>
      <x:c r="Q98" s="287" t="n">
        <x:f>IF(AND(10&gt;=$F98,10&lt;=$G98),$A98*$D98*$E98*IF($C98="ha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hidup",$K$7,1))))))))*(1+'02_Assumptions'!$C$11)^9,0)</x:f>
        <x:v>0</x:v>
      </x:c>
      <x:c r="R98" s="264"/>
      <x:c r="S98" s="264"/>
      <x:c r="T98" s="264"/>
      <x:c r="U98" s="264"/>
      <x:c r="V98" s="264"/>
      <x:c r="W98" s="264"/>
      <x:c r="X98" s="264"/>
      <x:c r="Y98" s="264"/>
      <x:c r="Z98" s="264"/>
      <x:c r="AA98" s="264"/>
      <x:c r="AB98" s="264"/>
      <x:c r="AC98" s="264"/>
      <x:c r="AD98" s="264"/>
      <x:c r="AE98" s="264"/>
      <x:c r="AF98" s="264"/>
      <x:c r="AG98" s="264"/>
      <x:c r="AH98" s="264"/>
      <x:c r="AI98" s="264"/>
      <x:c r="AJ98" s="264"/>
    </x:row>
    <x:row r="99">
      <x:c r="A99" s="264"/>
      <x:c r="B99" s="264"/>
      <x:c r="C99" s="264"/>
      <x:c r="D99" s="264"/>
      <x:c r="E99" s="264"/>
      <x:c r="F99" s="264"/>
      <x:c r="G99" s="264"/>
      <x:c r="H99" s="287"/>
      <x:c r="I99" s="287"/>
      <x:c r="J99" s="287"/>
      <x:c r="K99" s="287"/>
      <x:c r="L99" s="287"/>
      <x:c r="M99" s="287"/>
      <x:c r="N99" s="287"/>
      <x:c r="O99" s="287"/>
      <x:c r="P99" s="287"/>
      <x:c r="Q99" s="287"/>
      <x:c r="R99" s="264"/>
      <x:c r="S99" s="264"/>
      <x:c r="T99" s="264"/>
      <x:c r="U99" s="264"/>
      <x:c r="V99" s="264"/>
      <x:c r="W99" s="264"/>
      <x:c r="X99" s="264"/>
      <x:c r="Y99" s="264"/>
      <x:c r="Z99" s="264"/>
      <x:c r="AA99" s="264"/>
      <x:c r="AB99" s="264"/>
      <x:c r="AC99" s="264"/>
      <x:c r="AD99" s="264"/>
      <x:c r="AE99" s="264"/>
      <x:c r="AF99" s="264"/>
      <x:c r="AG99" s="264"/>
      <x:c r="AH99" s="264"/>
      <x:c r="AI99" s="264"/>
      <x:c r="AJ99" s="264"/>
    </x:row>
    <x:row r="100">
      <x:c r="A100" s="390" t="str">
        <x:v>TOTAL OPEX TAMBAHAN</x:v>
      </x:c>
      <x:c r="B100" s="390"/>
      <x:c r="C100" s="390"/>
      <x:c r="D100" s="390"/>
      <x:c r="E100" s="390"/>
      <x:c r="F100" s="390"/>
      <x:c r="G100" s="390"/>
      <x:c r="H100" s="390" t="n">
        <x:f>SUM(H89:H98)</x:f>
        <x:v>0</x:v>
      </x:c>
      <x:c r="I100" s="390" t="n">
        <x:f>SUM(I89:I98)</x:f>
        <x:v>0</x:v>
      </x:c>
      <x:c r="J100" s="390" t="n">
        <x:f>SUM(J89:J98)</x:f>
        <x:v>0</x:v>
      </x:c>
      <x:c r="K100" s="390" t="n">
        <x:f>SUM(K89:K98)</x:f>
        <x:v>0</x:v>
      </x:c>
      <x:c r="L100" s="390" t="n">
        <x:f>SUM(L89:L98)</x:f>
        <x:v>0</x:v>
      </x:c>
      <x:c r="M100" s="390" t="n">
        <x:f>SUM(M89:M98)</x:f>
        <x:v>0</x:v>
      </x:c>
      <x:c r="N100" s="390" t="n">
        <x:f>SUM(N89:N98)</x:f>
        <x:v>0</x:v>
      </x:c>
      <x:c r="O100" s="390" t="n">
        <x:f>SUM(O89:O98)</x:f>
        <x:v>0</x:v>
      </x:c>
      <x:c r="P100" s="390" t="n">
        <x:f>SUM(P89:P98)</x:f>
        <x:v>0</x:v>
      </x:c>
      <x:c r="Q100" s="390" t="n">
        <x:f>SUM(Q89:Q98)</x:f>
        <x:v>0</x:v>
      </x:c>
      <x:c r="R100" s="390"/>
      <x:c r="S100" s="264"/>
      <x:c r="T100" s="264"/>
      <x:c r="U100" s="264"/>
      <x:c r="V100" s="264"/>
      <x:c r="W100" s="264"/>
      <x:c r="X100" s="264"/>
      <x:c r="Y100" s="264"/>
      <x:c r="Z100" s="264"/>
      <x:c r="AA100" s="264"/>
      <x:c r="AB100" s="264"/>
      <x:c r="AC100" s="264"/>
      <x:c r="AD100" s="264"/>
      <x:c r="AE100" s="264"/>
      <x:c r="AF100" s="264"/>
      <x:c r="AG100" s="264"/>
      <x:c r="AH100" s="264"/>
      <x:c r="AI100" s="264"/>
      <x:c r="AJ100" s="264"/>
    </x:row>
    <x:row r="101">
      <x:c r="A101" s="264"/>
      <x:c r="B101" s="264"/>
      <x:c r="C101" s="264"/>
      <x:c r="D101" s="264"/>
      <x:c r="E101" s="264"/>
      <x:c r="F101" s="264"/>
      <x:c r="G101" s="264"/>
      <x:c r="H101" s="264"/>
      <x:c r="I101" s="264"/>
      <x:c r="J101" s="264"/>
      <x:c r="K101" s="264"/>
      <x:c r="L101" s="264"/>
      <x:c r="M101" s="264"/>
      <x:c r="N101" s="264"/>
      <x:c r="O101" s="264"/>
      <x:c r="P101" s="264"/>
      <x:c r="Q101" s="264"/>
      <x:c r="R101" s="264"/>
      <x:c r="S101" s="264"/>
      <x:c r="T101" s="264"/>
      <x:c r="U101" s="264"/>
      <x:c r="V101" s="264"/>
      <x:c r="W101" s="264"/>
      <x:c r="X101" s="264"/>
      <x:c r="Y101" s="264"/>
      <x:c r="Z101" s="264"/>
      <x:c r="AA101" s="264"/>
      <x:c r="AB101" s="264"/>
      <x:c r="AC101" s="264"/>
      <x:c r="AD101" s="264"/>
      <x:c r="AE101" s="264"/>
      <x:c r="AF101" s="264"/>
      <x:c r="AG101" s="264"/>
      <x:c r="AH101" s="264"/>
      <x:c r="AI101" s="264"/>
      <x:c r="AJ101" s="264"/>
    </x:row>
    <x:row r="102">
      <x:c r="A102" s="264"/>
      <x:c r="B102" s="264"/>
      <x:c r="C102" s="264"/>
      <x:c r="D102" s="264"/>
      <x:c r="E102" s="264"/>
      <x:c r="F102" s="264"/>
      <x:c r="G102" s="264"/>
      <x:c r="H102" s="264"/>
      <x:c r="I102" s="264"/>
      <x:c r="J102" s="264"/>
      <x:c r="K102" s="264"/>
      <x:c r="L102" s="264"/>
      <x:c r="M102" s="264"/>
      <x:c r="N102" s="264"/>
      <x:c r="O102" s="264"/>
      <x:c r="P102" s="264"/>
      <x:c r="Q102" s="264"/>
      <x:c r="R102" s="264"/>
      <x:c r="S102" s="264"/>
      <x:c r="T102" s="264"/>
      <x:c r="U102" s="264"/>
      <x:c r="V102" s="264"/>
      <x:c r="W102" s="264"/>
      <x:c r="X102" s="264"/>
      <x:c r="Y102" s="264"/>
      <x:c r="Z102" s="264"/>
      <x:c r="AA102" s="264"/>
      <x:c r="AB102" s="264"/>
      <x:c r="AC102" s="264"/>
      <x:c r="AD102" s="264"/>
      <x:c r="AE102" s="264"/>
      <x:c r="AF102" s="264"/>
      <x:c r="AG102" s="264"/>
      <x:c r="AH102" s="264"/>
      <x:c r="AI102" s="264"/>
      <x:c r="AJ102" s="264"/>
    </x:row>
    <x:row r="103" ht="20" customHeight="1">
      <x:c r="A103" s="383" t="str">
        <x:v>G. Pendapatan tambahan — baris cadangan</x:v>
      </x:c>
      <x:c r="B103" s="383"/>
      <x:c r="C103" s="383"/>
      <x:c r="D103" s="383"/>
      <x:c r="E103" s="383"/>
      <x:c r="F103" s="383"/>
      <x:c r="G103" s="383"/>
      <x:c r="H103" s="383"/>
      <x:c r="I103" s="383"/>
      <x:c r="J103" s="383"/>
      <x:c r="K103" s="383"/>
      <x:c r="L103" s="383"/>
      <x:c r="M103" s="383"/>
      <x:c r="N103" s="383"/>
      <x:c r="O103" s="383"/>
      <x:c r="P103" s="383"/>
      <x:c r="Q103" s="383"/>
      <x:c r="R103" s="383"/>
      <x:c r="S103" s="264"/>
      <x:c r="T103" s="264"/>
      <x:c r="U103" s="264"/>
      <x:c r="V103" s="264"/>
      <x:c r="W103" s="264"/>
      <x:c r="X103" s="264"/>
      <x:c r="Y103" s="264"/>
      <x:c r="Z103" s="264"/>
      <x:c r="AA103" s="264"/>
      <x:c r="AB103" s="264"/>
      <x:c r="AC103" s="264"/>
      <x:c r="AD103" s="264"/>
      <x:c r="AE103" s="264"/>
      <x:c r="AF103" s="264"/>
      <x:c r="AG103" s="264"/>
      <x:c r="AH103" s="264"/>
      <x:c r="AI103" s="264"/>
      <x:c r="AJ103" s="264"/>
    </x:row>
    <x:row r="104" ht="32" customHeight="1">
      <x:c r="A104" s="368" t="str">
        <x:v>Aktif</x:v>
      </x:c>
      <x:c r="B104" s="368" t="str">
        <x:v>Nama pendapatan</x:v>
      </x:c>
      <x:c r="C104" s="368" t="str">
        <x:v>Basis</x:v>
      </x:c>
      <x:c r="D104" s="368" t="str">
        <x:v>Volume per basis</x:v>
      </x:c>
      <x:c r="E104" s="368" t="str">
        <x:v>Harga jual</x:v>
      </x:c>
      <x:c r="F104" s="368" t="str">
        <x:v>Tahun mulai</x:v>
      </x:c>
      <x:c r="G104" s="368" t="str">
        <x:v>Tahun akhir</x:v>
      </x:c>
      <x:c r="H104" s="368" t="str">
        <x:v>T1</x:v>
      </x:c>
      <x:c r="I104" s="368" t="str">
        <x:v>T2</x:v>
      </x:c>
      <x:c r="J104" s="368" t="str">
        <x:v>T3</x:v>
      </x:c>
      <x:c r="K104" s="368" t="str">
        <x:v>T4</x:v>
      </x:c>
      <x:c r="L104" s="368" t="str">
        <x:v>T5</x:v>
      </x:c>
      <x:c r="M104" s="368" t="str">
        <x:v>T6</x:v>
      </x:c>
      <x:c r="N104" s="368" t="str">
        <x:v>T7</x:v>
      </x:c>
      <x:c r="O104" s="368" t="str">
        <x:v>T8</x:v>
      </x:c>
      <x:c r="P104" s="368" t="str">
        <x:v>T9</x:v>
      </x:c>
      <x:c r="Q104" s="368" t="str">
        <x:v>T10</x:v>
      </x:c>
      <x:c r="R104" s="368" t="str">
        <x:v>Catatan</x:v>
      </x:c>
      <x:c r="S104" s="264"/>
      <x:c r="T104" s="264"/>
      <x:c r="U104" s="264"/>
      <x:c r="V104" s="264"/>
      <x:c r="W104" s="264"/>
      <x:c r="X104" s="264"/>
      <x:c r="Y104" s="264"/>
      <x:c r="Z104" s="264"/>
      <x:c r="AA104" s="264"/>
      <x:c r="AB104" s="264"/>
      <x:c r="AC104" s="264"/>
      <x:c r="AD104" s="264"/>
      <x:c r="AE104" s="264"/>
      <x:c r="AF104" s="264"/>
      <x:c r="AG104" s="264"/>
      <x:c r="AH104" s="264"/>
      <x:c r="AI104" s="264"/>
      <x:c r="AJ104" s="264"/>
    </x:row>
    <x:row r="105">
      <x:c r="A105" s="389" t="n">
        <x:v>0</x:v>
      </x:c>
      <x:c r="B105" s="389" t="str">
        <x:v>Pendapatan tambahan 1</x:v>
      </x:c>
      <x:c r="C105" s="389" t="str">
        <x:v>Nilai tetap</x:v>
      </x:c>
      <x:c r="D105" s="389" t="n">
        <x:v>1</x:v>
      </x:c>
      <x:c r="E105" s="387" t="n">
        <x:v>0</x:v>
      </x:c>
      <x:c r="F105" s="389" t="n">
        <x:v>1</x:v>
      </x:c>
      <x:c r="G105" s="389" t="n">
        <x:v>10</x:v>
      </x:c>
      <x:c r="H105" s="287" t="n">
        <x:f>IF(AND(1&gt;=$F105,1&lt;=$G105),$A105*$D105*$E105*IF($C105="ha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hidup",$K$7,1))))))))*(1+'02_Assumptions'!$C$12)^0,0)</x:f>
        <x:v>0</x:v>
      </x:c>
      <x:c r="I105" s="287" t="n">
        <x:f>IF(AND(2&gt;=$F105,2&lt;=$G105),$A105*$D105*$E105*IF($C105="ha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hidup",$K$7,1))))))))*(1+'02_Assumptions'!$C$12)^1,0)</x:f>
        <x:v>0</x:v>
      </x:c>
      <x:c r="J105" s="287" t="n">
        <x:f>IF(AND(3&gt;=$F105,3&lt;=$G105),$A105*$D105*$E105*IF($C105="ha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hidup",$K$7,1))))))))*(1+'02_Assumptions'!$C$12)^2,0)</x:f>
        <x:v>0</x:v>
      </x:c>
      <x:c r="K105" s="287" t="n">
        <x:f>IF(AND(4&gt;=$F105,4&lt;=$G105),$A105*$D105*$E105*IF($C105="ha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hidup",$K$7,1))))))))*(1+'02_Assumptions'!$C$12)^3,0)</x:f>
        <x:v>0</x:v>
      </x:c>
      <x:c r="L105" s="287" t="n">
        <x:f>IF(AND(5&gt;=$F105,5&lt;=$G105),$A105*$D105*$E105*IF($C105="ha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hidup",$K$7,1))))))))*(1+'02_Assumptions'!$C$12)^4,0)</x:f>
        <x:v>0</x:v>
      </x:c>
      <x:c r="M105" s="287" t="n">
        <x:f>IF(AND(6&gt;=$F105,6&lt;=$G105),$A105*$D105*$E105*IF($C105="ha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hidup",$K$7,1))))))))*(1+'02_Assumptions'!$C$12)^5,0)</x:f>
        <x:v>0</x:v>
      </x:c>
      <x:c r="N105" s="287" t="n">
        <x:f>IF(AND(7&gt;=$F105,7&lt;=$G105),$A105*$D105*$E105*IF($C105="ha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hidup",$K$7,1))))))))*(1+'02_Assumptions'!$C$12)^6,0)</x:f>
        <x:v>0</x:v>
      </x:c>
      <x:c r="O105" s="287" t="n">
        <x:f>IF(AND(8&gt;=$F105,8&lt;=$G105),$A105*$D105*$E105*IF($C105="ha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hidup",$K$7,1))))))))*(1+'02_Assumptions'!$C$12)^7,0)</x:f>
        <x:v>0</x:v>
      </x:c>
      <x:c r="P105" s="287" t="n">
        <x:f>IF(AND(9&gt;=$F105,9&lt;=$G105),$A105*$D105*$E105*IF($C105="ha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hidup",$K$7,1))))))))*(1+'02_Assumptions'!$C$12)^8,0)</x:f>
        <x:v>0</x:v>
      </x:c>
      <x:c r="Q105" s="287" t="n">
        <x:f>IF(AND(10&gt;=$F105,10&lt;=$G105),$A105*$D105*$E105*IF($C105="ha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hidup",$K$7,1))))))))*(1+'02_Assumptions'!$C$12)^9,0)</x:f>
        <x:v>0</x:v>
      </x:c>
      <x:c r="R105" s="264"/>
      <x:c r="S105" s="264"/>
      <x:c r="T105" s="264"/>
      <x:c r="U105" s="264"/>
      <x:c r="V105" s="264"/>
      <x:c r="W105" s="264"/>
      <x:c r="X105" s="264"/>
      <x:c r="Y105" s="264"/>
      <x:c r="Z105" s="264"/>
      <x:c r="AA105" s="264"/>
      <x:c r="AB105" s="264"/>
      <x:c r="AC105" s="264"/>
      <x:c r="AD105" s="264"/>
      <x:c r="AE105" s="264"/>
      <x:c r="AF105" s="264"/>
      <x:c r="AG105" s="264"/>
      <x:c r="AH105" s="264"/>
      <x:c r="AI105" s="264"/>
      <x:c r="AJ105" s="264"/>
    </x:row>
    <x:row r="106">
      <x:c r="A106" s="389" t="n">
        <x:v>0</x:v>
      </x:c>
      <x:c r="B106" s="389" t="str">
        <x:v>Pendapatan tambahan 2</x:v>
      </x:c>
      <x:c r="C106" s="389" t="str">
        <x:v>Nilai tetap</x:v>
      </x:c>
      <x:c r="D106" s="389" t="n">
        <x:v>1</x:v>
      </x:c>
      <x:c r="E106" s="387" t="n">
        <x:v>0</x:v>
      </x:c>
      <x:c r="F106" s="389" t="n">
        <x:v>1</x:v>
      </x:c>
      <x:c r="G106" s="389" t="n">
        <x:v>10</x:v>
      </x:c>
      <x:c r="H106" s="287" t="n">
        <x:f>IF(AND(1&gt;=$F106,1&lt;=$G106),$A106*$D106*$E106*IF($C106="ha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hidup",$K$7,1))))))))*(1+'02_Assumptions'!$C$12)^0,0)</x:f>
        <x:v>0</x:v>
      </x:c>
      <x:c r="I106" s="287" t="n">
        <x:f>IF(AND(2&gt;=$F106,2&lt;=$G106),$A106*$D106*$E106*IF($C106="ha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hidup",$K$7,1))))))))*(1+'02_Assumptions'!$C$12)^1,0)</x:f>
        <x:v>0</x:v>
      </x:c>
      <x:c r="J106" s="287" t="n">
        <x:f>IF(AND(3&gt;=$F106,3&lt;=$G106),$A106*$D106*$E106*IF($C106="ha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hidup",$K$7,1))))))))*(1+'02_Assumptions'!$C$12)^2,0)</x:f>
        <x:v>0</x:v>
      </x:c>
      <x:c r="K106" s="287" t="n">
        <x:f>IF(AND(4&gt;=$F106,4&lt;=$G106),$A106*$D106*$E106*IF($C106="ha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hidup",$K$7,1))))))))*(1+'02_Assumptions'!$C$12)^3,0)</x:f>
        <x:v>0</x:v>
      </x:c>
      <x:c r="L106" s="287" t="n">
        <x:f>IF(AND(5&gt;=$F106,5&lt;=$G106),$A106*$D106*$E106*IF($C106="ha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hidup",$K$7,1))))))))*(1+'02_Assumptions'!$C$12)^4,0)</x:f>
        <x:v>0</x:v>
      </x:c>
      <x:c r="M106" s="287" t="n">
        <x:f>IF(AND(6&gt;=$F106,6&lt;=$G106),$A106*$D106*$E106*IF($C106="ha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hidup",$K$7,1))))))))*(1+'02_Assumptions'!$C$12)^5,0)</x:f>
        <x:v>0</x:v>
      </x:c>
      <x:c r="N106" s="287" t="n">
        <x:f>IF(AND(7&gt;=$F106,7&lt;=$G106),$A106*$D106*$E106*IF($C106="ha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hidup",$K$7,1))))))))*(1+'02_Assumptions'!$C$12)^6,0)</x:f>
        <x:v>0</x:v>
      </x:c>
      <x:c r="O106" s="287" t="n">
        <x:f>IF(AND(8&gt;=$F106,8&lt;=$G106),$A106*$D106*$E106*IF($C106="ha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hidup",$K$7,1))))))))*(1+'02_Assumptions'!$C$12)^7,0)</x:f>
        <x:v>0</x:v>
      </x:c>
      <x:c r="P106" s="287" t="n">
        <x:f>IF(AND(9&gt;=$F106,9&lt;=$G106),$A106*$D106*$E106*IF($C106="ha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hidup",$K$7,1))))))))*(1+'02_Assumptions'!$C$12)^8,0)</x:f>
        <x:v>0</x:v>
      </x:c>
      <x:c r="Q106" s="287" t="n">
        <x:f>IF(AND(10&gt;=$F106,10&lt;=$G106),$A106*$D106*$E106*IF($C106="ha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hidup",$K$7,1))))))))*(1+'02_Assumptions'!$C$12)^9,0)</x:f>
        <x:v>0</x:v>
      </x:c>
      <x:c r="R106" s="264"/>
      <x:c r="S106" s="264"/>
      <x:c r="T106" s="264"/>
      <x:c r="U106" s="264"/>
      <x:c r="V106" s="264"/>
      <x:c r="W106" s="264"/>
      <x:c r="X106" s="264"/>
      <x:c r="Y106" s="264"/>
      <x:c r="Z106" s="264"/>
      <x:c r="AA106" s="264"/>
      <x:c r="AB106" s="264"/>
      <x:c r="AC106" s="264"/>
      <x:c r="AD106" s="264"/>
      <x:c r="AE106" s="264"/>
      <x:c r="AF106" s="264"/>
      <x:c r="AG106" s="264"/>
      <x:c r="AH106" s="264"/>
      <x:c r="AI106" s="264"/>
      <x:c r="AJ106" s="264"/>
    </x:row>
    <x:row r="107">
      <x:c r="A107" s="389" t="n">
        <x:v>0</x:v>
      </x:c>
      <x:c r="B107" s="389" t="str">
        <x:v>Pendapatan tambahan 3</x:v>
      </x:c>
      <x:c r="C107" s="389" t="str">
        <x:v>Nilai tetap</x:v>
      </x:c>
      <x:c r="D107" s="389" t="n">
        <x:v>1</x:v>
      </x:c>
      <x:c r="E107" s="387" t="n">
        <x:v>0</x:v>
      </x:c>
      <x:c r="F107" s="389" t="n">
        <x:v>1</x:v>
      </x:c>
      <x:c r="G107" s="389" t="n">
        <x:v>10</x:v>
      </x:c>
      <x:c r="H107" s="287" t="n">
        <x:f>IF(AND(1&gt;=$F107,1&lt;=$G107),$A107*$D107*$E107*IF($C107="ha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hidup",$K$7,1))))))))*(1+'02_Assumptions'!$C$12)^0,0)</x:f>
        <x:v>0</x:v>
      </x:c>
      <x:c r="I107" s="287" t="n">
        <x:f>IF(AND(2&gt;=$F107,2&lt;=$G107),$A107*$D107*$E107*IF($C107="ha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hidup",$K$7,1))))))))*(1+'02_Assumptions'!$C$12)^1,0)</x:f>
        <x:v>0</x:v>
      </x:c>
      <x:c r="J107" s="287" t="n">
        <x:f>IF(AND(3&gt;=$F107,3&lt;=$G107),$A107*$D107*$E107*IF($C107="ha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hidup",$K$7,1))))))))*(1+'02_Assumptions'!$C$12)^2,0)</x:f>
        <x:v>0</x:v>
      </x:c>
      <x:c r="K107" s="287" t="n">
        <x:f>IF(AND(4&gt;=$F107,4&lt;=$G107),$A107*$D107*$E107*IF($C107="ha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hidup",$K$7,1))))))))*(1+'02_Assumptions'!$C$12)^3,0)</x:f>
        <x:v>0</x:v>
      </x:c>
      <x:c r="L107" s="287" t="n">
        <x:f>IF(AND(5&gt;=$F107,5&lt;=$G107),$A107*$D107*$E107*IF($C107="ha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hidup",$K$7,1))))))))*(1+'02_Assumptions'!$C$12)^4,0)</x:f>
        <x:v>0</x:v>
      </x:c>
      <x:c r="M107" s="287" t="n">
        <x:f>IF(AND(6&gt;=$F107,6&lt;=$G107),$A107*$D107*$E107*IF($C107="ha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hidup",$K$7,1))))))))*(1+'02_Assumptions'!$C$12)^5,0)</x:f>
        <x:v>0</x:v>
      </x:c>
      <x:c r="N107" s="287" t="n">
        <x:f>IF(AND(7&gt;=$F107,7&lt;=$G107),$A107*$D107*$E107*IF($C107="ha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hidup",$K$7,1))))))))*(1+'02_Assumptions'!$C$12)^6,0)</x:f>
        <x:v>0</x:v>
      </x:c>
      <x:c r="O107" s="287" t="n">
        <x:f>IF(AND(8&gt;=$F107,8&lt;=$G107),$A107*$D107*$E107*IF($C107="ha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hidup",$K$7,1))))))))*(1+'02_Assumptions'!$C$12)^7,0)</x:f>
        <x:v>0</x:v>
      </x:c>
      <x:c r="P107" s="287" t="n">
        <x:f>IF(AND(9&gt;=$F107,9&lt;=$G107),$A107*$D107*$E107*IF($C107="ha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hidup",$K$7,1))))))))*(1+'02_Assumptions'!$C$12)^8,0)</x:f>
        <x:v>0</x:v>
      </x:c>
      <x:c r="Q107" s="287" t="n">
        <x:f>IF(AND(10&gt;=$F107,10&lt;=$G107),$A107*$D107*$E107*IF($C107="ha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hidup",$K$7,1))))))))*(1+'02_Assumptions'!$C$12)^9,0)</x:f>
        <x:v>0</x:v>
      </x:c>
      <x:c r="R107" s="264"/>
      <x:c r="S107" s="264"/>
      <x:c r="T107" s="264"/>
      <x:c r="U107" s="264"/>
      <x:c r="V107" s="264"/>
      <x:c r="W107" s="264"/>
      <x:c r="X107" s="264"/>
      <x:c r="Y107" s="264"/>
      <x:c r="Z107" s="264"/>
      <x:c r="AA107" s="264"/>
      <x:c r="AB107" s="264"/>
      <x:c r="AC107" s="264"/>
      <x:c r="AD107" s="264"/>
      <x:c r="AE107" s="264"/>
      <x:c r="AF107" s="264"/>
      <x:c r="AG107" s="264"/>
      <x:c r="AH107" s="264"/>
      <x:c r="AI107" s="264"/>
      <x:c r="AJ107" s="264"/>
    </x:row>
    <x:row r="108">
      <x:c r="A108" s="389" t="n">
        <x:v>0</x:v>
      </x:c>
      <x:c r="B108" s="389" t="str">
        <x:v>Pendapatan tambahan 4</x:v>
      </x:c>
      <x:c r="C108" s="389" t="str">
        <x:v>Nilai tetap</x:v>
      </x:c>
      <x:c r="D108" s="389" t="n">
        <x:v>1</x:v>
      </x:c>
      <x:c r="E108" s="387" t="n">
        <x:v>0</x:v>
      </x:c>
      <x:c r="F108" s="389" t="n">
        <x:v>1</x:v>
      </x:c>
      <x:c r="G108" s="389" t="n">
        <x:v>10</x:v>
      </x:c>
      <x:c r="H108" s="287" t="n">
        <x:f>IF(AND(1&gt;=$F108,1&lt;=$G108),$A108*$D108*$E108*IF($C108="ha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hidup",$K$7,1))))))))*(1+'02_Assumptions'!$C$12)^0,0)</x:f>
        <x:v>0</x:v>
      </x:c>
      <x:c r="I108" s="287" t="n">
        <x:f>IF(AND(2&gt;=$F108,2&lt;=$G108),$A108*$D108*$E108*IF($C108="ha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hidup",$K$7,1))))))))*(1+'02_Assumptions'!$C$12)^1,0)</x:f>
        <x:v>0</x:v>
      </x:c>
      <x:c r="J108" s="287" t="n">
        <x:f>IF(AND(3&gt;=$F108,3&lt;=$G108),$A108*$D108*$E108*IF($C108="ha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hidup",$K$7,1))))))))*(1+'02_Assumptions'!$C$12)^2,0)</x:f>
        <x:v>0</x:v>
      </x:c>
      <x:c r="K108" s="287" t="n">
        <x:f>IF(AND(4&gt;=$F108,4&lt;=$G108),$A108*$D108*$E108*IF($C108="ha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hidup",$K$7,1))))))))*(1+'02_Assumptions'!$C$12)^3,0)</x:f>
        <x:v>0</x:v>
      </x:c>
      <x:c r="L108" s="287" t="n">
        <x:f>IF(AND(5&gt;=$F108,5&lt;=$G108),$A108*$D108*$E108*IF($C108="ha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hidup",$K$7,1))))))))*(1+'02_Assumptions'!$C$12)^4,0)</x:f>
        <x:v>0</x:v>
      </x:c>
      <x:c r="M108" s="287" t="n">
        <x:f>IF(AND(6&gt;=$F108,6&lt;=$G108),$A108*$D108*$E108*IF($C108="ha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hidup",$K$7,1))))))))*(1+'02_Assumptions'!$C$12)^5,0)</x:f>
        <x:v>0</x:v>
      </x:c>
      <x:c r="N108" s="287" t="n">
        <x:f>IF(AND(7&gt;=$F108,7&lt;=$G108),$A108*$D108*$E108*IF($C108="ha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hidup",$K$7,1))))))))*(1+'02_Assumptions'!$C$12)^6,0)</x:f>
        <x:v>0</x:v>
      </x:c>
      <x:c r="O108" s="287" t="n">
        <x:f>IF(AND(8&gt;=$F108,8&lt;=$G108),$A108*$D108*$E108*IF($C108="ha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hidup",$K$7,1))))))))*(1+'02_Assumptions'!$C$12)^7,0)</x:f>
        <x:v>0</x:v>
      </x:c>
      <x:c r="P108" s="287" t="n">
        <x:f>IF(AND(9&gt;=$F108,9&lt;=$G108),$A108*$D108*$E108*IF($C108="ha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hidup",$K$7,1))))))))*(1+'02_Assumptions'!$C$12)^8,0)</x:f>
        <x:v>0</x:v>
      </x:c>
      <x:c r="Q108" s="287" t="n">
        <x:f>IF(AND(10&gt;=$F108,10&lt;=$G108),$A108*$D108*$E108*IF($C108="ha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hidup",$K$7,1))))))))*(1+'02_Assumptions'!$C$12)^9,0)</x:f>
        <x:v>0</x:v>
      </x:c>
      <x:c r="R108" s="264"/>
      <x:c r="S108" s="264"/>
      <x:c r="T108" s="264"/>
      <x:c r="U108" s="264"/>
      <x:c r="V108" s="264"/>
      <x:c r="W108" s="264"/>
      <x:c r="X108" s="264"/>
      <x:c r="Y108" s="264"/>
      <x:c r="Z108" s="264"/>
      <x:c r="AA108" s="264"/>
      <x:c r="AB108" s="264"/>
      <x:c r="AC108" s="264"/>
      <x:c r="AD108" s="264"/>
      <x:c r="AE108" s="264"/>
      <x:c r="AF108" s="264"/>
      <x:c r="AG108" s="264"/>
      <x:c r="AH108" s="264"/>
      <x:c r="AI108" s="264"/>
      <x:c r="AJ108" s="264"/>
    </x:row>
    <x:row r="109">
      <x:c r="A109" s="389" t="n">
        <x:v>0</x:v>
      </x:c>
      <x:c r="B109" s="389" t="str">
        <x:v>Pendapatan tambahan 5</x:v>
      </x:c>
      <x:c r="C109" s="389" t="str">
        <x:v>Nilai tetap</x:v>
      </x:c>
      <x:c r="D109" s="389" t="n">
        <x:v>1</x:v>
      </x:c>
      <x:c r="E109" s="387" t="n">
        <x:v>0</x:v>
      </x:c>
      <x:c r="F109" s="389" t="n">
        <x:v>1</x:v>
      </x:c>
      <x:c r="G109" s="389" t="n">
        <x:v>10</x:v>
      </x:c>
      <x:c r="H109" s="287" t="n">
        <x:f>IF(AND(1&gt;=$F109,1&lt;=$G109),$A109*$D109*$E109*IF($C109="ha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hidup",$K$7,1))))))))*(1+'02_Assumptions'!$C$12)^0,0)</x:f>
        <x:v>0</x:v>
      </x:c>
      <x:c r="I109" s="287" t="n">
        <x:f>IF(AND(2&gt;=$F109,2&lt;=$G109),$A109*$D109*$E109*IF($C109="ha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hidup",$K$7,1))))))))*(1+'02_Assumptions'!$C$12)^1,0)</x:f>
        <x:v>0</x:v>
      </x:c>
      <x:c r="J109" s="287" t="n">
        <x:f>IF(AND(3&gt;=$F109,3&lt;=$G109),$A109*$D109*$E109*IF($C109="ha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hidup",$K$7,1))))))))*(1+'02_Assumptions'!$C$12)^2,0)</x:f>
        <x:v>0</x:v>
      </x:c>
      <x:c r="K109" s="287" t="n">
        <x:f>IF(AND(4&gt;=$F109,4&lt;=$G109),$A109*$D109*$E109*IF($C109="ha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hidup",$K$7,1))))))))*(1+'02_Assumptions'!$C$12)^3,0)</x:f>
        <x:v>0</x:v>
      </x:c>
      <x:c r="L109" s="287" t="n">
        <x:f>IF(AND(5&gt;=$F109,5&lt;=$G109),$A109*$D109*$E109*IF($C109="ha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hidup",$K$7,1))))))))*(1+'02_Assumptions'!$C$12)^4,0)</x:f>
        <x:v>0</x:v>
      </x:c>
      <x:c r="M109" s="287" t="n">
        <x:f>IF(AND(6&gt;=$F109,6&lt;=$G109),$A109*$D109*$E109*IF($C109="ha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hidup",$K$7,1))))))))*(1+'02_Assumptions'!$C$12)^5,0)</x:f>
        <x:v>0</x:v>
      </x:c>
      <x:c r="N109" s="287" t="n">
        <x:f>IF(AND(7&gt;=$F109,7&lt;=$G109),$A109*$D109*$E109*IF($C109="ha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hidup",$K$7,1))))))))*(1+'02_Assumptions'!$C$12)^6,0)</x:f>
        <x:v>0</x:v>
      </x:c>
      <x:c r="O109" s="287" t="n">
        <x:f>IF(AND(8&gt;=$F109,8&lt;=$G109),$A109*$D109*$E109*IF($C109="ha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hidup",$K$7,1))))))))*(1+'02_Assumptions'!$C$12)^7,0)</x:f>
        <x:v>0</x:v>
      </x:c>
      <x:c r="P109" s="287" t="n">
        <x:f>IF(AND(9&gt;=$F109,9&lt;=$G109),$A109*$D109*$E109*IF($C109="ha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hidup",$K$7,1))))))))*(1+'02_Assumptions'!$C$12)^8,0)</x:f>
        <x:v>0</x:v>
      </x:c>
      <x:c r="Q109" s="287" t="n">
        <x:f>IF(AND(10&gt;=$F109,10&lt;=$G109),$A109*$D109*$E109*IF($C109="ha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hidup",$K$7,1))))))))*(1+'02_Assumptions'!$C$12)^9,0)</x:f>
        <x:v>0</x:v>
      </x:c>
      <x:c r="R109" s="264"/>
      <x:c r="S109" s="264"/>
      <x:c r="T109" s="264"/>
      <x:c r="U109" s="264"/>
      <x:c r="V109" s="264"/>
      <x:c r="W109" s="264"/>
      <x:c r="X109" s="264"/>
      <x:c r="Y109" s="264"/>
      <x:c r="Z109" s="264"/>
      <x:c r="AA109" s="264"/>
      <x:c r="AB109" s="264"/>
      <x:c r="AC109" s="264"/>
      <x:c r="AD109" s="264"/>
      <x:c r="AE109" s="264"/>
      <x:c r="AF109" s="264"/>
      <x:c r="AG109" s="264"/>
      <x:c r="AH109" s="264"/>
      <x:c r="AI109" s="264"/>
      <x:c r="AJ109" s="264"/>
    </x:row>
    <x:row r="110">
      <x:c r="A110" s="389" t="n">
        <x:v>0</x:v>
      </x:c>
      <x:c r="B110" s="389" t="str">
        <x:v>Pendapatan tambahan 6</x:v>
      </x:c>
      <x:c r="C110" s="389" t="str">
        <x:v>Nilai tetap</x:v>
      </x:c>
      <x:c r="D110" s="389" t="n">
        <x:v>1</x:v>
      </x:c>
      <x:c r="E110" s="387" t="n">
        <x:v>0</x:v>
      </x:c>
      <x:c r="F110" s="389" t="n">
        <x:v>1</x:v>
      </x:c>
      <x:c r="G110" s="389" t="n">
        <x:v>10</x:v>
      </x:c>
      <x:c r="H110" s="287" t="n">
        <x:f>IF(AND(1&gt;=$F110,1&lt;=$G110),$A110*$D110*$E110*IF($C110="ha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hidup",$K$7,1))))))))*(1+'02_Assumptions'!$C$12)^0,0)</x:f>
        <x:v>0</x:v>
      </x:c>
      <x:c r="I110" s="287" t="n">
        <x:f>IF(AND(2&gt;=$F110,2&lt;=$G110),$A110*$D110*$E110*IF($C110="ha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hidup",$K$7,1))))))))*(1+'02_Assumptions'!$C$12)^1,0)</x:f>
        <x:v>0</x:v>
      </x:c>
      <x:c r="J110" s="287" t="n">
        <x:f>IF(AND(3&gt;=$F110,3&lt;=$G110),$A110*$D110*$E110*IF($C110="ha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hidup",$K$7,1))))))))*(1+'02_Assumptions'!$C$12)^2,0)</x:f>
        <x:v>0</x:v>
      </x:c>
      <x:c r="K110" s="287" t="n">
        <x:f>IF(AND(4&gt;=$F110,4&lt;=$G110),$A110*$D110*$E110*IF($C110="ha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hidup",$K$7,1))))))))*(1+'02_Assumptions'!$C$12)^3,0)</x:f>
        <x:v>0</x:v>
      </x:c>
      <x:c r="L110" s="287" t="n">
        <x:f>IF(AND(5&gt;=$F110,5&lt;=$G110),$A110*$D110*$E110*IF($C110="ha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hidup",$K$7,1))))))))*(1+'02_Assumptions'!$C$12)^4,0)</x:f>
        <x:v>0</x:v>
      </x:c>
      <x:c r="M110" s="287" t="n">
        <x:f>IF(AND(6&gt;=$F110,6&lt;=$G110),$A110*$D110*$E110*IF($C110="ha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hidup",$K$7,1))))))))*(1+'02_Assumptions'!$C$12)^5,0)</x:f>
        <x:v>0</x:v>
      </x:c>
      <x:c r="N110" s="287" t="n">
        <x:f>IF(AND(7&gt;=$F110,7&lt;=$G110),$A110*$D110*$E110*IF($C110="ha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hidup",$K$7,1))))))))*(1+'02_Assumptions'!$C$12)^6,0)</x:f>
        <x:v>0</x:v>
      </x:c>
      <x:c r="O110" s="287" t="n">
        <x:f>IF(AND(8&gt;=$F110,8&lt;=$G110),$A110*$D110*$E110*IF($C110="ha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hidup",$K$7,1))))))))*(1+'02_Assumptions'!$C$12)^7,0)</x:f>
        <x:v>0</x:v>
      </x:c>
      <x:c r="P110" s="287" t="n">
        <x:f>IF(AND(9&gt;=$F110,9&lt;=$G110),$A110*$D110*$E110*IF($C110="ha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hidup",$K$7,1))))))))*(1+'02_Assumptions'!$C$12)^8,0)</x:f>
        <x:v>0</x:v>
      </x:c>
      <x:c r="Q110" s="287" t="n">
        <x:f>IF(AND(10&gt;=$F110,10&lt;=$G110),$A110*$D110*$E110*IF($C110="ha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hidup",$K$7,1))))))))*(1+'02_Assumptions'!$C$12)^9,0)</x:f>
        <x:v>0</x:v>
      </x:c>
      <x:c r="R110" s="264"/>
      <x:c r="S110" s="264"/>
      <x:c r="T110" s="264"/>
      <x:c r="U110" s="264"/>
      <x:c r="V110" s="264"/>
      <x:c r="W110" s="264"/>
      <x:c r="X110" s="264"/>
      <x:c r="Y110" s="264"/>
      <x:c r="Z110" s="264"/>
      <x:c r="AA110" s="264"/>
      <x:c r="AB110" s="264"/>
      <x:c r="AC110" s="264"/>
      <x:c r="AD110" s="264"/>
      <x:c r="AE110" s="264"/>
      <x:c r="AF110" s="264"/>
      <x:c r="AG110" s="264"/>
      <x:c r="AH110" s="264"/>
      <x:c r="AI110" s="264"/>
      <x:c r="AJ110" s="264"/>
    </x:row>
    <x:row r="111">
      <x:c r="A111" s="389" t="n">
        <x:v>0</x:v>
      </x:c>
      <x:c r="B111" s="389" t="str">
        <x:v>Pendapatan tambahan 7</x:v>
      </x:c>
      <x:c r="C111" s="389" t="str">
        <x:v>Nilai tetap</x:v>
      </x:c>
      <x:c r="D111" s="389" t="n">
        <x:v>1</x:v>
      </x:c>
      <x:c r="E111" s="387" t="n">
        <x:v>0</x:v>
      </x:c>
      <x:c r="F111" s="389" t="n">
        <x:v>1</x:v>
      </x:c>
      <x:c r="G111" s="389" t="n">
        <x:v>10</x:v>
      </x:c>
      <x:c r="H111" s="287" t="n">
        <x:f>IF(AND(1&gt;=$F111,1&lt;=$G111),$A111*$D111*$E111*IF($C111="ha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hidup",$K$7,1))))))))*(1+'02_Assumptions'!$C$12)^0,0)</x:f>
        <x:v>0</x:v>
      </x:c>
      <x:c r="I111" s="287" t="n">
        <x:f>IF(AND(2&gt;=$F111,2&lt;=$G111),$A111*$D111*$E111*IF($C111="ha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hidup",$K$7,1))))))))*(1+'02_Assumptions'!$C$12)^1,0)</x:f>
        <x:v>0</x:v>
      </x:c>
      <x:c r="J111" s="287" t="n">
        <x:f>IF(AND(3&gt;=$F111,3&lt;=$G111),$A111*$D111*$E111*IF($C111="ha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hidup",$K$7,1))))))))*(1+'02_Assumptions'!$C$12)^2,0)</x:f>
        <x:v>0</x:v>
      </x:c>
      <x:c r="K111" s="287" t="n">
        <x:f>IF(AND(4&gt;=$F111,4&lt;=$G111),$A111*$D111*$E111*IF($C111="ha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hidup",$K$7,1))))))))*(1+'02_Assumptions'!$C$12)^3,0)</x:f>
        <x:v>0</x:v>
      </x:c>
      <x:c r="L111" s="287" t="n">
        <x:f>IF(AND(5&gt;=$F111,5&lt;=$G111),$A111*$D111*$E111*IF($C111="ha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hidup",$K$7,1))))))))*(1+'02_Assumptions'!$C$12)^4,0)</x:f>
        <x:v>0</x:v>
      </x:c>
      <x:c r="M111" s="287" t="n">
        <x:f>IF(AND(6&gt;=$F111,6&lt;=$G111),$A111*$D111*$E111*IF($C111="ha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hidup",$K$7,1))))))))*(1+'02_Assumptions'!$C$12)^5,0)</x:f>
        <x:v>0</x:v>
      </x:c>
      <x:c r="N111" s="287" t="n">
        <x:f>IF(AND(7&gt;=$F111,7&lt;=$G111),$A111*$D111*$E111*IF($C111="ha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hidup",$K$7,1))))))))*(1+'02_Assumptions'!$C$12)^6,0)</x:f>
        <x:v>0</x:v>
      </x:c>
      <x:c r="O111" s="287" t="n">
        <x:f>IF(AND(8&gt;=$F111,8&lt;=$G111),$A111*$D111*$E111*IF($C111="ha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hidup",$K$7,1))))))))*(1+'02_Assumptions'!$C$12)^7,0)</x:f>
        <x:v>0</x:v>
      </x:c>
      <x:c r="P111" s="287" t="n">
        <x:f>IF(AND(9&gt;=$F111,9&lt;=$G111),$A111*$D111*$E111*IF($C111="ha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hidup",$K$7,1))))))))*(1+'02_Assumptions'!$C$12)^8,0)</x:f>
        <x:v>0</x:v>
      </x:c>
      <x:c r="Q111" s="287" t="n">
        <x:f>IF(AND(10&gt;=$F111,10&lt;=$G111),$A111*$D111*$E111*IF($C111="ha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hidup",$K$7,1))))))))*(1+'02_Assumptions'!$C$12)^9,0)</x:f>
        <x:v>0</x:v>
      </x:c>
      <x:c r="R111" s="264"/>
      <x:c r="S111" s="264"/>
      <x:c r="T111" s="264"/>
      <x:c r="U111" s="264"/>
      <x:c r="V111" s="264"/>
      <x:c r="W111" s="264"/>
      <x:c r="X111" s="264"/>
      <x:c r="Y111" s="264"/>
      <x:c r="Z111" s="264"/>
      <x:c r="AA111" s="264"/>
      <x:c r="AB111" s="264"/>
      <x:c r="AC111" s="264"/>
      <x:c r="AD111" s="264"/>
      <x:c r="AE111" s="264"/>
      <x:c r="AF111" s="264"/>
      <x:c r="AG111" s="264"/>
      <x:c r="AH111" s="264"/>
      <x:c r="AI111" s="264"/>
      <x:c r="AJ111" s="264"/>
    </x:row>
    <x:row r="112">
      <x:c r="A112" s="389" t="n">
        <x:v>0</x:v>
      </x:c>
      <x:c r="B112" s="389" t="str">
        <x:v>Pendapatan tambahan 8</x:v>
      </x:c>
      <x:c r="C112" s="389" t="str">
        <x:v>Nilai tetap</x:v>
      </x:c>
      <x:c r="D112" s="389" t="n">
        <x:v>1</x:v>
      </x:c>
      <x:c r="E112" s="387" t="n">
        <x:v>0</x:v>
      </x:c>
      <x:c r="F112" s="389" t="n">
        <x:v>1</x:v>
      </x:c>
      <x:c r="G112" s="389" t="n">
        <x:v>10</x:v>
      </x:c>
      <x:c r="H112" s="287" t="n">
        <x:f>IF(AND(1&gt;=$F112,1&lt;=$G112),$A112*$D112*$E112*IF($C112="ha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hidup",$K$7,1))))))))*(1+'02_Assumptions'!$C$12)^0,0)</x:f>
        <x:v>0</x:v>
      </x:c>
      <x:c r="I112" s="287" t="n">
        <x:f>IF(AND(2&gt;=$F112,2&lt;=$G112),$A112*$D112*$E112*IF($C112="ha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hidup",$K$7,1))))))))*(1+'02_Assumptions'!$C$12)^1,0)</x:f>
        <x:v>0</x:v>
      </x:c>
      <x:c r="J112" s="287" t="n">
        <x:f>IF(AND(3&gt;=$F112,3&lt;=$G112),$A112*$D112*$E112*IF($C112="ha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hidup",$K$7,1))))))))*(1+'02_Assumptions'!$C$12)^2,0)</x:f>
        <x:v>0</x:v>
      </x:c>
      <x:c r="K112" s="287" t="n">
        <x:f>IF(AND(4&gt;=$F112,4&lt;=$G112),$A112*$D112*$E112*IF($C112="ha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hidup",$K$7,1))))))))*(1+'02_Assumptions'!$C$12)^3,0)</x:f>
        <x:v>0</x:v>
      </x:c>
      <x:c r="L112" s="287" t="n">
        <x:f>IF(AND(5&gt;=$F112,5&lt;=$G112),$A112*$D112*$E112*IF($C112="ha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hidup",$K$7,1))))))))*(1+'02_Assumptions'!$C$12)^4,0)</x:f>
        <x:v>0</x:v>
      </x:c>
      <x:c r="M112" s="287" t="n">
        <x:f>IF(AND(6&gt;=$F112,6&lt;=$G112),$A112*$D112*$E112*IF($C112="ha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hidup",$K$7,1))))))))*(1+'02_Assumptions'!$C$12)^5,0)</x:f>
        <x:v>0</x:v>
      </x:c>
      <x:c r="N112" s="287" t="n">
        <x:f>IF(AND(7&gt;=$F112,7&lt;=$G112),$A112*$D112*$E112*IF($C112="ha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hidup",$K$7,1))))))))*(1+'02_Assumptions'!$C$12)^6,0)</x:f>
        <x:v>0</x:v>
      </x:c>
      <x:c r="O112" s="287" t="n">
        <x:f>IF(AND(8&gt;=$F112,8&lt;=$G112),$A112*$D112*$E112*IF($C112="ha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hidup",$K$7,1))))))))*(1+'02_Assumptions'!$C$12)^7,0)</x:f>
        <x:v>0</x:v>
      </x:c>
      <x:c r="P112" s="287" t="n">
        <x:f>IF(AND(9&gt;=$F112,9&lt;=$G112),$A112*$D112*$E112*IF($C112="ha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hidup",$K$7,1))))))))*(1+'02_Assumptions'!$C$12)^8,0)</x:f>
        <x:v>0</x:v>
      </x:c>
      <x:c r="Q112" s="287" t="n">
        <x:f>IF(AND(10&gt;=$F112,10&lt;=$G112),$A112*$D112*$E112*IF($C112="ha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hidup",$K$7,1))))))))*(1+'02_Assumptions'!$C$12)^9,0)</x:f>
        <x:v>0</x:v>
      </x:c>
      <x:c r="R112" s="264"/>
      <x:c r="S112" s="264"/>
      <x:c r="T112" s="264"/>
      <x:c r="U112" s="264"/>
      <x:c r="V112" s="264"/>
      <x:c r="W112" s="264"/>
      <x:c r="X112" s="264"/>
      <x:c r="Y112" s="264"/>
      <x:c r="Z112" s="264"/>
      <x:c r="AA112" s="264"/>
      <x:c r="AB112" s="264"/>
      <x:c r="AC112" s="264"/>
      <x:c r="AD112" s="264"/>
      <x:c r="AE112" s="264"/>
      <x:c r="AF112" s="264"/>
      <x:c r="AG112" s="264"/>
      <x:c r="AH112" s="264"/>
      <x:c r="AI112" s="264"/>
      <x:c r="AJ112" s="264"/>
    </x:row>
    <x:row r="113">
      <x:c r="A113" s="389" t="n">
        <x:v>0</x:v>
      </x:c>
      <x:c r="B113" s="389" t="str">
        <x:v>Pendapatan tambahan 9</x:v>
      </x:c>
      <x:c r="C113" s="389" t="str">
        <x:v>Nilai tetap</x:v>
      </x:c>
      <x:c r="D113" s="389" t="n">
        <x:v>1</x:v>
      </x:c>
      <x:c r="E113" s="387" t="n">
        <x:v>0</x:v>
      </x:c>
      <x:c r="F113" s="389" t="n">
        <x:v>1</x:v>
      </x:c>
      <x:c r="G113" s="389" t="n">
        <x:v>10</x:v>
      </x:c>
      <x:c r="H113" s="287" t="n">
        <x:f>IF(AND(1&gt;=$F113,1&lt;=$G113),$A113*$D113*$E113*IF($C113="ha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hidup",$K$7,1))))))))*(1+'02_Assumptions'!$C$12)^0,0)</x:f>
        <x:v>0</x:v>
      </x:c>
      <x:c r="I113" s="287" t="n">
        <x:f>IF(AND(2&gt;=$F113,2&lt;=$G113),$A113*$D113*$E113*IF($C113="ha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hidup",$K$7,1))))))))*(1+'02_Assumptions'!$C$12)^1,0)</x:f>
        <x:v>0</x:v>
      </x:c>
      <x:c r="J113" s="287" t="n">
        <x:f>IF(AND(3&gt;=$F113,3&lt;=$G113),$A113*$D113*$E113*IF($C113="ha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hidup",$K$7,1))))))))*(1+'02_Assumptions'!$C$12)^2,0)</x:f>
        <x:v>0</x:v>
      </x:c>
      <x:c r="K113" s="287" t="n">
        <x:f>IF(AND(4&gt;=$F113,4&lt;=$G113),$A113*$D113*$E113*IF($C113="ha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hidup",$K$7,1))))))))*(1+'02_Assumptions'!$C$12)^3,0)</x:f>
        <x:v>0</x:v>
      </x:c>
      <x:c r="L113" s="287" t="n">
        <x:f>IF(AND(5&gt;=$F113,5&lt;=$G113),$A113*$D113*$E113*IF($C113="ha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hidup",$K$7,1))))))))*(1+'02_Assumptions'!$C$12)^4,0)</x:f>
        <x:v>0</x:v>
      </x:c>
      <x:c r="M113" s="287" t="n">
        <x:f>IF(AND(6&gt;=$F113,6&lt;=$G113),$A113*$D113*$E113*IF($C113="ha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hidup",$K$7,1))))))))*(1+'02_Assumptions'!$C$12)^5,0)</x:f>
        <x:v>0</x:v>
      </x:c>
      <x:c r="N113" s="287" t="n">
        <x:f>IF(AND(7&gt;=$F113,7&lt;=$G113),$A113*$D113*$E113*IF($C113="ha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hidup",$K$7,1))))))))*(1+'02_Assumptions'!$C$12)^6,0)</x:f>
        <x:v>0</x:v>
      </x:c>
      <x:c r="O113" s="287" t="n">
        <x:f>IF(AND(8&gt;=$F113,8&lt;=$G113),$A113*$D113*$E113*IF($C113="ha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hidup",$K$7,1))))))))*(1+'02_Assumptions'!$C$12)^7,0)</x:f>
        <x:v>0</x:v>
      </x:c>
      <x:c r="P113" s="287" t="n">
        <x:f>IF(AND(9&gt;=$F113,9&lt;=$G113),$A113*$D113*$E113*IF($C113="ha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hidup",$K$7,1))))))))*(1+'02_Assumptions'!$C$12)^8,0)</x:f>
        <x:v>0</x:v>
      </x:c>
      <x:c r="Q113" s="287" t="n">
        <x:f>IF(AND(10&gt;=$F113,10&lt;=$G113),$A113*$D113*$E113*IF($C113="ha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hidup",$K$7,1))))))))*(1+'02_Assumptions'!$C$12)^9,0)</x:f>
        <x:v>0</x:v>
      </x:c>
      <x:c r="R113" s="264"/>
      <x:c r="S113" s="264"/>
      <x:c r="T113" s="264"/>
      <x:c r="U113" s="264"/>
      <x:c r="V113" s="264"/>
      <x:c r="W113" s="264"/>
      <x:c r="X113" s="264"/>
      <x:c r="Y113" s="264"/>
      <x:c r="Z113" s="264"/>
      <x:c r="AA113" s="264"/>
      <x:c r="AB113" s="264"/>
      <x:c r="AC113" s="264"/>
      <x:c r="AD113" s="264"/>
      <x:c r="AE113" s="264"/>
      <x:c r="AF113" s="264"/>
      <x:c r="AG113" s="264"/>
      <x:c r="AH113" s="264"/>
      <x:c r="AI113" s="264"/>
      <x:c r="AJ113" s="264"/>
    </x:row>
    <x:row r="114">
      <x:c r="A114" s="389" t="n">
        <x:v>0</x:v>
      </x:c>
      <x:c r="B114" s="389" t="str">
        <x:v>Pendapatan tambahan 10</x:v>
      </x:c>
      <x:c r="C114" s="389" t="str">
        <x:v>Nilai tetap</x:v>
      </x:c>
      <x:c r="D114" s="389" t="n">
        <x:v>1</x:v>
      </x:c>
      <x:c r="E114" s="387" t="n">
        <x:v>0</x:v>
      </x:c>
      <x:c r="F114" s="389" t="n">
        <x:v>1</x:v>
      </x:c>
      <x:c r="G114" s="389" t="n">
        <x:v>10</x:v>
      </x:c>
      <x:c r="H114" s="287" t="n">
        <x:f>IF(AND(1&gt;=$F114,1&lt;=$G114),$A114*$D114*$E114*IF($C114="ha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hidup",$K$7,1))))))))*(1+'02_Assumptions'!$C$12)^0,0)</x:f>
        <x:v>0</x:v>
      </x:c>
      <x:c r="I114" s="287" t="n">
        <x:f>IF(AND(2&gt;=$F114,2&lt;=$G114),$A114*$D114*$E114*IF($C114="ha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hidup",$K$7,1))))))))*(1+'02_Assumptions'!$C$12)^1,0)</x:f>
        <x:v>0</x:v>
      </x:c>
      <x:c r="J114" s="287" t="n">
        <x:f>IF(AND(3&gt;=$F114,3&lt;=$G114),$A114*$D114*$E114*IF($C114="ha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hidup",$K$7,1))))))))*(1+'02_Assumptions'!$C$12)^2,0)</x:f>
        <x:v>0</x:v>
      </x:c>
      <x:c r="K114" s="287" t="n">
        <x:f>IF(AND(4&gt;=$F114,4&lt;=$G114),$A114*$D114*$E114*IF($C114="ha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hidup",$K$7,1))))))))*(1+'02_Assumptions'!$C$12)^3,0)</x:f>
        <x:v>0</x:v>
      </x:c>
      <x:c r="L114" s="287" t="n">
        <x:f>IF(AND(5&gt;=$F114,5&lt;=$G114),$A114*$D114*$E114*IF($C114="ha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hidup",$K$7,1))))))))*(1+'02_Assumptions'!$C$12)^4,0)</x:f>
        <x:v>0</x:v>
      </x:c>
      <x:c r="M114" s="287" t="n">
        <x:f>IF(AND(6&gt;=$F114,6&lt;=$G114),$A114*$D114*$E114*IF($C114="ha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hidup",$K$7,1))))))))*(1+'02_Assumptions'!$C$12)^5,0)</x:f>
        <x:v>0</x:v>
      </x:c>
      <x:c r="N114" s="287" t="n">
        <x:f>IF(AND(7&gt;=$F114,7&lt;=$G114),$A114*$D114*$E114*IF($C114="ha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hidup",$K$7,1))))))))*(1+'02_Assumptions'!$C$12)^6,0)</x:f>
        <x:v>0</x:v>
      </x:c>
      <x:c r="O114" s="287" t="n">
        <x:f>IF(AND(8&gt;=$F114,8&lt;=$G114),$A114*$D114*$E114*IF($C114="ha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hidup",$K$7,1))))))))*(1+'02_Assumptions'!$C$12)^7,0)</x:f>
        <x:v>0</x:v>
      </x:c>
      <x:c r="P114" s="287" t="n">
        <x:f>IF(AND(9&gt;=$F114,9&lt;=$G114),$A114*$D114*$E114*IF($C114="ha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hidup",$K$7,1))))))))*(1+'02_Assumptions'!$C$12)^8,0)</x:f>
        <x:v>0</x:v>
      </x:c>
      <x:c r="Q114" s="287" t="n">
        <x:f>IF(AND(10&gt;=$F114,10&lt;=$G114),$A114*$D114*$E114*IF($C114="ha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hidup",$K$7,1))))))))*(1+'02_Assumptions'!$C$12)^9,0)</x:f>
        <x:v>0</x:v>
      </x:c>
      <x:c r="R114" s="264"/>
      <x:c r="S114" s="264"/>
      <x:c r="T114" s="264"/>
      <x:c r="U114" s="264"/>
      <x:c r="V114" s="264"/>
      <x:c r="W114" s="264"/>
      <x:c r="X114" s="264"/>
      <x:c r="Y114" s="264"/>
      <x:c r="Z114" s="264"/>
      <x:c r="AA114" s="264"/>
      <x:c r="AB114" s="264"/>
      <x:c r="AC114" s="264"/>
      <x:c r="AD114" s="264"/>
      <x:c r="AE114" s="264"/>
      <x:c r="AF114" s="264"/>
      <x:c r="AG114" s="264"/>
      <x:c r="AH114" s="264"/>
      <x:c r="AI114" s="264"/>
      <x:c r="AJ114" s="264"/>
    </x:row>
    <x:row r="115">
      <x:c r="A115" s="264"/>
      <x:c r="B115" s="264"/>
      <x:c r="C115" s="264"/>
      <x:c r="D115" s="264"/>
      <x:c r="E115" s="264"/>
      <x:c r="F115" s="264"/>
      <x:c r="G115" s="264"/>
      <x:c r="H115" s="287"/>
      <x:c r="I115" s="287"/>
      <x:c r="J115" s="287"/>
      <x:c r="K115" s="287"/>
      <x:c r="L115" s="287"/>
      <x:c r="M115" s="287"/>
      <x:c r="N115" s="287"/>
      <x:c r="O115" s="287"/>
      <x:c r="P115" s="287"/>
      <x:c r="Q115" s="287"/>
      <x:c r="R115" s="264"/>
      <x:c r="S115" s="264"/>
      <x:c r="T115" s="264"/>
      <x:c r="U115" s="264"/>
      <x:c r="V115" s="264"/>
      <x:c r="W115" s="264"/>
      <x:c r="X115" s="264"/>
      <x:c r="Y115" s="264"/>
      <x:c r="Z115" s="264"/>
      <x:c r="AA115" s="264"/>
      <x:c r="AB115" s="264"/>
      <x:c r="AC115" s="264"/>
      <x:c r="AD115" s="264"/>
      <x:c r="AE115" s="264"/>
      <x:c r="AF115" s="264"/>
      <x:c r="AG115" s="264"/>
      <x:c r="AH115" s="264"/>
      <x:c r="AI115" s="264"/>
      <x:c r="AJ115" s="264"/>
    </x:row>
    <x:row r="116">
      <x:c r="A116" s="390" t="str">
        <x:v>TOTAL PENDAPATAN TAMBAHAN</x:v>
      </x:c>
      <x:c r="B116" s="390"/>
      <x:c r="C116" s="390"/>
      <x:c r="D116" s="390"/>
      <x:c r="E116" s="390"/>
      <x:c r="F116" s="390"/>
      <x:c r="G116" s="390"/>
      <x:c r="H116" s="390" t="n">
        <x:f>SUM(H105:H114)</x:f>
        <x:v>0</x:v>
      </x:c>
      <x:c r="I116" s="390" t="n">
        <x:f>SUM(I105:I114)</x:f>
        <x:v>0</x:v>
      </x:c>
      <x:c r="J116" s="390" t="n">
        <x:f>SUM(J105:J114)</x:f>
        <x:v>0</x:v>
      </x:c>
      <x:c r="K116" s="390" t="n">
        <x:f>SUM(K105:K114)</x:f>
        <x:v>0</x:v>
      </x:c>
      <x:c r="L116" s="390" t="n">
        <x:f>SUM(L105:L114)</x:f>
        <x:v>0</x:v>
      </x:c>
      <x:c r="M116" s="390" t="n">
        <x:f>SUM(M105:M114)</x:f>
        <x:v>0</x:v>
      </x:c>
      <x:c r="N116" s="390" t="n">
        <x:f>SUM(N105:N114)</x:f>
        <x:v>0</x:v>
      </x:c>
      <x:c r="O116" s="390" t="n">
        <x:f>SUM(O105:O114)</x:f>
        <x:v>0</x:v>
      </x:c>
      <x:c r="P116" s="390" t="n">
        <x:f>SUM(P105:P114)</x:f>
        <x:v>0</x:v>
      </x:c>
      <x:c r="Q116" s="390" t="n">
        <x:f>SUM(Q105:Q114)</x:f>
        <x:v>0</x:v>
      </x:c>
      <x:c r="R116" s="390"/>
      <x:c r="S116" s="264"/>
      <x:c r="T116" s="264"/>
      <x:c r="U116" s="264"/>
      <x:c r="V116" s="264"/>
      <x:c r="W116" s="264"/>
      <x:c r="X116" s="264"/>
      <x:c r="Y116" s="264"/>
      <x:c r="Z116" s="264"/>
      <x:c r="AA116" s="264"/>
      <x:c r="AB116" s="264"/>
      <x:c r="AC116" s="264"/>
      <x:c r="AD116" s="264"/>
      <x:c r="AE116" s="264"/>
      <x:c r="AF116" s="264"/>
      <x:c r="AG116" s="264"/>
      <x:c r="AH116" s="264"/>
      <x:c r="AI116" s="264"/>
      <x:c r="AJ116" s="264"/>
    </x:row>
    <x:row r="117">
      <x:c r="A117" s="264"/>
      <x:c r="B117" s="264"/>
      <x:c r="C117" s="264"/>
      <x:c r="D117" s="264"/>
      <x:c r="E117" s="264"/>
      <x:c r="F117" s="264"/>
      <x:c r="G117" s="264"/>
      <x:c r="H117" s="264"/>
      <x:c r="I117" s="264"/>
      <x:c r="J117" s="264"/>
      <x:c r="K117" s="264"/>
      <x:c r="L117" s="264"/>
      <x:c r="M117" s="264"/>
      <x:c r="N117" s="264"/>
      <x:c r="O117" s="264"/>
      <x:c r="P117" s="264"/>
      <x:c r="Q117" s="264"/>
      <x:c r="R117" s="264"/>
      <x:c r="S117" s="264"/>
      <x:c r="T117" s="264"/>
      <x:c r="U117" s="264"/>
      <x:c r="V117" s="264"/>
      <x:c r="W117" s="264"/>
      <x:c r="X117" s="264"/>
      <x:c r="Y117" s="264"/>
      <x:c r="Z117" s="264"/>
      <x:c r="AA117" s="264"/>
      <x:c r="AB117" s="264"/>
      <x:c r="AC117" s="264"/>
      <x:c r="AD117" s="264"/>
      <x:c r="AE117" s="264"/>
      <x:c r="AF117" s="264"/>
      <x:c r="AG117" s="264"/>
      <x:c r="AH117" s="264"/>
      <x:c r="AI117" s="264"/>
      <x:c r="AJ117" s="264"/>
    </x:row>
    <x:row r="118">
      <x:c r="A118" s="264"/>
      <x:c r="B118" s="264"/>
      <x:c r="C118" s="264"/>
      <x:c r="D118" s="264"/>
      <x:c r="E118" s="264"/>
      <x:c r="F118" s="264"/>
      <x:c r="G118" s="264"/>
      <x:c r="H118" s="264"/>
      <x:c r="I118" s="264"/>
      <x:c r="J118" s="264"/>
      <x:c r="K118" s="264"/>
      <x:c r="L118" s="264"/>
      <x:c r="M118" s="264"/>
      <x:c r="N118" s="264"/>
      <x:c r="O118" s="264"/>
      <x:c r="P118" s="264"/>
      <x:c r="Q118" s="264"/>
      <x:c r="R118" s="264"/>
      <x:c r="S118" s="264"/>
      <x:c r="T118" s="264"/>
      <x:c r="U118" s="264"/>
      <x:c r="V118" s="264"/>
      <x:c r="W118" s="264"/>
      <x:c r="X118" s="264"/>
      <x:c r="Y118" s="264"/>
      <x:c r="Z118" s="264"/>
      <x:c r="AA118" s="264"/>
      <x:c r="AB118" s="264"/>
      <x:c r="AC118" s="264"/>
      <x:c r="AD118" s="264"/>
      <x:c r="AE118" s="264"/>
      <x:c r="AF118" s="264"/>
      <x:c r="AG118" s="264"/>
      <x:c r="AH118" s="264"/>
      <x:c r="AI118" s="264"/>
      <x:c r="AJ118" s="264"/>
    </x:row>
    <x:row r="119" ht="20" customHeight="1">
      <x:c r="A119" s="383" t="str">
        <x:v>H. Peta ketergantungan model</x:v>
      </x:c>
      <x:c r="B119" s="383"/>
      <x:c r="C119" s="383"/>
      <x:c r="D119" s="383"/>
      <x:c r="E119" s="383"/>
      <x:c r="F119" s="383"/>
      <x:c r="G119" s="383"/>
      <x:c r="H119" s="383"/>
      <x:c r="I119" s="264"/>
      <x:c r="J119" s="264"/>
      <x:c r="K119" s="264"/>
      <x:c r="L119" s="264"/>
      <x:c r="M119" s="264"/>
      <x:c r="N119" s="264"/>
      <x:c r="O119" s="264"/>
      <x:c r="P119" s="264"/>
      <x:c r="Q119" s="264"/>
      <x:c r="R119" s="264"/>
      <x:c r="S119" s="264"/>
      <x:c r="T119" s="264"/>
      <x:c r="U119" s="264"/>
      <x:c r="V119" s="264"/>
      <x:c r="W119" s="264"/>
      <x:c r="X119" s="264"/>
      <x:c r="Y119" s="264"/>
      <x:c r="Z119" s="264"/>
      <x:c r="AA119" s="264"/>
      <x:c r="AB119" s="264"/>
      <x:c r="AC119" s="264"/>
      <x:c r="AD119" s="264"/>
      <x:c r="AE119" s="264"/>
      <x:c r="AF119" s="264"/>
      <x:c r="AG119" s="264"/>
      <x:c r="AH119" s="264"/>
      <x:c r="AI119" s="264"/>
      <x:c r="AJ119" s="264"/>
    </x:row>
    <x:row r="120" ht="32" customHeight="1">
      <x:c r="A120" s="368" t="str">
        <x:v>Input yang diubah</x:v>
      </x:c>
      <x:c r="B120" s="368" t="str">
        <x:v>Penggerak langsung</x:v>
      </x:c>
      <x:c r="C120" s="368" t="str">
        <x:v>Dampak berikutnya</x:v>
      </x:c>
      <x:c r="D120" s="368" t="str">
        <x:v>Lembar keluaran</x:v>
      </x:c>
      <x:c r="E120" s="368" t="str">
        <x:v>Cara menonaktifkan</x:v>
      </x:c>
      <x:c r="F120" s="368" t="str">
        <x:v>Cara menambah</x:v>
      </x:c>
      <x:c r="G120" s="368" t="str">
        <x:v>Peringatan</x:v>
      </x:c>
      <x:c r="H120" s="368" t="str">
        <x:v>Status</x:v>
      </x:c>
      <x:c r="I120" s="264"/>
      <x:c r="J120" s="264"/>
      <x:c r="K120" s="264"/>
      <x:c r="L120" s="264"/>
      <x:c r="M120" s="264"/>
      <x:c r="N120" s="264"/>
      <x:c r="O120" s="264"/>
      <x:c r="P120" s="264"/>
      <x:c r="Q120" s="264"/>
      <x:c r="R120" s="264"/>
      <x:c r="S120" s="264"/>
      <x:c r="T120" s="264"/>
      <x:c r="U120" s="264"/>
      <x:c r="V120" s="264"/>
      <x:c r="W120" s="264"/>
      <x:c r="X120" s="264"/>
      <x:c r="Y120" s="264"/>
      <x:c r="Z120" s="264"/>
      <x:c r="AA120" s="264"/>
      <x:c r="AB120" s="264"/>
      <x:c r="AC120" s="264"/>
      <x:c r="AD120" s="264"/>
      <x:c r="AE120" s="264"/>
      <x:c r="AF120" s="264"/>
      <x:c r="AG120" s="264"/>
      <x:c r="AH120" s="264"/>
      <x:c r="AI120" s="264"/>
      <x:c r="AJ120" s="264"/>
    </x:row>
    <x:row r="121">
      <x:c r="A121" s="264" t="str">
        <x:v>Luas bruto</x:v>
      </x:c>
      <x:c r="B121" s="264" t="str">
        <x:v>Areal efektif, populasi, HOK, sarana</x:v>
      </x:c>
      <x:c r="C121" s="264" t="str">
        <x:v>CAPEX, OPEX, produksi, arus kas</x:v>
      </x:c>
      <x:c r="D121" s="264" t="str">
        <x:v>01, 04–13</x:v>
      </x:c>
      <x:c r="E121" s="264" t="str">
        <x:v>Tidak disarankan 0</x:v>
      </x:c>
      <x:c r="F121" s="264" t="str">
        <x:v>Ubah 02!C6</x:v>
      </x:c>
      <x:c r="G121" s="264" t="str">
        <x:v>Uji ulang tata ruang</x:v>
      </x:c>
      <x:c r="H121" s="264" t="str">
        <x:v>Terhubung</x:v>
      </x:c>
      <x:c r="I121" s="264"/>
      <x:c r="J121" s="264"/>
      <x:c r="K121" s="264"/>
      <x:c r="L121" s="264"/>
      <x:c r="M121" s="264"/>
      <x:c r="N121" s="264"/>
      <x:c r="O121" s="264"/>
      <x:c r="P121" s="264"/>
      <x:c r="Q121" s="264"/>
      <x:c r="R121" s="264"/>
      <x:c r="S121" s="264"/>
      <x:c r="T121" s="264"/>
      <x:c r="U121" s="264"/>
      <x:c r="V121" s="264"/>
      <x:c r="W121" s="264"/>
      <x:c r="X121" s="264"/>
      <x:c r="Y121" s="264"/>
      <x:c r="Z121" s="264"/>
      <x:c r="AA121" s="264"/>
      <x:c r="AB121" s="264"/>
      <x:c r="AC121" s="264"/>
      <x:c r="AD121" s="264"/>
      <x:c r="AE121" s="264"/>
      <x:c r="AF121" s="264"/>
      <x:c r="AG121" s="264"/>
      <x:c r="AH121" s="264"/>
      <x:c r="AI121" s="264"/>
      <x:c r="AJ121" s="264"/>
    </x:row>
    <x:row r="122">
      <x:c r="A122" s="264" t="str">
        <x:v>Jumlah lokasi</x:v>
      </x:c>
      <x:c r="B122" s="264" t="str">
        <x:v>Duplikasi akses, sarana, alat, staf</x:v>
      </x:c>
      <x:c r="C122" s="264" t="str">
        <x:v>CAPEX/OPEX skenario</x:v>
      </x:c>
      <x:c r="D122" s="264" t="str">
        <x:v>08, 09, 12</x:v>
      </x:c>
      <x:c r="E122" s="264" t="str">
        <x:v>Pilih 1–4</x:v>
      </x:c>
      <x:c r="F122" s="264" t="str">
        <x:v>Ubah 02!C8</x:v>
      </x:c>
      <x:c r="G122" s="264" t="str">
        <x:v>Lokasi terpisah menambah perimeter</x:v>
      </x:c>
      <x:c r="H122" s="264" t="str">
        <x:v>Terhubung</x:v>
      </x:c>
      <x:c r="I122" s="264"/>
      <x:c r="J122" s="264"/>
      <x:c r="K122" s="264"/>
      <x:c r="L122" s="264"/>
      <x:c r="M122" s="264"/>
      <x:c r="N122" s="264"/>
      <x:c r="O122" s="264"/>
      <x:c r="P122" s="264"/>
      <x:c r="Q122" s="264"/>
      <x:c r="R122" s="264"/>
      <x:c r="S122" s="264"/>
      <x:c r="T122" s="264"/>
      <x:c r="U122" s="264"/>
      <x:c r="V122" s="264"/>
      <x:c r="W122" s="264"/>
      <x:c r="X122" s="264"/>
      <x:c r="Y122" s="264"/>
      <x:c r="Z122" s="264"/>
      <x:c r="AA122" s="264"/>
      <x:c r="AB122" s="264"/>
      <x:c r="AC122" s="264"/>
      <x:c r="AD122" s="264"/>
      <x:c r="AE122" s="264"/>
      <x:c r="AF122" s="264"/>
      <x:c r="AG122" s="264"/>
      <x:c r="AH122" s="264"/>
      <x:c r="AI122" s="264"/>
      <x:c r="AJ122" s="264"/>
    </x:row>
    <x:row r="123">
      <x:c r="A123" s="264" t="str">
        <x:v>Kerapatan tanaman</x:v>
      </x:c>
      <x:c r="B123" s="264" t="str">
        <x:v>Populasi dan bibit</x:v>
      </x:c>
      <x:c r="C123" s="264" t="str">
        <x:v>Input, HOK, hasil</x:v>
      </x:c>
      <x:c r="D123" s="264" t="str">
        <x:v>04, 07, 10</x:v>
      </x:c>
      <x:c r="E123" s="264" t="str">
        <x:v>Aktif=0</x:v>
      </x:c>
      <x:c r="F123" s="264" t="str">
        <x:v>Ubah 02!C26:C31</x:v>
      </x:c>
      <x:c r="G123" s="264" t="str">
        <x:v>Cek kompetisi tajuk</x:v>
      </x:c>
      <x:c r="H123" s="264" t="str">
        <x:v>Terhubung</x:v>
      </x:c>
      <x:c r="I123" s="264"/>
      <x:c r="J123" s="264"/>
      <x:c r="K123" s="264"/>
      <x:c r="L123" s="264"/>
      <x:c r="M123" s="264"/>
      <x:c r="N123" s="264"/>
      <x:c r="O123" s="264"/>
      <x:c r="P123" s="264"/>
      <x:c r="Q123" s="264"/>
      <x:c r="R123" s="264"/>
      <x:c r="S123" s="264"/>
      <x:c r="T123" s="264"/>
      <x:c r="U123" s="264"/>
      <x:c r="V123" s="264"/>
      <x:c r="W123" s="264"/>
      <x:c r="X123" s="264"/>
      <x:c r="Y123" s="264"/>
      <x:c r="Z123" s="264"/>
      <x:c r="AA123" s="264"/>
      <x:c r="AB123" s="264"/>
      <x:c r="AC123" s="264"/>
      <x:c r="AD123" s="264"/>
      <x:c r="AE123" s="264"/>
      <x:c r="AF123" s="264"/>
      <x:c r="AG123" s="264"/>
      <x:c r="AH123" s="264"/>
      <x:c r="AI123" s="264"/>
      <x:c r="AJ123" s="264"/>
    </x:row>
    <x:row r="124">
      <x:c r="A124" s="264" t="str">
        <x:v>Nanas/penutup tanah</x:v>
      </x:c>
      <x:c r="B124" s="264" t="str">
        <x:v>Bibit, HOK, input, hasil/penghematan</x:v>
      </x:c>
      <x:c r="C124" s="264" t="str">
        <x:v>CAPEX, OPEX, pendapatan</x:v>
      </x:c>
      <x:c r="D124" s="264" t="str">
        <x:v>17 lalu 08–11</x:v>
      </x:c>
      <x:c r="E124" s="264" t="str">
        <x:v>02!C156:C157=0</x:v>
      </x:c>
      <x:c r="F124" s="264" t="str">
        <x:v>02!C156:C157=1</x:v>
      </x:c>
      <x:c r="G124" s="264" t="str">
        <x:v>Validasi cahaya, kompetisi, dan pasar</x:v>
      </x:c>
      <x:c r="H124" s="264" t="str">
        <x:v>Terhubung</x:v>
      </x:c>
      <x:c r="I124" s="264"/>
      <x:c r="J124" s="264"/>
      <x:c r="K124" s="264"/>
      <x:c r="L124" s="264"/>
      <x:c r="M124" s="264"/>
      <x:c r="N124" s="264"/>
      <x:c r="O124" s="264"/>
      <x:c r="P124" s="264"/>
      <x:c r="Q124" s="264"/>
      <x:c r="R124" s="264"/>
      <x:c r="S124" s="264"/>
      <x:c r="T124" s="264"/>
      <x:c r="U124" s="264"/>
      <x:c r="V124" s="264"/>
      <x:c r="W124" s="264"/>
      <x:c r="X124" s="264"/>
      <x:c r="Y124" s="264"/>
      <x:c r="Z124" s="264"/>
      <x:c r="AA124" s="264"/>
      <x:c r="AB124" s="264"/>
      <x:c r="AC124" s="264"/>
      <x:c r="AD124" s="264"/>
      <x:c r="AE124" s="264"/>
      <x:c r="AF124" s="264"/>
      <x:c r="AG124" s="264"/>
      <x:c r="AH124" s="264"/>
      <x:c r="AI124" s="264"/>
      <x:c r="AJ124" s="264"/>
    </x:row>
    <x:row r="125">
      <x:c r="A125" s="264" t="str">
        <x:v>Harga satuan</x:v>
      </x:c>
      <x:c r="B125" s="264" t="str">
        <x:v>Biaya per baris</x:v>
      </x:c>
      <x:c r="C125" s="264" t="str">
        <x:v>Total dan arus kas</x:v>
      </x:c>
      <x:c r="D125" s="264" t="str">
        <x:v>06–11, 17</x:v>
      </x:c>
      <x:c r="E125" s="264" t="str">
        <x:v>Aktif=0 atau harga=0</x:v>
      </x:c>
      <x:c r="F125" s="264" t="str">
        <x:v>Isi baris cadangan</x:v>
      </x:c>
      <x:c r="G125" s="264" t="str">
        <x:v>Gunakan penawaran</x:v>
      </x:c>
      <x:c r="H125" s="264" t="str">
        <x:v>Terhubung</x:v>
      </x:c>
      <x:c r="I125" s="264"/>
      <x:c r="J125" s="264"/>
      <x:c r="K125" s="264"/>
      <x:c r="L125" s="264"/>
      <x:c r="M125" s="264"/>
      <x:c r="N125" s="264"/>
      <x:c r="O125" s="264"/>
      <x:c r="P125" s="264"/>
      <x:c r="Q125" s="264"/>
      <x:c r="R125" s="264"/>
      <x:c r="S125" s="264"/>
      <x:c r="T125" s="264"/>
      <x:c r="U125" s="264"/>
      <x:c r="V125" s="264"/>
      <x:c r="W125" s="264"/>
      <x:c r="X125" s="264"/>
      <x:c r="Y125" s="264"/>
      <x:c r="Z125" s="264"/>
      <x:c r="AA125" s="264"/>
      <x:c r="AB125" s="264"/>
      <x:c r="AC125" s="264"/>
      <x:c r="AD125" s="264"/>
      <x:c r="AE125" s="264"/>
      <x:c r="AF125" s="264"/>
      <x:c r="AG125" s="264"/>
      <x:c r="AH125" s="264"/>
      <x:c r="AI125" s="264"/>
      <x:c r="AJ125" s="264"/>
    </x:row>
    <x:row r="126">
      <x:c r="A126" s="264" t="str">
        <x:v>Variabel tambahan</x:v>
      </x:c>
      <x:c r="B126" s="264" t="str">
        <x:v>Basis × rasio × harga</x:v>
      </x:c>
      <x:c r="C126" s="264" t="str">
        <x:v>CAPEX/OPEX/pendapatan</x:v>
      </x:c>
      <x:c r="D126" s="264" t="str">
        <x:v>17</x:v>
      </x:c>
      <x:c r="E126" s="264" t="str">
        <x:v>Aktif=0</x:v>
      </x:c>
      <x:c r="F126" s="264" t="str">
        <x:v>Isi baris cadangan</x:v>
      </x:c>
      <x:c r="G126" s="264" t="str">
        <x:v>Jangan hapus baris total</x:v>
      </x:c>
      <x:c r="H126" s="264" t="str">
        <x:v>Terhubung</x:v>
      </x:c>
      <x:c r="I126" s="264"/>
      <x:c r="J126" s="264"/>
      <x:c r="K126" s="264"/>
      <x:c r="L126" s="264"/>
      <x:c r="M126" s="264"/>
      <x:c r="N126" s="264"/>
      <x:c r="O126" s="264"/>
      <x:c r="P126" s="264"/>
      <x:c r="Q126" s="264"/>
      <x:c r="R126" s="264"/>
      <x:c r="S126" s="264"/>
      <x:c r="T126" s="264"/>
      <x:c r="U126" s="264"/>
      <x:c r="V126" s="264"/>
      <x:c r="W126" s="264"/>
      <x:c r="X126" s="264"/>
      <x:c r="Y126" s="264"/>
      <x:c r="Z126" s="264"/>
      <x:c r="AA126" s="264"/>
      <x:c r="AB126" s="264"/>
      <x:c r="AC126" s="264"/>
      <x:c r="AD126" s="264"/>
      <x:c r="AE126" s="264"/>
      <x:c r="AF126" s="264"/>
      <x:c r="AG126" s="264"/>
      <x:c r="AH126" s="264"/>
      <x:c r="AI126" s="264"/>
      <x:c r="AJ126" s="264"/>
    </x:row>
    <x:row r="127">
      <x:c r="A127" s="264" t="str">
        <x:v>Kurva hasil</x:v>
      </x:c>
      <x:c r="B127" s="264" t="str">
        <x:v>Volume jual</x:v>
      </x:c>
      <x:c r="C127" s="264" t="str">
        <x:v>Pendapatan dan biaya panen</x:v>
      </x:c>
      <x:c r="D127" s="264" t="str">
        <x:v>10, 17</x:v>
      </x:c>
      <x:c r="E127" s="264" t="str">
        <x:v>Aktif=0</x:v>
      </x:c>
      <x:c r="F127" s="264" t="str">
        <x:v>Isi T1–T10</x:v>
      </x:c>
      <x:c r="G127" s="264" t="str">
        <x:v>Kalibrasi data lapang</x:v>
      </x:c>
      <x:c r="H127" s="264" t="str">
        <x:v>Terhubung</x:v>
      </x:c>
      <x:c r="I127" s="264"/>
      <x:c r="J127" s="264"/>
      <x:c r="K127" s="264"/>
      <x:c r="L127" s="264"/>
      <x:c r="M127" s="264"/>
      <x:c r="N127" s="264"/>
      <x:c r="O127" s="264"/>
      <x:c r="P127" s="264"/>
      <x:c r="Q127" s="264"/>
      <x:c r="R127" s="264"/>
      <x:c r="S127" s="264"/>
      <x:c r="T127" s="264"/>
      <x:c r="U127" s="264"/>
      <x:c r="V127" s="264"/>
      <x:c r="W127" s="264"/>
      <x:c r="X127" s="264"/>
      <x:c r="Y127" s="264"/>
      <x:c r="Z127" s="264"/>
      <x:c r="AA127" s="264"/>
      <x:c r="AB127" s="264"/>
      <x:c r="AC127" s="264"/>
      <x:c r="AD127" s="264"/>
      <x:c r="AE127" s="264"/>
      <x:c r="AF127" s="264"/>
      <x:c r="AG127" s="264"/>
      <x:c r="AH127" s="264"/>
      <x:c r="AI127" s="264"/>
      <x:c r="AJ127" s="264"/>
    </x:row>
  </x:sheetData>
  <x:mergeCells>
    <x:mergeCell ref="A1:AJ1"/>
    <x:mergeCell ref="A2:AJ2"/>
    <x:mergeCell ref="A4:N4"/>
    <x:mergeCell ref="A18:H18"/>
    <x:mergeCell ref="A21:AJ21"/>
    <x:mergeCell ref="A34:O34"/>
    <x:mergeCell ref="A35:Y35"/>
    <x:mergeCell ref="A38:Y38"/>
    <x:mergeCell ref="A52:N52"/>
    <x:mergeCell ref="A55:X55"/>
    <x:mergeCell ref="A68:M68"/>
    <x:mergeCell ref="A71:K71"/>
    <x:mergeCell ref="A84:H84"/>
    <x:mergeCell ref="A87:R87"/>
    <x:mergeCell ref="A100:G100"/>
    <x:mergeCell ref="A103:R103"/>
    <x:mergeCell ref="A116:G116"/>
    <x:mergeCell ref="A119:H119"/>
  </x:mergeCells>
  <x:dataValidations count="7">
    <x:dataValidation type="list" sqref="A8:A15">
      <x:formula1>"0,1"</x:formula1>
    </x:dataValidation>
    <x:dataValidation type="list" sqref="A73:A82">
      <x:formula1>"0,1"</x:formula1>
    </x:dataValidation>
    <x:dataValidation type="list" sqref="C73:C82">
      <x:formula1>"Nilai tetap,ha bruto,ha efektif,lokasi,pohon kelapa,pohon durian,rumpun pisang,nanas hidup,unit pendukung hidup"</x:formula1>
    </x:dataValidation>
    <x:dataValidation type="list" sqref="A89:A98">
      <x:formula1>"0,1"</x:formula1>
    </x:dataValidation>
    <x:dataValidation type="list" sqref="C89:C98">
      <x:formula1>"Nilai tetap,ha bruto,ha efektif,lokasi,pohon kelapa,pohon durian,rumpun pisang,nanas hidup,unit pendukung hidup"</x:formula1>
    </x:dataValidation>
    <x:dataValidation type="list" sqref="A105:A114">
      <x:formula1>"0,1"</x:formula1>
    </x:dataValidation>
    <x:dataValidation type="list" sqref="C105:C114">
      <x:formula1>"Nilai tetap,ha bruto,ha efektif,lokasi,pohon kelapa,pohon durian,rumpun pisang,nanas hidup,unit pendukung hidup"</x:formula1>
    </x:dataValidation>
  </x:dataValidation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7" hidden="0" customWidth="1"/>
    <x:col min="2" max="2" width="25" hidden="0" customWidth="1"/>
    <x:col min="3" max="3" width="34" hidden="0" customWidth="1"/>
    <x:col min="4" max="4" width="55" hidden="0" customWidth="1"/>
    <x:col min="5" max="5" width="50" hidden="0" customWidth="1"/>
    <x:col min="6" max="6" width="53" hidden="0" customWidth="1"/>
  </x:cols>
  <x:sheetData>
    <x:row r="1" ht="34" customHeight="1">
      <x:c r="A1" s="453" t="str">
        <x:v>Panduan Membaca Setiap Sheet</x:v>
      </x:c>
      <x:c r="B1" s="453"/>
      <x:c r="C1" s="453"/>
      <x:c r="D1" s="453"/>
      <x:c r="E1" s="453"/>
      <x:c r="F1" s="453"/>
    </x:row>
    <x:row r="2">
      <x:c r="A2" s="457" t="str">
        <x:v>Panduan ini menjelaskan apa yang dilakukan setiap sheet, bagaimana membacanya, variabel yang dapat diubah, serta keputusan yang didukung. Model bekerja sebagai satu sistem: perubahan input utama mengalir ke desain populasi, kebutuhan kerja dan input, CAPEX/OPEX, produksi, pendapatan, arus kas, serta indikator kelayakan.</x:v>
      </x:c>
      <x:c r="B2" s="457"/>
      <x:c r="C2" s="457"/>
      <x:c r="D2" s="457"/>
      <x:c r="E2" s="457"/>
      <x:c r="F2" s="457"/>
    </x:row>
    <x:row r="3">
      <x:c r="A3" s="457"/>
      <x:c r="B3" s="457"/>
      <x:c r="C3" s="457"/>
      <x:c r="D3" s="457"/>
      <x:c r="E3" s="457"/>
      <x:c r="F3" s="457"/>
    </x:row>
    <x:row r="4">
      <x:c r="A4" s="568"/>
      <x:c r="B4" s="568"/>
      <x:c r="C4" s="568"/>
      <x:c r="D4" s="568"/>
      <x:c r="E4" s="568"/>
      <x:c r="F4" s="568"/>
    </x:row>
    <x:row r="5">
      <x:c r="A5" s="459" t="str">
        <x:v>Alur penggunaan yang disarankan</x:v>
      </x:c>
      <x:c r="B5" s="459"/>
      <x:c r="C5" s="459"/>
      <x:c r="D5" s="459"/>
      <x:c r="E5" s="459"/>
      <x:c r="F5" s="459"/>
    </x:row>
    <x:row r="6" ht="46" customHeight="1">
      <x:c r="A6" s="495" t="str">
        <x:v>1</x:v>
      </x:c>
      <x:c r="B6" s="498" t="str">
        <x:v>Orientasi</x:v>
      </x:c>
      <x:c r="C6" s="481" t="str">
        <x:v>00_Cover → 18_Panduan_Per_Sheet → 01_Dashboard</x:v>
      </x:c>
      <x:c r="D6" s="481" t="str">
        <x:v>Pahami ruang lingkup, batasan, cara kerja model, dan posisi ekonomi awal sebelum mengubah angka.</x:v>
      </x:c>
      <x:c r="E6" s="481"/>
      <x:c r="F6" s="482"/>
    </x:row>
    <x:row r="7" ht="46" customHeight="1">
      <x:c r="A7" s="496" t="str">
        <x:v>2</x:v>
      </x:c>
      <x:c r="B7" s="499" t="str">
        <x:v>Tetapkan dasar</x:v>
      </x:c>
      <x:c r="C7" s="484" t="str">
        <x:v>02_Assumptions → 03_Land_Screening → 04_Planting_Design</x:v>
      </x:c>
      <x:c r="D7" s="484" t="str">
        <x:v>Masukkan penggerak proyek, saring calon lahan, lalu periksa desain populasi agroforestri terpadu.</x:v>
      </x:c>
      <x:c r="E7" s="484"/>
      <x:c r="F7" s="485"/>
    </x:row>
    <x:row r="8" ht="46" customHeight="1">
      <x:c r="A8" s="496" t="str">
        <x:v>3</x:v>
      </x:c>
      <x:c r="B8" s="499" t="str">
        <x:v>Bangun anggaran</x:v>
      </x:c>
      <x:c r="C8" s="484" t="str">
        <x:v>05_Workplan_Labor → 06_Equipment_Tools → 07_Agri_Inputs → 08_CAPEX_RAB → 09_OPEX_10Y → 14_Certification_ESG → 17_Model_Fleksibel</x:v>
      </x:c>
      <x:c r="D8" s="484" t="str">
        <x:v>Validasi volume kerja, alat, input, investasi, biaya tahunan, kewajiban sertifikasi, dan kebutuhan tambahan.</x:v>
      </x:c>
      <x:c r="E8" s="484"/>
      <x:c r="F8" s="485"/>
    </x:row>
    <x:row r="9" ht="46" customHeight="1">
      <x:c r="A9" s="497" t="str">
        <x:v>4</x:v>
      </x:c>
      <x:c r="B9" s="500" t="str">
        <x:v>Uji hasil dan putuskan</x:v>
      </x:c>
      <x:c r="C9" s="487" t="str">
        <x:v>10_Production_Revenue → 11_Cash_Flow → 12_Scenario_1v4 → 13_Sensitivity → 15_Checks → 16_Sources</x:v>
      </x:c>
      <x:c r="D9" s="487" t="str">
        <x:v>Nilai produksi, arus kas, biaya fragmentasi, ketahanan skenario, integritas rumus, dan kekuatan bukti.</x:v>
      </x:c>
      <x:c r="E9" s="487"/>
      <x:c r="F9" s="488"/>
    </x:row>
    <x:row r="10">
      <x:c r="A10" s="568"/>
      <x:c r="B10" s="568"/>
      <x:c r="C10" s="568"/>
      <x:c r="D10" s="568"/>
      <x:c r="E10" s="568"/>
      <x:c r="F10" s="568"/>
    </x:row>
    <x:row r="11" ht="30" customHeight="1">
      <x:c r="A11" s="512" t="str">
        <x:v>No.</x:v>
      </x:c>
      <x:c r="B11" s="513" t="str">
        <x:v>Nama sheet</x:v>
      </x:c>
      <x:c r="C11" s="513" t="str">
        <x:v>Tujuan/fungsi</x:v>
      </x:c>
      <x:c r="D11" s="513" t="str">
        <x:v>Cara membaca</x:v>
      </x:c>
      <x:c r="E11" s="513" t="str">
        <x:v>Input dan keterkaitan</x:v>
      </x:c>
      <x:c r="F11" s="514" t="str">
        <x:v>Keputusan/peringatan</x:v>
      </x:c>
    </x:row>
    <x:row r="12" ht="94" customHeight="1">
      <x:c r="A12" s="530" t="n">
        <x:v>1</x:v>
      </x:c>
      <x:c r="B12" s="536" t="str">
        <x:v>00_Cover</x:v>
      </x:c>
      <x:c r="C12" s="521" t="str">
        <x:v>Halaman pembuka dan batas penggunaan model.</x:v>
      </x:c>
      <x:c r="D12" s="521" t="str">
        <x:v>Baca tujuan, konsep agroforestri terpadu, legenda warna, cara penggunaan, dan pengecualian. Sheet ini menjelaskan apa yang dihitung dan apa yang belum termasuk.</x:v>
      </x:c>
      <x:c r="E12" s="521" t="str">
        <x:v>Tidak ada perhitungan utama yang perlu diubah di sini. Cover mengarahkan pengguna ke asumsi, pemeriksaan, sumber, dan panduan.</x:v>
      </x:c>
      <x:c r="F12" s="521" t="str">
        <x:v>Pastikan seluruh pengguna menyepakati ruang lingkup sebelum menggunakan angka untuk persetujuan investasi.</x:v>
      </x:c>
    </x:row>
    <x:row r="13" ht="94" customHeight="1">
      <x:c r="A13" s="531" t="n">
        <x:v>2</x:v>
      </x:c>
      <x:c r="B13" s="537" t="str">
        <x:v>01_Dashboard</x:v>
      </x:c>
      <x:c r="C13" s="522" t="str">
        <x:v>Ringkasan eksekutif investasi dan operasi.</x:v>
      </x:c>
      <x:c r="D13" s="522" t="str">
        <x:v>Mulai dari luas bruto/efektif, investasi awal, pendanaan puncak, NPV/IRR, populasi, dan kru puncak. Lanjutkan ke grafik pendapatan, arus kas tahunan, arus kas kumulatif, serta perbandingan satu dan empat lokasi.</x:v>
      </x:c>
      <x:c r="E13" s="522" t="str">
        <x:v>Menarik hasil dari 02, 04, 05, 08, 09, 10, 11, dan 12. Tidak untuk diisi manual.</x:v>
      </x:c>
      <x:c r="F13" s="522" t="str">
        <x:v>NPV negatif atau pengembalian lewat Tahun 10 menunjukkan kebutuhan optimasi desain, produktivitas, harga, pasar, atau horizon—bukan alasan menghapus drainase, biosekuriti, atau mutu bibit.</x:v>
      </x:c>
    </x:row>
    <x:row r="14" ht="94" customHeight="1">
      <x:c r="A14" s="531" t="n">
        <x:v>3</x:v>
      </x:c>
      <x:c r="B14" s="537" t="str">
        <x:v>02_Assumptions</x:v>
      </x:c>
      <x:c r="C14" s="522" t="str">
        <x:v>Pusat kendali seluruh penggerak model.</x:v>
      </x:c>
      <x:c r="D14" s="522" t="str">
        <x:v>Baca per kelompok: proyek/finansial, luas, kepadatan, harga bibit dan hasil, tenaga kerja, produktivitas, input, sertifikasi, serta faktor skenario. Sel kuning dengan angka biru adalah input; sel hijau adalah rumus tertaut.</x:v>
      </x:c>
      <x:c r="E14" s="522" t="str">
        <x:v>Luas bruto, area efektif, jumlah lokasi, kerapatan, harga, upah, inflasi, dosis, survival, yield, dan fase sintetis mengubah hampir seluruh sheet.</x:v>
      </x:c>
      <x:c r="F14" s="522" t="str">
        <x:v>Ganti asumsi berkeyakinan rendah dengan hasil survei, uji laboratorium, kontrak pembeli, dan penawaran pemasok. Hindari menimpa sel formula.</x:v>
      </x:c>
    </x:row>
    <x:row r="15" ht="94" customHeight="1">
      <x:c r="A15" s="531" t="n">
        <x:v>4</x:v>
      </x:c>
      <x:c r="B15" s="537" t="str">
        <x:v>03_Land_Screening</x:v>
      </x:c>
      <x:c r="C15" s="522" t="str">
        <x:v>Menyeleksi calon lahan dan menghentikan lokasi berisiko tinggi.</x:v>
      </x:c>
      <x:c r="D15" s="522" t="str">
        <x:v>Isi skor 1–5 hanya jika tersedia bukti. Bandingkan skor berbobot calon A–D, lalu periksa gerbang legal, HCV/hutan, banjir, air, penyakit pisang, dan lereng. Bagian terakhir menunjukkan proses uji tuntas empat minggu.</x:v>
      </x:c>
      <x:c r="E15" s="522" t="str">
        <x:v>Skor dan status calon lahan diisi pengguna. Hasilnya menjadi dasar sebelum biaya pembukaan, survei detail, dan desain final dikeluarkan.</x:v>
      </x:c>
      <x:c r="F15" s="522" t="str">
        <x:v>Setiap gerbang Tidak Layak mengalahkan skor agregat. Tidak ada calon yang boleh dianggap siap hanya karena nilai totalnya tinggi.</x:v>
      </x:c>
    </x:row>
    <x:row r="16" ht="94" customHeight="1">
      <x:c r="A16" s="531" t="n">
        <x:v>5</x:v>
      </x:c>
      <x:c r="B16" s="537" t="str">
        <x:v>04_Planting_Design</x:v>
      </x:c>
      <x:c r="C16" s="522" t="str">
        <x:v>Mengubah luas menjadi populasi dan kebutuhan bibit dalam satu matriks agroforestri.</x:v>
      </x:c>
      <x:c r="D16" s="522" t="str">
        <x:v>Periksa area efektif, kerapatan dan populasi kelapa, durian, pisang, gamal, Indigofera, serai wangi, penutup tanah, serta opsi. Lihat kebutuhan cadangan, bibit dibeli, tanaman hidup, harga, dan total pengadaan.</x:v>
      </x:c>
      <x:c r="E16" s="522" t="str">
        <x:v>Mengikuti luas efektif, kerapatan, cadangan bibit, survival, dan harga dari 02 serta opsi dari 17. Mengalir ke HOK, input, CAPEX, produksi, dan revenue.</x:v>
      </x:c>
      <x:c r="F16" s="522" t="str">
        <x:v>Populasi adalah rancangan awal. Finalisasi jarak dan posisi di lapangan berdasarkan kontur, cahaya, air, akses, dan ukuran tajuk dewasa; bukan membagi kebun menjadi blok komoditas.</x:v>
      </x:c>
    </x:row>
    <x:row r="17" ht="94" customHeight="1">
      <x:c r="A17" s="531" t="n">
        <x:v>6</x:v>
      </x:c>
      <x:c r="B17" s="537" t="str">
        <x:v>05_Workplan_Labor</x:v>
      </x:c>
      <x:c r="C17" s="522" t="str">
        <x:v>Menghitung urutan pekerjaan, HOK, durasi, dan kebutuhan kru.</x:v>
      </x:c>
      <x:c r="D17" s="522" t="str">
        <x:v>Baca pekerjaan Tahun 0 dari asesmen sampai penanaman, kemudian HOK bulanan dan pemeliharaan tahunan. Total HOK dibagi hari kerja untuk memperoleh kru rata-rata; kru puncak memasukkan faktor kebutuhan puncak.</x:v>
      </x:c>
      <x:c r="E17" s="522" t="str">
        <x:v>Jumlah pekerjaan mengikuti luas, populasi, unit infrastruktur, dan lokasi. HOK/unit, upah, hari kerja, serta faktor puncak berasal dari 02 dan baris tambahan dari 17.</x:v>
      </x:c>
      <x:c r="F17" s="522" t="str">
        <x:v>Gunakan untuk rencana rekrutmen, kontraktor, mobilisasi, dan kalender kerja. Pastikan tarif kontraktor yang sudah termasuk tenaga tidak dihitung kembali sebagai HOK langsung.</x:v>
      </x:c>
    </x:row>
    <x:row r="18" ht="94" customHeight="1">
      <x:c r="A18" s="531" t="n">
        <x:v>7</x:v>
      </x:c>
      <x:c r="B18" s="537" t="str">
        <x:v>06_Equipment_Tools</x:v>
      </x:c>
      <x:c r="C18" s="522" t="str">
        <x:v>Merinci alat produksi, mesin, kendaraan, APD, dan penggantian.</x:v>
      </x:c>
      <x:c r="D18" s="522" t="str">
        <x:v>Untuk setiap item, lihat kategori, fungsi, jumlah per 100 ha, jumlah minimum per lokasi, unit, harga, total satu/empat lokasi, umur pakai, siklus penggantian, dan kenaikan akibat lokasi tambahan.</x:v>
      </x:c>
      <x:c r="E18" s="522" t="str">
        <x:v>Jumlah mengikuti luas dan lokasi; harga serta umur pakai dapat diubah. Total alat mengalir ke CAPEX dan penggantian/perawatan OPEX.</x:v>
      </x:c>
      <x:c r="F18" s="522" t="str">
        <x:v>Tentukan beli atau sewa berdasarkan jam pakai, dukungan servis, akses suku cadang, dan risiko alat menganggur. Validasi spesifikasi dengan kondisi lereng, jalan, dan air.</x:v>
      </x:c>
    </x:row>
    <x:row r="19" ht="94" customHeight="1">
      <x:c r="A19" s="531" t="n">
        <x:v>8</x:v>
      </x:c>
      <x:c r="B19" s="537" t="str">
        <x:v>07_Agri_Inputs</x:v>
      </x:c>
      <x:c r="C19" s="522" t="str">
        <x:v>Menghitung input pertanian per tahun secara terperinci.</x:v>
      </x:c>
      <x:c r="D19" s="522" t="str">
        <x:v>Baca komoditas, jenis input, alasan penggunaan, dosis, frekuensi, harga, serta jumlah dan biaya Tahun 1–10. Baris total merangkum kebutuhan input tahunan seluruh sistem agroforestri.</x:v>
      </x:c>
      <x:c r="E19" s="522" t="str">
        <x:v>Volume mengikuti luas/populasi yang memenuhi syarat, tanaman hidup, dosis, frekuensi, fase umur, inflasi, dan penghentian input sintetis. Opsi aktif dari 17 ikut masuk.</x:v>
      </x:c>
      <x:c r="F19" s="522" t="str">
        <x:v>Dosis adalah allowance perencanaan. Uji tanah, daun, air, riwayat lahan, diagnosis OPT, label resmi, masa tunggu, dan standar organik harus menentukan aplikasi nyata.</x:v>
      </x:c>
    </x:row>
    <x:row r="20" ht="94" customHeight="1">
      <x:c r="A20" s="531" t="n">
        <x:v>9</x:v>
      </x:c>
      <x:c r="B20" s="537" t="str">
        <x:v>08_CAPEX_RAB</x:v>
      </x:c>
      <x:c r="C20" s="522" t="str">
        <x:v>Menggabungkan seluruh investasi awal proyek.</x:v>
      </x:c>
      <x:c r="D20" s="522" t="str">
        <x:v>Telaah per tahap: lahan/asesmen, survei, persiapan, tanah, jalan/drainase, batas, fasilitas, mobilisasi, penanaman, alat, sistem, dan cadangan. Bandingkan total satu lokasi, empat lokasi, dan skenario terpilih.</x:v>
      </x:c>
      <x:c r="E20" s="522" t="str">
        <x:v>Menarik jumlah dan harga dari 02, 04, 05, 06, 14, dan 17. Jumlah lokasi menggandakan komponen yang minimum per lokasi atau mengikuti perimeter/mobilisasi.</x:v>
      </x:c>
      <x:c r="F20" s="522" t="str">
        <x:v>Biaya lahan masih Rp0 sampai ada objek nyata. Gunakan BOQ teknik dan sedikitnya tiga quotation untuk item material; cegah duplikasi tenaga, alat, atau fasilitas.</x:v>
      </x:c>
    </x:row>
    <x:row r="21" ht="94" customHeight="1">
      <x:c r="A21" s="531" t="n">
        <x:v>10</x:v>
      </x:c>
      <x:c r="B21" s="537" t="str">
        <x:v>09_OPEX_10Y</x:v>
      </x:c>
      <x:c r="C21" s="522" t="str">
        <x:v>Menghitung biaya operasional nominal selama 10 tahun.</x:v>
      </x:c>
      <x:c r="D21" s="522" t="str">
        <x:v>Baca total tahunan menurut staf tetap, HOK, input, perawatan, penggantian alat, pengendalian gulma, panen, sertifikasi, serta biaya tambahan. Bagian staf menunjukkan jabatan dan perbedaan kebutuhan satu/empat lokasi.</x:v>
      </x:c>
      <x:c r="E21" s="522" t="str">
        <x:v>Mengikuti upah, inflasi, jumlah lokasi, HOK, input, aset, panen, sertifikasi, dan baris tambahan aktif. Menjadi pengurang pada arus kas.</x:v>
      </x:c>
      <x:c r="F21" s="522" t="str">
        <x:v>Bedakan biaya tetap, biaya berbasis luas, biaya berbasis lokasi, dan biaya variabel panen. Gunakan angka nominal untuk kebutuhan kas dan jangan mencampurnya dengan harga riil tanpa penyesuaian.</x:v>
      </x:c>
    </x:row>
    <x:row r="22" ht="94" customHeight="1">
      <x:c r="A22" s="531" t="n">
        <x:v>11</x:v>
      </x:c>
      <x:c r="B22" s="537" t="str">
        <x:v>10_Production_Revenue</x:v>
      </x:c>
      <x:c r="C22" s="522" t="str">
        <x:v>Memproyeksikan hasil dan pendapatan tiap komoditas.</x:v>
      </x:c>
      <x:c r="D22" s="522" t="str">
        <x:v>Untuk pisang, kelapa, durian, dan opsi tambahan, baca populasi hidup, hasil per tanaman/rumpun menurut umur, harga tingkat kebun, pendapatan per tahun, serta biaya panen variabel.</x:v>
      </x:c>
      <x:c r="E22" s="522" t="str">
        <x:v>Mengikuti tanaman hidup dari 04/17, kurva hasil, harga, eskalasi, survival, dan status aktif. Total pendapatan masuk ke 11; biaya panen masuk ke OPEX.</x:v>
      </x:c>
      <x:c r="F22" s="522" t="str">
        <x:v>Tidak ada premi organik dalam kasus dasar. Konfirmasi varietas, naungan, pola produksi, mutu, kehilangan panen, kapasitas pasar, dan kontrak offtake sebelum mengandalkan proyeksi.</x:v>
      </x:c>
    </x:row>
    <x:row r="23" ht="94" customHeight="1">
      <x:c r="A23" s="531" t="n">
        <x:v>12</x:v>
      </x:c>
      <x:c r="B23" s="537" t="str">
        <x:v>11_Cash_Flow</x:v>
      </x:c>
      <x:c r="C23" s="522" t="str">
        <x:v>Mengukur kebutuhan kas dan kelayakan finansial proyek.</x:v>
      </x:c>
      <x:c r="D23" s="522" t="str">
        <x:v>Arus kas proyek = pendapatan dikurangi OPEX dan CAPEX. Baca arus kas tahunan, kumulatif, NPV pada tingkat diskonto, IRR bila tersedia, tahun pengembalian, pendanaan puncak, dan rasio manfaat-biaya terdiskonto.</x:v>
      </x:c>
      <x:c r="E23" s="522" t="str">
        <x:v>Menarik CAPEX dari 08, OPEX dari 09, revenue dari 10, dan tingkat diskonto dari 02. Semua perubahan penggerak utama mengalir ke hasil ini.</x:v>
      </x:c>
      <x:c r="F23" s="522" t="str">
        <x:v>Gunakan NPV untuk keputusan ekonomi dan pendanaan puncak untuk kebutuhan modal. Jika arus kas tidak berganti tanda secara valid, IRR dapat tidak bermakna; jangan memaksakan interpretasi.</x:v>
      </x:c>
    </x:row>
    <x:row r="24" ht="94" customHeight="1">
      <x:c r="A24" s="531" t="n">
        <x:v>13</x:v>
      </x:c>
      <x:c r="B24" s="537" t="str">
        <x:v>12_Scenario_1v4</x:v>
      </x:c>
      <x:c r="C24" s="522" t="str">
        <x:v>Mengisolasi biaya fragmentasi satu lokasi versus empat lokasi.</x:v>
      </x:c>
      <x:c r="D24" s="522" t="str">
        <x:v>Bandingkan investasi awal, pendapatan, OPEX, NPV, IRR, tahun pengembalian, pendanaan puncak, serta arus kas tahunan/kumulatif kedua konfigurasi.</x:v>
      </x:c>
      <x:c r="E24" s="522" t="str">
        <x:v>Produksi agronomis sengaja dibuat sama; perbedaan terutama berasal dari perimeter, fasilitas, alat minimum, mobilisasi, staf, keamanan, dan logistik per lokasi.</x:v>
      </x:c>
      <x:c r="F24" s="522" t="str">
        <x:v>Jika empat lokasi dipilih karena ketersediaan lahan, manfaat pengurangan risiko atau akses pasar harus dinilai terpisah karena belum dimonetisasi otomatis dalam model.</x:v>
      </x:c>
    </x:row>
    <x:row r="25" ht="94" customHeight="1">
      <x:c r="A25" s="531" t="n">
        <x:v>14</x:v>
      </x:c>
      <x:c r="B25" s="537" t="str">
        <x:v>13_Sensitivity</x:v>
      </x:c>
      <x:c r="C25" s="522" t="str">
        <x:v>Menguji ketahanan NPV terhadap harga dan hasil.</x:v>
      </x:c>
      <x:c r="D25" s="522" t="str">
        <x:v>Pilih baris pengali hasil dan kolom pengali harga. Sel perpotongan menunjukkan NPV bila kedua perubahan terjadi bersamaan; warna merah-kuning-hijau membantu membaca zona risiko dan kelayakan.</x:v>
      </x:c>
      <x:c r="E25" s="522" t="str">
        <x:v>Tabel menghitung ulang pendapatan dan biaya panen variabel dari skenario satu lokasi. Kasus dasar berada pada 100% hasil dan 100% harga.</x:v>
      </x:c>
      <x:c r="F25" s="522" t="str">
        <x:v>Gunakan untuk menetapkan harga minimum kontrak, target hasil, dan margin pengaman. Tabel ini tidak menggantikan skenario penyakit, keterlambatan panen, CAPEX membengkak, atau perubahan kualitas.</x:v>
      </x:c>
    </x:row>
    <x:row r="26" ht="94" customHeight="1">
      <x:c r="A26" s="531" t="n">
        <x:v>15</x:v>
      </x:c>
      <x:c r="B26" s="537" t="str">
        <x:v>14_Certification_ESG</x:v>
      </x:c>
      <x:c r="C26" s="522" t="str">
        <x:v>Merencanakan biaya keberlanjutan, transisi organik, dan audit.</x:v>
      </x:c>
      <x:c r="D26" s="522" t="str">
        <x:v>Baca setiap alur kerja dari riwayat lahan, rencana pengelolaan, ketertelusuran, pelatihan, laboratorium, biodiversitas, pra-audit, sertifikasi, surveilans, hingga opsi karbon/MRV. Kolom Tahun 0–10 menunjukkan ritme biaya.</x:v>
      </x:c>
      <x:c r="E26" s="522" t="str">
        <x:v>Dipengaruhi inflasi, luas, tahun akhir input sintetis, masa konversi, dan sakelar Aktif. Total mengalir ke CAPEX/OPEX sesuai periode.</x:v>
      </x:c>
      <x:c r="F26" s="522" t="str">
        <x:v>Sertifikasi tidak otomatis hanya karena biaya tersedia. Minta LSO menetapkan ruang lingkup, awal konversi, input yang diizinkan, jadwal inspeksi, dan tanggal kelayakan klaim.</x:v>
      </x:c>
    </x:row>
    <x:row r="27" ht="94" customHeight="1">
      <x:c r="A27" s="531" t="n">
        <x:v>16</x:v>
      </x:c>
      <x:c r="B27" s="537" t="str">
        <x:v>15_Checks</x:v>
      </x:c>
      <x:c r="C27" s="522" t="str">
        <x:v>Memastikan rumus dan hubungan utama tetap konsisten.</x:v>
      </x:c>
      <x:c r="D27" s="522" t="str">
        <x:v>Periksa setiap baris Aktual, Harapan, Selisih, Toleransi, Status, dan Lokasi perbaikan. STATUS MODEL harus PASS sebelum workbook digunakan; baca juga seluruh peringatan yang tidak menggagalkan rumus.</x:v>
      </x:c>
      <x:c r="E27" s="522" t="str">
        <x:v>Mengawasi konsistensi luas, populasi, CAPEX, arus kas, fase sintetis, biaya lahan, dan panjang proyeksi. Status berubah saat hubungan model rusak.</x:v>
      </x:c>
      <x:c r="F27" s="522" t="str">
        <x:v>PASS hanya berarti struktur matematika konsisten pada input saat ini. Persetujuan lahan, agronomi, pasar, legal, ESG, dan pembiayaan tetap membutuhkan verifikasi terpisah.</x:v>
      </x:c>
    </x:row>
    <x:row r="28" ht="94" customHeight="1">
      <x:c r="A28" s="531" t="n">
        <x:v>17</x:v>
      </x:c>
      <x:c r="B28" s="537" t="str">
        <x:v>16_Sources</x:v>
      </x:c>
      <x:c r="C28" s="522" t="str">
        <x:v>Mendokumentasikan asal dan kualitas setiap asumsi.</x:v>
      </x:c>
      <x:c r="D28" s="522" t="str">
        <x:v>Cari ID sumber yang muncul pada 02 atau catatan lain, lalu baca topik, data yang digunakan, judul, URL, tanggal, tingkat keyakinan, dan catatan penerapan.</x:v>
      </x:c>
      <x:c r="E28" s="522" t="str">
        <x:v>Sumber resmi/teknis memiliki keyakinan lebih tinggi; benchmark retail atau pemasok hanya allowance. Tambahkan baris baru ketika asumsi diperbarui.</x:v>
      </x:c>
      <x:c r="F28" s="522" t="str">
        <x:v>Simpan hasil laboratorium, quotation, kontrak, peta, dan persetujuan sebagai bukti proyek. Jangan membiarkan harga rendah-keyakinan menjadi dasar persetujuan tanpa validasi.</x:v>
      </x:c>
    </x:row>
    <x:row r="29" ht="94" customHeight="1">
      <x:c r="A29" s="532" t="n">
        <x:v>18</x:v>
      </x:c>
      <x:c r="B29" s="538" t="str">
        <x:v>17_Model_Fleksibel</x:v>
      </x:c>
      <x:c r="C29" s="523" t="str">
        <x:v>Memberi ruang penambahan dan penghapusan variabel tanpa merusak model utama.</x:v>
      </x:c>
      <x:c r="D29" s="523" t="str">
        <x:v>Bagian A untuk spesies, B untuk kurva hasil dan pendapatan opsi, C untuk HOK, D untuk input, E untuk alat, F untuk staf, G untuk CAPEX, H untuk OPEX, dan I untuk pendapatan tambahan.</x:v>
      </x:c>
      <x:c r="E29" s="523" t="str">
        <x:v>Isi baris cadangan, tentukan basis/driver, masukkan harga atau dosis, lalu gunakan Aktif=1. Aktif=0 mengeluarkan baris dari total tanpa menghapus referensi.</x:v>
      </x:c>
      <x:c r="F29" s="523" t="str">
        <x:v>Gunakan driver yang benar—ha bruto, ha efektif, lokasi, populasi, hasil, kru, atau nilai tetap. Jangan menimpa sel formula; bila hubungan kausal baru tidak tersedia, dokumentasikan dan uji pada 15_Checks.</x:v>
      </x:c>
    </x:row>
    <x:row r="30">
      <x:c r="A30" s="568"/>
      <x:c r="B30" s="568"/>
      <x:c r="C30" s="568"/>
      <x:c r="D30" s="568"/>
      <x:c r="E30" s="568"/>
      <x:c r="F30" s="568"/>
    </x:row>
    <x:row r="31">
      <x:c r="A31" s="458" t="str">
        <x:v>Prinsip penggunaan</x:v>
      </x:c>
      <x:c r="B31" s="458"/>
      <x:c r="C31" s="458"/>
      <x:c r="D31" s="458"/>
      <x:c r="E31" s="458"/>
      <x:c r="F31" s="458"/>
    </x:row>
    <x:row r="32">
      <x:c r="A32" s="559" t="str">
        <x:v>Gunakan workbook sebagai model pengambilan keputusan yang terus diperbarui. Setiap perubahan luas, jumlah lokasi, kerapatan, harga, dosis, upah, unit alat, produktivitas, atau status aktif harus ditelusuri hingga 01_Dashboard, 11_Cash_Flow, 13_Sensitivity, dan 15_Checks. Untuk menghapus variabel, gunakan Aktif=0; untuk menambah, gunakan baris cadangan di 17_Model_Fleksibel dan dokumentasikan sumbernya di 16_Sources.</x:v>
      </x:c>
      <x:c r="B32" s="560"/>
      <x:c r="C32" s="560"/>
      <x:c r="D32" s="560"/>
      <x:c r="E32" s="560"/>
      <x:c r="F32" s="561"/>
    </x:row>
    <x:row r="33">
      <x:c r="A33" s="562"/>
      <x:c r="B33" s="563"/>
      <x:c r="C33" s="563"/>
      <x:c r="D33" s="563"/>
      <x:c r="E33" s="563"/>
      <x:c r="F33" s="564"/>
    </x:row>
    <x:row r="34">
      <x:c r="A34" s="565"/>
      <x:c r="B34" s="566"/>
      <x:c r="C34" s="566"/>
      <x:c r="D34" s="566"/>
      <x:c r="E34" s="566"/>
      <x:c r="F34" s="567"/>
    </x:row>
  </x:sheetData>
  <x:mergeCells>
    <x:mergeCell ref="A1:F1"/>
    <x:mergeCell ref="A2:F3"/>
    <x:mergeCell ref="A5:F5"/>
    <x:mergeCell ref="D6:F6"/>
    <x:mergeCell ref="D7:F7"/>
    <x:mergeCell ref="D8:F8"/>
    <x:mergeCell ref="D9:F9"/>
    <x:mergeCell ref="A31:F31"/>
    <x:mergeCell ref="A32:F34"/>
  </x:mergeCells>
  <x:pageMargins left="0.7" right="0.7" top="0.75" bottom="0.75" header="0.3" footer="0.3"/>
</x:worksheet>
</file>